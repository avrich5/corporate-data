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3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4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5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6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7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8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9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10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11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12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13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14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15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16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gubarev_u\Desktop\"/>
    </mc:Choice>
  </mc:AlternateContent>
  <bookViews>
    <workbookView xWindow="0" yWindow="0" windowWidth="20580" windowHeight="9888" tabRatio="601" firstSheet="3" activeTab="3"/>
  </bookViews>
  <sheets>
    <sheet name="Слайд 1 тренды категорий (2)" sheetId="20" state="hidden" r:id="rId1"/>
    <sheet name="Слайд 1 тренды категорий" sheetId="19" state="hidden" r:id="rId2"/>
    <sheet name="Тренды категорий" sheetId="18" state="hidden" r:id="rId3"/>
    <sheet name="BCG" sheetId="3" r:id="rId4"/>
    <sheet name="ABC расчет" sheetId="14" r:id="rId5"/>
    <sheet name="Факт продаж" sheetId="2" r:id="rId6"/>
    <sheet name="План Антонова" sheetId="1" r:id="rId7"/>
  </sheets>
  <definedNames>
    <definedName name="_xlchart.v1.0" hidden="1">'Слайд 1 тренды категорий'!$A$2:$A$16</definedName>
    <definedName name="_xlchart.v1.1" hidden="1">'Слайд 1 тренды категорий'!$B$1</definedName>
    <definedName name="_xlchart.v1.10" hidden="1">'Тренды категорий'!$F$1:$I$1</definedName>
    <definedName name="_xlchart.v1.11" hidden="1">'Тренды категорий'!$F$5:$I$5</definedName>
    <definedName name="_xlchart.v1.12" hidden="1">'Тренды категорий'!$A$2</definedName>
    <definedName name="_xlchart.v1.13" hidden="1">'Тренды категорий'!$F$1:$I$1</definedName>
    <definedName name="_xlchart.v1.14" hidden="1">'Тренды категорий'!$F$2:$I$2</definedName>
    <definedName name="_xlchart.v1.15" hidden="1">'Тренды категорий'!$A$7</definedName>
    <definedName name="_xlchart.v1.16" hidden="1">'Тренды категорий'!$F$1:$I$1</definedName>
    <definedName name="_xlchart.v1.17" hidden="1">'Тренды категорий'!$F$7:$I$7</definedName>
    <definedName name="_xlchart.v1.18" hidden="1">'Тренды категорий'!$A$6</definedName>
    <definedName name="_xlchart.v1.19" hidden="1">'Тренды категорий'!$F$1:$I$1</definedName>
    <definedName name="_xlchart.v1.2" hidden="1">'Слайд 1 тренды категорий'!$B$2:$B$16</definedName>
    <definedName name="_xlchart.v1.20" hidden="1">'Тренды категорий'!$F$6:$I$6</definedName>
    <definedName name="_xlchart.v1.21" hidden="1">'Тренды категорий'!$A$9</definedName>
    <definedName name="_xlchart.v1.22" hidden="1">'Тренды категорий'!$F$1:$I$1</definedName>
    <definedName name="_xlchart.v1.23" hidden="1">'Тренды категорий'!$F$9:$I$9</definedName>
    <definedName name="_xlchart.v1.24" hidden="1">'Тренды категорий'!$A$11</definedName>
    <definedName name="_xlchart.v1.25" hidden="1">'Тренды категорий'!$F$11:$I$11</definedName>
    <definedName name="_xlchart.v1.26" hidden="1">'Тренды категорий'!$F$1:$I$1</definedName>
    <definedName name="_xlchart.v1.27" hidden="1">'Тренды категорий'!$A$10</definedName>
    <definedName name="_xlchart.v1.28" hidden="1">'Тренды категорий'!$F$10:$I$10</definedName>
    <definedName name="_xlchart.v1.29" hidden="1">'Тренды категорий'!$F$1:$I$1</definedName>
    <definedName name="_xlchart.v1.3" hidden="1">'Тренды категорий'!$A$3</definedName>
    <definedName name="_xlchart.v1.30" hidden="1">'Тренды категорий'!$A$8</definedName>
    <definedName name="_xlchart.v1.31" hidden="1">'Тренды категорий'!$F$1:$I$1</definedName>
    <definedName name="_xlchart.v1.32" hidden="1">'Тренды категорий'!$F$8:$I$8</definedName>
    <definedName name="_xlchart.v1.33" hidden="1">'Тренды категорий'!$A$12</definedName>
    <definedName name="_xlchart.v1.34" hidden="1">'Тренды категорий'!$F$12:$I$12</definedName>
    <definedName name="_xlchart.v1.35" hidden="1">'Тренды категорий'!$F$1:$I$1</definedName>
    <definedName name="_xlchart.v1.36" hidden="1">'Тренды категорий'!$A$32</definedName>
    <definedName name="_xlchart.v1.37" hidden="1">'Тренды категорий'!$F$1:$I$1</definedName>
    <definedName name="_xlchart.v1.38" hidden="1">'Тренды категорий'!$F$32:$I$32</definedName>
    <definedName name="_xlchart.v1.39" hidden="1">'Тренды категорий'!$A$15</definedName>
    <definedName name="_xlchart.v1.4" hidden="1">'Тренды категорий'!$F$1:$I$1</definedName>
    <definedName name="_xlchart.v1.40" hidden="1">'Тренды категорий'!$F$15:$I$15</definedName>
    <definedName name="_xlchart.v1.41" hidden="1">'Тренды категорий'!$F$1:$I$1</definedName>
    <definedName name="_xlchart.v1.42" hidden="1">'Тренды категорий'!$A$33</definedName>
    <definedName name="_xlchart.v1.43" hidden="1">'Тренды категорий'!$F$1:$I$1</definedName>
    <definedName name="_xlchart.v1.44" hidden="1">'Тренды категорий'!$F$33:$I$33</definedName>
    <definedName name="_xlchart.v1.45" hidden="1">'Тренды категорий'!$A$16</definedName>
    <definedName name="_xlchart.v1.46" hidden="1">'Тренды категорий'!$F$16:$I$16</definedName>
    <definedName name="_xlchart.v1.47" hidden="1">'Тренды категорий'!$F$1:$I$1</definedName>
    <definedName name="_xlchart.v1.5" hidden="1">'Тренды категорий'!$F$3:$I$3</definedName>
    <definedName name="_xlchart.v1.6" hidden="1">'Тренды категорий'!$A$4</definedName>
    <definedName name="_xlchart.v1.7" hidden="1">'Тренды категорий'!$F$1:$I$1</definedName>
    <definedName name="_xlchart.v1.8" hidden="1">'Тренды категорий'!$F$4:$I$4</definedName>
    <definedName name="_xlchart.v1.9" hidden="1">'Тренды категорий'!$A$5</definedName>
    <definedName name="_xlnm._FilterDatabase" localSheetId="4" hidden="1">'ABC расчет'!$S$1:$Y$1</definedName>
    <definedName name="_xlnm._FilterDatabase" localSheetId="3" hidden="1">BCG!$A$6:$AQ$265</definedName>
    <definedName name="_xlnm._FilterDatabase" localSheetId="5" hidden="1">'Факт продаж'!$AB$26:$AI$342</definedName>
  </definedNames>
  <calcPr calcId="162913"/>
  <pivotCaches>
    <pivotCache cacheId="320" r:id="rId8"/>
    <pivotCache cacheId="321" r:id="rId9"/>
    <pivotCache cacheId="322" r:id="rId10"/>
    <pivotCache cacheId="323" r:id="rId11"/>
    <pivotCache cacheId="324" r:id="rId12"/>
    <pivotCache cacheId="325" r:id="rId13"/>
    <pivotCache cacheId="326" r:id="rId14"/>
    <pivotCache cacheId="327" r:id="rId15"/>
    <pivotCache cacheId="328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8" i="2" l="1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27" i="2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" i="14"/>
  <c r="Y2" i="14"/>
  <c r="AH27" i="2"/>
  <c r="AG27" i="2"/>
  <c r="X27" i="2"/>
  <c r="O27" i="2"/>
  <c r="AE8" i="2"/>
  <c r="V8" i="2"/>
  <c r="M8" i="2"/>
  <c r="D8" i="2"/>
  <c r="AE24" i="2"/>
  <c r="V24" i="2"/>
  <c r="M24" i="2"/>
  <c r="F2" i="14" l="1"/>
  <c r="E2" i="14"/>
  <c r="E260" i="14" l="1"/>
  <c r="AK5" i="3"/>
  <c r="AJ5" i="3"/>
  <c r="E3" i="14" l="1"/>
  <c r="E4" i="14"/>
  <c r="E5" i="14"/>
  <c r="E6" i="14"/>
  <c r="F6" i="14" s="1"/>
  <c r="G6" i="14"/>
  <c r="E7" i="14"/>
  <c r="E8" i="14"/>
  <c r="E9" i="14"/>
  <c r="E10" i="14"/>
  <c r="E11" i="14"/>
  <c r="E12" i="14"/>
  <c r="E13" i="14"/>
  <c r="F13" i="14" s="1"/>
  <c r="G13" i="14"/>
  <c r="E14" i="14"/>
  <c r="F14" i="14" s="1"/>
  <c r="G14" i="14" s="1"/>
  <c r="E15" i="14"/>
  <c r="F15" i="14" s="1"/>
  <c r="G15" i="14" s="1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F33" i="14" s="1"/>
  <c r="G33" i="14"/>
  <c r="E34" i="14"/>
  <c r="F34" i="14" s="1"/>
  <c r="G34" i="14"/>
  <c r="E35" i="14"/>
  <c r="F35" i="14" s="1"/>
  <c r="G35" i="14" s="1"/>
  <c r="E36" i="14"/>
  <c r="F36" i="14" s="1"/>
  <c r="G36" i="14" s="1"/>
  <c r="E37" i="14"/>
  <c r="F37" i="14" s="1"/>
  <c r="G37" i="14" s="1"/>
  <c r="E38" i="14"/>
  <c r="E39" i="14"/>
  <c r="E40" i="14"/>
  <c r="E41" i="14"/>
  <c r="E42" i="14"/>
  <c r="E43" i="14"/>
  <c r="E44" i="14"/>
  <c r="F44" i="14" s="1"/>
  <c r="G44" i="14"/>
  <c r="E45" i="14"/>
  <c r="E46" i="14"/>
  <c r="E47" i="14"/>
  <c r="E48" i="14"/>
  <c r="E49" i="14"/>
  <c r="F49" i="14" s="1"/>
  <c r="G49" i="14"/>
  <c r="E50" i="14"/>
  <c r="F50" i="14" s="1"/>
  <c r="G50" i="14"/>
  <c r="E51" i="14"/>
  <c r="F51" i="14" s="1"/>
  <c r="G51" i="14" s="1"/>
  <c r="E52" i="14"/>
  <c r="E53" i="14"/>
  <c r="E54" i="14"/>
  <c r="E55" i="14"/>
  <c r="E56" i="14"/>
  <c r="E57" i="14"/>
  <c r="E58" i="14"/>
  <c r="E59" i="14"/>
  <c r="F59" i="14" s="1"/>
  <c r="G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F95" i="14" s="1"/>
  <c r="G95" i="14"/>
  <c r="E96" i="14"/>
  <c r="F96" i="14" s="1"/>
  <c r="G96" i="14" s="1"/>
  <c r="E97" i="14"/>
  <c r="F97" i="14" s="1"/>
  <c r="G97" i="14" s="1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F135" i="14" s="1"/>
  <c r="G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F174" i="14" s="1"/>
  <c r="G174" i="14"/>
  <c r="E175" i="14"/>
  <c r="E176" i="14"/>
  <c r="E177" i="14"/>
  <c r="E178" i="14"/>
  <c r="F178" i="14" s="1"/>
  <c r="G178" i="14"/>
  <c r="E179" i="14"/>
  <c r="F179" i="14" s="1"/>
  <c r="G179" i="14" s="1"/>
  <c r="E180" i="14"/>
  <c r="E181" i="14"/>
  <c r="E182" i="14"/>
  <c r="E183" i="14"/>
  <c r="E184" i="14"/>
  <c r="E185" i="14"/>
  <c r="E186" i="14"/>
  <c r="F186" i="14" s="1"/>
  <c r="G186" i="14"/>
  <c r="E187" i="14"/>
  <c r="F187" i="14" s="1"/>
  <c r="G187" i="14" s="1"/>
  <c r="E188" i="14"/>
  <c r="F188" i="14" s="1"/>
  <c r="G188" i="14" s="1"/>
  <c r="E189" i="14"/>
  <c r="F189" i="14" s="1"/>
  <c r="G189" i="14" s="1"/>
  <c r="E190" i="14"/>
  <c r="E191" i="14"/>
  <c r="E192" i="14"/>
  <c r="E193" i="14"/>
  <c r="E194" i="14"/>
  <c r="E195" i="14"/>
  <c r="E196" i="14"/>
  <c r="E197" i="14"/>
  <c r="F197" i="14" s="1"/>
  <c r="G197" i="14"/>
  <c r="E198" i="14"/>
  <c r="E199" i="14"/>
  <c r="F199" i="14" s="1"/>
  <c r="G199" i="14"/>
  <c r="E200" i="14"/>
  <c r="F200" i="14" s="1"/>
  <c r="G200" i="14" s="1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F217" i="14" s="1"/>
  <c r="G217" i="14"/>
  <c r="E218" i="14"/>
  <c r="E219" i="14"/>
  <c r="E220" i="14"/>
  <c r="F220" i="14" s="1"/>
  <c r="G220" i="14"/>
  <c r="E221" i="14"/>
  <c r="F221" i="14" s="1"/>
  <c r="G221" i="14" s="1"/>
  <c r="E222" i="14"/>
  <c r="F222" i="14" s="1"/>
  <c r="G222" i="14" s="1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F234" i="14" s="1"/>
  <c r="G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F249" i="14" s="1"/>
  <c r="G249" i="14"/>
  <c r="E250" i="14"/>
  <c r="F250" i="14" s="1"/>
  <c r="G250" i="14" s="1"/>
  <c r="E251" i="14"/>
  <c r="F251" i="14" s="1"/>
  <c r="G251" i="14" s="1"/>
  <c r="E252" i="14"/>
  <c r="E253" i="14"/>
  <c r="E254" i="14"/>
  <c r="E255" i="14"/>
  <c r="E256" i="14"/>
  <c r="E257" i="14"/>
  <c r="E258" i="14"/>
  <c r="E259" i="14"/>
  <c r="AF3" i="14"/>
  <c r="AF4" i="14"/>
  <c r="AF5" i="14"/>
  <c r="AF6" i="14"/>
  <c r="AF7" i="14"/>
  <c r="AF8" i="14"/>
  <c r="AF9" i="14"/>
  <c r="AF10" i="14"/>
  <c r="AF11" i="14"/>
  <c r="AF12" i="14"/>
  <c r="AF13" i="14"/>
  <c r="AF14" i="14"/>
  <c r="AF15" i="14"/>
  <c r="AF16" i="14"/>
  <c r="AF17" i="14"/>
  <c r="AF18" i="14"/>
  <c r="AF19" i="14"/>
  <c r="AF20" i="14"/>
  <c r="AF21" i="14"/>
  <c r="AF22" i="14"/>
  <c r="AF23" i="14"/>
  <c r="AF24" i="14"/>
  <c r="AF25" i="14"/>
  <c r="AF26" i="14"/>
  <c r="AF27" i="14"/>
  <c r="AF28" i="14"/>
  <c r="AF29" i="14"/>
  <c r="AF30" i="14"/>
  <c r="AF31" i="14"/>
  <c r="AF32" i="14"/>
  <c r="AF33" i="14"/>
  <c r="AF34" i="14"/>
  <c r="AF35" i="14"/>
  <c r="AF36" i="14"/>
  <c r="AF37" i="14"/>
  <c r="AF38" i="14"/>
  <c r="AF39" i="14"/>
  <c r="AF40" i="14"/>
  <c r="AF41" i="14"/>
  <c r="AF42" i="14"/>
  <c r="AF43" i="14"/>
  <c r="AF44" i="14"/>
  <c r="AF45" i="14"/>
  <c r="AF46" i="14"/>
  <c r="AF47" i="14"/>
  <c r="AF48" i="14"/>
  <c r="AF49" i="14"/>
  <c r="AF50" i="14"/>
  <c r="AF51" i="14"/>
  <c r="AF52" i="14"/>
  <c r="AF53" i="14"/>
  <c r="AF54" i="14"/>
  <c r="AF55" i="14"/>
  <c r="AF56" i="14"/>
  <c r="AF57" i="14"/>
  <c r="AF58" i="14"/>
  <c r="AF59" i="14"/>
  <c r="AF60" i="14"/>
  <c r="AF61" i="14"/>
  <c r="AF62" i="14"/>
  <c r="AF63" i="14"/>
  <c r="AF64" i="14"/>
  <c r="AF65" i="14"/>
  <c r="AF66" i="14"/>
  <c r="AF67" i="14"/>
  <c r="AF68" i="14"/>
  <c r="AF69" i="14"/>
  <c r="AF70" i="14"/>
  <c r="AF71" i="14"/>
  <c r="AF72" i="14"/>
  <c r="AF73" i="14"/>
  <c r="AF74" i="14"/>
  <c r="AF75" i="14"/>
  <c r="AF76" i="14"/>
  <c r="AF77" i="14"/>
  <c r="AF78" i="14"/>
  <c r="AF79" i="14"/>
  <c r="AF80" i="14"/>
  <c r="AF81" i="14"/>
  <c r="AF82" i="14"/>
  <c r="AF83" i="14"/>
  <c r="AF84" i="14"/>
  <c r="AF85" i="14"/>
  <c r="AF86" i="14"/>
  <c r="AF87" i="14"/>
  <c r="AF88" i="14"/>
  <c r="AF89" i="14"/>
  <c r="AF90" i="14"/>
  <c r="AF91" i="14"/>
  <c r="AF92" i="14"/>
  <c r="AF93" i="14"/>
  <c r="AF94" i="14"/>
  <c r="AF95" i="14"/>
  <c r="AF96" i="14"/>
  <c r="AF97" i="14"/>
  <c r="AF98" i="14"/>
  <c r="AF99" i="14"/>
  <c r="AF100" i="14"/>
  <c r="AF101" i="14"/>
  <c r="AF102" i="14"/>
  <c r="AF103" i="14"/>
  <c r="AF104" i="14"/>
  <c r="AF105" i="14"/>
  <c r="AF106" i="14"/>
  <c r="AF107" i="14"/>
  <c r="AF108" i="14"/>
  <c r="AF109" i="14"/>
  <c r="AF110" i="14"/>
  <c r="AF111" i="14"/>
  <c r="AF112" i="14"/>
  <c r="AF113" i="14"/>
  <c r="AF114" i="14"/>
  <c r="AF115" i="14"/>
  <c r="AF116" i="14"/>
  <c r="AF117" i="14"/>
  <c r="AF118" i="14"/>
  <c r="AF119" i="14"/>
  <c r="AF120" i="14"/>
  <c r="AF121" i="14"/>
  <c r="AF122" i="14"/>
  <c r="AF123" i="14"/>
  <c r="AF124" i="14"/>
  <c r="AF125" i="14"/>
  <c r="AF126" i="14"/>
  <c r="AF127" i="14"/>
  <c r="AF128" i="14"/>
  <c r="AF129" i="14"/>
  <c r="AF130" i="14"/>
  <c r="AF131" i="14"/>
  <c r="AF132" i="14"/>
  <c r="AF133" i="14"/>
  <c r="AF134" i="14"/>
  <c r="AF135" i="14"/>
  <c r="AF136" i="14"/>
  <c r="AF137" i="14"/>
  <c r="AF138" i="14"/>
  <c r="AF139" i="14"/>
  <c r="AF140" i="14"/>
  <c r="AF141" i="14"/>
  <c r="AF142" i="14"/>
  <c r="AF143" i="14"/>
  <c r="AF144" i="14"/>
  <c r="AF145" i="14"/>
  <c r="AF146" i="14"/>
  <c r="AF147" i="14"/>
  <c r="AF148" i="14"/>
  <c r="AF149" i="14"/>
  <c r="AF150" i="14"/>
  <c r="AF151" i="14"/>
  <c r="AF152" i="14"/>
  <c r="AF153" i="14"/>
  <c r="AF154" i="14"/>
  <c r="AF155" i="14"/>
  <c r="AF156" i="14"/>
  <c r="AF157" i="14"/>
  <c r="AF158" i="14"/>
  <c r="AF159" i="14"/>
  <c r="AF160" i="14"/>
  <c r="AF161" i="14"/>
  <c r="AF162" i="14"/>
  <c r="AF163" i="14"/>
  <c r="AF164" i="14"/>
  <c r="AF165" i="14"/>
  <c r="AF166" i="14"/>
  <c r="AF167" i="14"/>
  <c r="AF168" i="14"/>
  <c r="AF169" i="14"/>
  <c r="AF170" i="14"/>
  <c r="AF171" i="14"/>
  <c r="AF172" i="14"/>
  <c r="AF173" i="14"/>
  <c r="AF174" i="14"/>
  <c r="AF175" i="14"/>
  <c r="AF176" i="14"/>
  <c r="AF177" i="14"/>
  <c r="AF178" i="14"/>
  <c r="AF179" i="14"/>
  <c r="AF180" i="14"/>
  <c r="AF181" i="14"/>
  <c r="AF182" i="14"/>
  <c r="AF183" i="14"/>
  <c r="AF184" i="14"/>
  <c r="AF185" i="14"/>
  <c r="AF186" i="14"/>
  <c r="AF187" i="14"/>
  <c r="AF188" i="14"/>
  <c r="AF189" i="14"/>
  <c r="AF190" i="14"/>
  <c r="AF191" i="14"/>
  <c r="AF192" i="14"/>
  <c r="AF193" i="14"/>
  <c r="AF194" i="14"/>
  <c r="AF195" i="14"/>
  <c r="AF196" i="14"/>
  <c r="AF197" i="14"/>
  <c r="AF198" i="14"/>
  <c r="AF199" i="14"/>
  <c r="AF200" i="14"/>
  <c r="AF201" i="14"/>
  <c r="AF202" i="14"/>
  <c r="AF203" i="14"/>
  <c r="AF204" i="14"/>
  <c r="AF205" i="14"/>
  <c r="AF206" i="14"/>
  <c r="AF207" i="14"/>
  <c r="AF208" i="14"/>
  <c r="AF209" i="14"/>
  <c r="AF210" i="14"/>
  <c r="AF211" i="14"/>
  <c r="AF212" i="14"/>
  <c r="AF213" i="14"/>
  <c r="AF214" i="14"/>
  <c r="AF215" i="14"/>
  <c r="AF216" i="14"/>
  <c r="AF217" i="14"/>
  <c r="AF218" i="14"/>
  <c r="AF219" i="14"/>
  <c r="AF220" i="14"/>
  <c r="AF221" i="14"/>
  <c r="AF222" i="14"/>
  <c r="AF223" i="14"/>
  <c r="AF224" i="14"/>
  <c r="AF225" i="14"/>
  <c r="AF226" i="14"/>
  <c r="AF227" i="14"/>
  <c r="AF228" i="14"/>
  <c r="AF229" i="14"/>
  <c r="AF230" i="14"/>
  <c r="AF231" i="14"/>
  <c r="AF232" i="14"/>
  <c r="AF233" i="14"/>
  <c r="AF234" i="14"/>
  <c r="AF235" i="14"/>
  <c r="AF236" i="14"/>
  <c r="AF237" i="14"/>
  <c r="AF238" i="14"/>
  <c r="AF239" i="14"/>
  <c r="AF240" i="14"/>
  <c r="AF241" i="14"/>
  <c r="AF242" i="14"/>
  <c r="AF243" i="14"/>
  <c r="AF244" i="14"/>
  <c r="AF245" i="14"/>
  <c r="AF246" i="14"/>
  <c r="AF247" i="14"/>
  <c r="AF248" i="14"/>
  <c r="AF249" i="14"/>
  <c r="AF250" i="14"/>
  <c r="AF251" i="14"/>
  <c r="AF252" i="14"/>
  <c r="AF253" i="14"/>
  <c r="AF254" i="14"/>
  <c r="AF255" i="14"/>
  <c r="AF256" i="14"/>
  <c r="AF257" i="14"/>
  <c r="AF258" i="14"/>
  <c r="AF259" i="14"/>
  <c r="AF260" i="14"/>
  <c r="AF2" i="14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" i="14"/>
  <c r="C26" i="3"/>
  <c r="D26" i="3"/>
  <c r="E26" i="3"/>
  <c r="F26" i="3"/>
  <c r="G26" i="3"/>
  <c r="H26" i="3"/>
  <c r="I26" i="3"/>
  <c r="J26" i="3"/>
  <c r="K26" i="3"/>
  <c r="M26" i="3"/>
  <c r="N26" i="3"/>
  <c r="O26" i="3"/>
  <c r="P26" i="3"/>
  <c r="S26" i="3"/>
  <c r="T26" i="3"/>
  <c r="U26" i="3"/>
  <c r="V26" i="3"/>
  <c r="C195" i="3"/>
  <c r="D195" i="3"/>
  <c r="E195" i="3"/>
  <c r="F195" i="3"/>
  <c r="G195" i="3"/>
  <c r="H195" i="3"/>
  <c r="I195" i="3"/>
  <c r="J195" i="3"/>
  <c r="K195" i="3"/>
  <c r="M195" i="3"/>
  <c r="N195" i="3"/>
  <c r="O195" i="3"/>
  <c r="P195" i="3"/>
  <c r="Q195" i="3"/>
  <c r="S195" i="3"/>
  <c r="T195" i="3"/>
  <c r="U195" i="3"/>
  <c r="V195" i="3"/>
  <c r="F7" i="14" l="1"/>
  <c r="G7" i="14" s="1"/>
  <c r="F223" i="14"/>
  <c r="G223" i="14" s="1"/>
  <c r="F201" i="14"/>
  <c r="G201" i="14" s="1"/>
  <c r="F180" i="14"/>
  <c r="G180" i="14" s="1"/>
  <c r="F224" i="14"/>
  <c r="G224" i="14" s="1"/>
  <c r="F181" i="14"/>
  <c r="G181" i="14" s="1"/>
  <c r="F218" i="14"/>
  <c r="G218" i="14" s="1"/>
  <c r="F175" i="14"/>
  <c r="G175" i="14" s="1"/>
  <c r="F38" i="14"/>
  <c r="G38" i="14" s="1"/>
  <c r="F16" i="14"/>
  <c r="G16" i="14" s="1"/>
  <c r="F202" i="14"/>
  <c r="G202" i="14" s="1"/>
  <c r="F190" i="14"/>
  <c r="G190" i="14" s="1"/>
  <c r="F98" i="14"/>
  <c r="G98" i="14" s="1"/>
  <c r="F52" i="14"/>
  <c r="G52" i="14" s="1"/>
  <c r="F3" i="14"/>
  <c r="G3" i="14" s="1"/>
  <c r="F225" i="14"/>
  <c r="G225" i="14" s="1"/>
  <c r="F203" i="14"/>
  <c r="G203" i="14" s="1"/>
  <c r="F182" i="14"/>
  <c r="G182" i="14" s="1"/>
  <c r="F136" i="14"/>
  <c r="G136" i="14" s="1"/>
  <c r="F45" i="14"/>
  <c r="G45" i="14" s="1"/>
  <c r="F198" i="14"/>
  <c r="G198" i="14" s="1"/>
  <c r="F60" i="14"/>
  <c r="G60" i="14" s="1"/>
  <c r="F235" i="14"/>
  <c r="G235" i="14" s="1"/>
  <c r="F252" i="14"/>
  <c r="G252" i="14" s="1"/>
  <c r="X26" i="3"/>
  <c r="R195" i="3"/>
  <c r="L26" i="3"/>
  <c r="Z195" i="3"/>
  <c r="Z26" i="3"/>
  <c r="R26" i="3"/>
  <c r="L195" i="3"/>
  <c r="X195" i="3"/>
  <c r="F46" i="14" l="1"/>
  <c r="G46" i="14" s="1"/>
  <c r="F8" i="14"/>
  <c r="F137" i="14"/>
  <c r="G137" i="14" s="1"/>
  <c r="F183" i="14"/>
  <c r="G183" i="14" s="1"/>
  <c r="F191" i="14"/>
  <c r="G191" i="14" s="1"/>
  <c r="F4" i="14"/>
  <c r="F226" i="14"/>
  <c r="G226" i="14" s="1"/>
  <c r="F176" i="14"/>
  <c r="F53" i="14"/>
  <c r="G53" i="14" s="1"/>
  <c r="F99" i="14"/>
  <c r="G99" i="14" s="1"/>
  <c r="F219" i="14"/>
  <c r="G219" i="14" s="1"/>
  <c r="F39" i="14"/>
  <c r="F61" i="14"/>
  <c r="G61" i="14" s="1"/>
  <c r="F204" i="14"/>
  <c r="G204" i="14" s="1"/>
  <c r="F236" i="14"/>
  <c r="G236" i="14" s="1"/>
  <c r="F17" i="14"/>
  <c r="F54" i="14"/>
  <c r="F100" i="14"/>
  <c r="F237" i="14"/>
  <c r="F47" i="14"/>
  <c r="F138" i="14"/>
  <c r="F192" i="14"/>
  <c r="F184" i="14"/>
  <c r="F253" i="14"/>
  <c r="C11" i="3"/>
  <c r="D11" i="3"/>
  <c r="E11" i="3"/>
  <c r="F11" i="3"/>
  <c r="G11" i="3"/>
  <c r="H11" i="3"/>
  <c r="I11" i="3"/>
  <c r="J11" i="3"/>
  <c r="K11" i="3"/>
  <c r="M11" i="3"/>
  <c r="N11" i="3"/>
  <c r="O11" i="3"/>
  <c r="P11" i="3"/>
  <c r="Q11" i="3"/>
  <c r="S11" i="3"/>
  <c r="T11" i="3"/>
  <c r="U11" i="3"/>
  <c r="V11" i="3"/>
  <c r="W11" i="3"/>
  <c r="Y11" i="3"/>
  <c r="F62" i="14" l="1"/>
  <c r="G8" i="14"/>
  <c r="F9" i="14"/>
  <c r="G39" i="14"/>
  <c r="F40" i="14"/>
  <c r="G4" i="14"/>
  <c r="F5" i="14"/>
  <c r="G5" i="14" s="1"/>
  <c r="G17" i="14"/>
  <c r="F18" i="14"/>
  <c r="F227" i="14"/>
  <c r="G176" i="14"/>
  <c r="F177" i="14"/>
  <c r="G177" i="14" s="1"/>
  <c r="F205" i="14"/>
  <c r="G205" i="14" s="1"/>
  <c r="G227" i="14"/>
  <c r="F228" i="14"/>
  <c r="G253" i="14"/>
  <c r="F254" i="14"/>
  <c r="G184" i="14"/>
  <c r="F185" i="14"/>
  <c r="G185" i="14" s="1"/>
  <c r="G138" i="14"/>
  <c r="F139" i="14"/>
  <c r="G192" i="14"/>
  <c r="F193" i="14"/>
  <c r="G47" i="14"/>
  <c r="F48" i="14"/>
  <c r="G48" i="14" s="1"/>
  <c r="G100" i="14"/>
  <c r="F101" i="14"/>
  <c r="G62" i="14"/>
  <c r="F63" i="14"/>
  <c r="G237" i="14"/>
  <c r="F238" i="14"/>
  <c r="G54" i="14"/>
  <c r="F55" i="14"/>
  <c r="R11" i="3"/>
  <c r="Z11" i="3"/>
  <c r="L11" i="3"/>
  <c r="X11" i="3"/>
  <c r="F206" i="14" l="1"/>
  <c r="G9" i="14"/>
  <c r="F10" i="14"/>
  <c r="G18" i="14"/>
  <c r="F19" i="14"/>
  <c r="G40" i="14"/>
  <c r="F41" i="14"/>
  <c r="G254" i="14"/>
  <c r="F255" i="14"/>
  <c r="G63" i="14"/>
  <c r="F64" i="14"/>
  <c r="G238" i="14"/>
  <c r="F239" i="14"/>
  <c r="G101" i="14"/>
  <c r="F102" i="14"/>
  <c r="G55" i="14"/>
  <c r="F56" i="14"/>
  <c r="G206" i="14"/>
  <c r="F207" i="14"/>
  <c r="G193" i="14"/>
  <c r="F194" i="14"/>
  <c r="G139" i="14"/>
  <c r="F140" i="14"/>
  <c r="G228" i="14"/>
  <c r="F229" i="14"/>
  <c r="C262" i="3"/>
  <c r="D262" i="3"/>
  <c r="E262" i="3"/>
  <c r="F262" i="3"/>
  <c r="G262" i="3"/>
  <c r="H262" i="3"/>
  <c r="I262" i="3"/>
  <c r="J262" i="3"/>
  <c r="K262" i="3"/>
  <c r="M262" i="3"/>
  <c r="N262" i="3"/>
  <c r="O262" i="3"/>
  <c r="P262" i="3"/>
  <c r="Q262" i="3"/>
  <c r="S262" i="3"/>
  <c r="T262" i="3"/>
  <c r="U262" i="3"/>
  <c r="V262" i="3"/>
  <c r="G10" i="14" l="1"/>
  <c r="F11" i="14"/>
  <c r="G19" i="14"/>
  <c r="F20" i="14"/>
  <c r="G41" i="14"/>
  <c r="F42" i="14"/>
  <c r="G229" i="14"/>
  <c r="F230" i="14"/>
  <c r="G207" i="14"/>
  <c r="F208" i="14"/>
  <c r="G140" i="14"/>
  <c r="F141" i="14"/>
  <c r="G194" i="14"/>
  <c r="F195" i="14"/>
  <c r="G102" i="14"/>
  <c r="F103" i="14"/>
  <c r="G239" i="14"/>
  <c r="F240" i="14"/>
  <c r="G64" i="14"/>
  <c r="F65" i="14"/>
  <c r="G255" i="14"/>
  <c r="F256" i="14"/>
  <c r="G56" i="14"/>
  <c r="F57" i="14"/>
  <c r="Z262" i="3"/>
  <c r="X262" i="3"/>
  <c r="L262" i="3"/>
  <c r="R262" i="3"/>
  <c r="V103" i="3"/>
  <c r="V225" i="3"/>
  <c r="V55" i="3"/>
  <c r="V214" i="3"/>
  <c r="V192" i="3"/>
  <c r="V7" i="3"/>
  <c r="V76" i="3"/>
  <c r="V205" i="3"/>
  <c r="V208" i="3"/>
  <c r="V104" i="3"/>
  <c r="V8" i="3"/>
  <c r="V230" i="3"/>
  <c r="V176" i="3"/>
  <c r="V258" i="3"/>
  <c r="V251" i="3"/>
  <c r="V154" i="3"/>
  <c r="V157" i="3"/>
  <c r="V219" i="3"/>
  <c r="V242" i="3"/>
  <c r="V245" i="3"/>
  <c r="V9" i="3"/>
  <c r="V217" i="3"/>
  <c r="V206" i="3"/>
  <c r="V264" i="3"/>
  <c r="V10" i="3"/>
  <c r="V263" i="3"/>
  <c r="V175" i="3"/>
  <c r="V122" i="3"/>
  <c r="V196" i="3"/>
  <c r="V149" i="3"/>
  <c r="V123" i="3"/>
  <c r="V234" i="3"/>
  <c r="V243" i="3"/>
  <c r="V135" i="3"/>
  <c r="V90" i="3"/>
  <c r="V111" i="3"/>
  <c r="V189" i="3"/>
  <c r="V240" i="3"/>
  <c r="V112" i="3"/>
  <c r="V207" i="3"/>
  <c r="V52" i="3"/>
  <c r="V94" i="3"/>
  <c r="V71" i="3"/>
  <c r="V133" i="3"/>
  <c r="V147" i="3"/>
  <c r="V198" i="3"/>
  <c r="V177" i="3"/>
  <c r="V191" i="3"/>
  <c r="V138" i="3"/>
  <c r="V199" i="3"/>
  <c r="V66" i="3"/>
  <c r="V125" i="3"/>
  <c r="V221" i="3"/>
  <c r="V165" i="3"/>
  <c r="V106" i="3"/>
  <c r="V36" i="3"/>
  <c r="V41" i="3"/>
  <c r="V92" i="3"/>
  <c r="V100" i="3"/>
  <c r="V144" i="3"/>
  <c r="V131" i="3"/>
  <c r="V37" i="3"/>
  <c r="V99" i="3"/>
  <c r="V210" i="3"/>
  <c r="V64" i="3"/>
  <c r="V84" i="3"/>
  <c r="V160" i="3"/>
  <c r="V212" i="3"/>
  <c r="V127" i="3"/>
  <c r="V184" i="3"/>
  <c r="V257" i="3"/>
  <c r="V86" i="3"/>
  <c r="V61" i="3"/>
  <c r="V148" i="3"/>
  <c r="V156" i="3"/>
  <c r="V12" i="3"/>
  <c r="V70" i="3"/>
  <c r="V237" i="3"/>
  <c r="V48" i="3"/>
  <c r="V118" i="3"/>
  <c r="V49" i="3"/>
  <c r="V58" i="3"/>
  <c r="V203" i="3"/>
  <c r="V88" i="3"/>
  <c r="V78" i="3"/>
  <c r="V193" i="3"/>
  <c r="V38" i="3"/>
  <c r="V85" i="3"/>
  <c r="V172" i="3"/>
  <c r="V45" i="3"/>
  <c r="V44" i="3"/>
  <c r="V35" i="3"/>
  <c r="V183" i="3"/>
  <c r="V95" i="3"/>
  <c r="V185" i="3"/>
  <c r="V113" i="3"/>
  <c r="V75" i="3"/>
  <c r="V121" i="3"/>
  <c r="V169" i="3"/>
  <c r="V134" i="3"/>
  <c r="V82" i="3"/>
  <c r="V54" i="3"/>
  <c r="V93" i="3"/>
  <c r="V98" i="3"/>
  <c r="V87" i="3"/>
  <c r="V110" i="3"/>
  <c r="V227" i="3"/>
  <c r="V91" i="3"/>
  <c r="V13" i="3"/>
  <c r="V162" i="3"/>
  <c r="V101" i="3"/>
  <c r="V200" i="3"/>
  <c r="V117" i="3"/>
  <c r="V120" i="3"/>
  <c r="V146" i="3"/>
  <c r="V63" i="3"/>
  <c r="V67" i="3"/>
  <c r="V83" i="3"/>
  <c r="V89" i="3"/>
  <c r="V34" i="3"/>
  <c r="V181" i="3"/>
  <c r="V247" i="3"/>
  <c r="V57" i="3"/>
  <c r="V173" i="3"/>
  <c r="V47" i="3"/>
  <c r="V59" i="3"/>
  <c r="V233" i="3"/>
  <c r="V141" i="3"/>
  <c r="V115" i="3"/>
  <c r="V33" i="3"/>
  <c r="V81" i="3"/>
  <c r="V79" i="3"/>
  <c r="V72" i="3"/>
  <c r="V246" i="3"/>
  <c r="V209" i="3"/>
  <c r="V97" i="3"/>
  <c r="V80" i="3"/>
  <c r="V153" i="3"/>
  <c r="V116" i="3"/>
  <c r="V60" i="3"/>
  <c r="V256" i="3"/>
  <c r="V50" i="3"/>
  <c r="V128" i="3"/>
  <c r="V159" i="3"/>
  <c r="V142" i="3"/>
  <c r="V56" i="3"/>
  <c r="V261" i="3"/>
  <c r="V211" i="3"/>
  <c r="V167" i="3"/>
  <c r="V126" i="3"/>
  <c r="V248" i="3"/>
  <c r="V42" i="3"/>
  <c r="V139" i="3"/>
  <c r="V187" i="3"/>
  <c r="V179" i="3"/>
  <c r="V137" i="3"/>
  <c r="V204" i="3"/>
  <c r="V158" i="3"/>
  <c r="V171" i="3"/>
  <c r="V51" i="3"/>
  <c r="V224" i="3"/>
  <c r="V102" i="3"/>
  <c r="V150" i="3"/>
  <c r="V109" i="3"/>
  <c r="V62" i="3"/>
  <c r="V107" i="3"/>
  <c r="V155" i="3"/>
  <c r="V164" i="3"/>
  <c r="V218" i="3"/>
  <c r="V255" i="3"/>
  <c r="V14" i="3"/>
  <c r="V15" i="3"/>
  <c r="V46" i="3"/>
  <c r="V259" i="3"/>
  <c r="V140" i="3"/>
  <c r="V16" i="3"/>
  <c r="V130" i="3"/>
  <c r="V73" i="3"/>
  <c r="V197" i="3"/>
  <c r="V17" i="3"/>
  <c r="V163" i="3"/>
  <c r="V18" i="3"/>
  <c r="V145" i="3"/>
  <c r="V235" i="3"/>
  <c r="V19" i="3"/>
  <c r="V20" i="3"/>
  <c r="V114" i="3"/>
  <c r="V201" i="3"/>
  <c r="V220" i="3"/>
  <c r="V21" i="3"/>
  <c r="V22" i="3"/>
  <c r="V23" i="3"/>
  <c r="V260" i="3"/>
  <c r="V190" i="3"/>
  <c r="V194" i="3"/>
  <c r="V143" i="3"/>
  <c r="V96" i="3"/>
  <c r="V119" i="3"/>
  <c r="V249" i="3"/>
  <c r="V254" i="3"/>
  <c r="V244" i="3"/>
  <c r="V170" i="3"/>
  <c r="V161" i="3"/>
  <c r="V168" i="3"/>
  <c r="V229" i="3"/>
  <c r="V236" i="3"/>
  <c r="V105" i="3"/>
  <c r="V174" i="3"/>
  <c r="V69" i="3"/>
  <c r="V222" i="3"/>
  <c r="V239" i="3"/>
  <c r="V124" i="3"/>
  <c r="V188" i="3"/>
  <c r="V136" i="3"/>
  <c r="V178" i="3"/>
  <c r="V24" i="3"/>
  <c r="V250" i="3"/>
  <c r="V152" i="3"/>
  <c r="V241" i="3"/>
  <c r="V253" i="3"/>
  <c r="V25" i="3"/>
  <c r="V132" i="3"/>
  <c r="V231" i="3"/>
  <c r="V186" i="3"/>
  <c r="V223" i="3"/>
  <c r="V216" i="3"/>
  <c r="V232" i="3"/>
  <c r="V238" i="3"/>
  <c r="V74" i="3"/>
  <c r="V65" i="3"/>
  <c r="V151" i="3"/>
  <c r="V40" i="3"/>
  <c r="V77" i="3"/>
  <c r="V31" i="3"/>
  <c r="V202" i="3"/>
  <c r="V228" i="3"/>
  <c r="V32" i="3"/>
  <c r="V68" i="3"/>
  <c r="V43" i="3"/>
  <c r="V53" i="3"/>
  <c r="V39" i="3"/>
  <c r="V129" i="3"/>
  <c r="V226" i="3"/>
  <c r="V215" i="3"/>
  <c r="V182" i="3"/>
  <c r="V27" i="3"/>
  <c r="V28" i="3"/>
  <c r="V213" i="3"/>
  <c r="V180" i="3"/>
  <c r="V108" i="3"/>
  <c r="V29" i="3"/>
  <c r="V30" i="3"/>
  <c r="V252" i="3"/>
  <c r="V265" i="3"/>
  <c r="V166" i="3"/>
  <c r="P103" i="3"/>
  <c r="P225" i="3"/>
  <c r="P55" i="3"/>
  <c r="P214" i="3"/>
  <c r="P192" i="3"/>
  <c r="P7" i="3"/>
  <c r="X7" i="3" s="1"/>
  <c r="P76" i="3"/>
  <c r="P205" i="3"/>
  <c r="P208" i="3"/>
  <c r="X208" i="3" s="1"/>
  <c r="P104" i="3"/>
  <c r="X104" i="3" s="1"/>
  <c r="P8" i="3"/>
  <c r="P230" i="3"/>
  <c r="P176" i="3"/>
  <c r="P258" i="3"/>
  <c r="P251" i="3"/>
  <c r="P154" i="3"/>
  <c r="P157" i="3"/>
  <c r="P219" i="3"/>
  <c r="P242" i="3"/>
  <c r="P245" i="3"/>
  <c r="P9" i="3"/>
  <c r="P217" i="3"/>
  <c r="P206" i="3"/>
  <c r="P264" i="3"/>
  <c r="P10" i="3"/>
  <c r="P263" i="3"/>
  <c r="P175" i="3"/>
  <c r="P122" i="3"/>
  <c r="P196" i="3"/>
  <c r="X196" i="3" s="1"/>
  <c r="P149" i="3"/>
  <c r="X149" i="3" s="1"/>
  <c r="P123" i="3"/>
  <c r="P234" i="3"/>
  <c r="P243" i="3"/>
  <c r="P135" i="3"/>
  <c r="P90" i="3"/>
  <c r="P111" i="3"/>
  <c r="P189" i="3"/>
  <c r="P240" i="3"/>
  <c r="P112" i="3"/>
  <c r="P207" i="3"/>
  <c r="P52" i="3"/>
  <c r="P94" i="3"/>
  <c r="P71" i="3"/>
  <c r="P133" i="3"/>
  <c r="P147" i="3"/>
  <c r="P198" i="3"/>
  <c r="P177" i="3"/>
  <c r="P191" i="3"/>
  <c r="P138" i="3"/>
  <c r="P199" i="3"/>
  <c r="P66" i="3"/>
  <c r="P125" i="3"/>
  <c r="P221" i="3"/>
  <c r="X221" i="3" s="1"/>
  <c r="P165" i="3"/>
  <c r="P106" i="3"/>
  <c r="P36" i="3"/>
  <c r="P41" i="3"/>
  <c r="P92" i="3"/>
  <c r="P100" i="3"/>
  <c r="P144" i="3"/>
  <c r="P131" i="3"/>
  <c r="P37" i="3"/>
  <c r="P99" i="3"/>
  <c r="P210" i="3"/>
  <c r="P64" i="3"/>
  <c r="P84" i="3"/>
  <c r="P160" i="3"/>
  <c r="P212" i="3"/>
  <c r="P127" i="3"/>
  <c r="P184" i="3"/>
  <c r="P257" i="3"/>
  <c r="P86" i="3"/>
  <c r="P61" i="3"/>
  <c r="P148" i="3"/>
  <c r="P156" i="3"/>
  <c r="P12" i="3"/>
  <c r="P70" i="3"/>
  <c r="X70" i="3" s="1"/>
  <c r="P237" i="3"/>
  <c r="P48" i="3"/>
  <c r="P118" i="3"/>
  <c r="P49" i="3"/>
  <c r="P58" i="3"/>
  <c r="P203" i="3"/>
  <c r="P88" i="3"/>
  <c r="P78" i="3"/>
  <c r="P193" i="3"/>
  <c r="P38" i="3"/>
  <c r="P85" i="3"/>
  <c r="P172" i="3"/>
  <c r="P45" i="3"/>
  <c r="P44" i="3"/>
  <c r="P35" i="3"/>
  <c r="P183" i="3"/>
  <c r="P95" i="3"/>
  <c r="P185" i="3"/>
  <c r="P113" i="3"/>
  <c r="P75" i="3"/>
  <c r="P121" i="3"/>
  <c r="P169" i="3"/>
  <c r="P134" i="3"/>
  <c r="P82" i="3"/>
  <c r="P54" i="3"/>
  <c r="P93" i="3"/>
  <c r="P98" i="3"/>
  <c r="P87" i="3"/>
  <c r="P110" i="3"/>
  <c r="P227" i="3"/>
  <c r="P91" i="3"/>
  <c r="P13" i="3"/>
  <c r="P162" i="3"/>
  <c r="P101" i="3"/>
  <c r="P200" i="3"/>
  <c r="P117" i="3"/>
  <c r="P120" i="3"/>
  <c r="P146" i="3"/>
  <c r="P63" i="3"/>
  <c r="P67" i="3"/>
  <c r="P83" i="3"/>
  <c r="P89" i="3"/>
  <c r="P34" i="3"/>
  <c r="P181" i="3"/>
  <c r="P247" i="3"/>
  <c r="P57" i="3"/>
  <c r="P173" i="3"/>
  <c r="P47" i="3"/>
  <c r="P59" i="3"/>
  <c r="P233" i="3"/>
  <c r="P141" i="3"/>
  <c r="P115" i="3"/>
  <c r="X115" i="3" s="1"/>
  <c r="P33" i="3"/>
  <c r="P81" i="3"/>
  <c r="P79" i="3"/>
  <c r="P72" i="3"/>
  <c r="P246" i="3"/>
  <c r="P209" i="3"/>
  <c r="P97" i="3"/>
  <c r="P80" i="3"/>
  <c r="P153" i="3"/>
  <c r="P116" i="3"/>
  <c r="P60" i="3"/>
  <c r="P256" i="3"/>
  <c r="P50" i="3"/>
  <c r="P128" i="3"/>
  <c r="P159" i="3"/>
  <c r="P142" i="3"/>
  <c r="P56" i="3"/>
  <c r="P261" i="3"/>
  <c r="P211" i="3"/>
  <c r="P167" i="3"/>
  <c r="P126" i="3"/>
  <c r="P248" i="3"/>
  <c r="P42" i="3"/>
  <c r="P139" i="3"/>
  <c r="P187" i="3"/>
  <c r="P179" i="3"/>
  <c r="P137" i="3"/>
  <c r="P204" i="3"/>
  <c r="P158" i="3"/>
  <c r="P171" i="3"/>
  <c r="P51" i="3"/>
  <c r="P224" i="3"/>
  <c r="P102" i="3"/>
  <c r="P150" i="3"/>
  <c r="P109" i="3"/>
  <c r="P62" i="3"/>
  <c r="P107" i="3"/>
  <c r="P155" i="3"/>
  <c r="P164" i="3"/>
  <c r="P218" i="3"/>
  <c r="P255" i="3"/>
  <c r="P14" i="3"/>
  <c r="P15" i="3"/>
  <c r="P46" i="3"/>
  <c r="P259" i="3"/>
  <c r="P140" i="3"/>
  <c r="P16" i="3"/>
  <c r="P130" i="3"/>
  <c r="X130" i="3" s="1"/>
  <c r="P73" i="3"/>
  <c r="P197" i="3"/>
  <c r="P17" i="3"/>
  <c r="P163" i="3"/>
  <c r="P18" i="3"/>
  <c r="P145" i="3"/>
  <c r="P235" i="3"/>
  <c r="P19" i="3"/>
  <c r="P20" i="3"/>
  <c r="P114" i="3"/>
  <c r="P201" i="3"/>
  <c r="P220" i="3"/>
  <c r="P21" i="3"/>
  <c r="P22" i="3"/>
  <c r="P23" i="3"/>
  <c r="P260" i="3"/>
  <c r="P190" i="3"/>
  <c r="P194" i="3"/>
  <c r="P143" i="3"/>
  <c r="P96" i="3"/>
  <c r="P119" i="3"/>
  <c r="P249" i="3"/>
  <c r="P254" i="3"/>
  <c r="P244" i="3"/>
  <c r="P170" i="3"/>
  <c r="P161" i="3"/>
  <c r="P168" i="3"/>
  <c r="P229" i="3"/>
  <c r="P236" i="3"/>
  <c r="P105" i="3"/>
  <c r="P174" i="3"/>
  <c r="P69" i="3"/>
  <c r="P222" i="3"/>
  <c r="P239" i="3"/>
  <c r="P124" i="3"/>
  <c r="P188" i="3"/>
  <c r="P136" i="3"/>
  <c r="P178" i="3"/>
  <c r="P24" i="3"/>
  <c r="P250" i="3"/>
  <c r="P152" i="3"/>
  <c r="P241" i="3"/>
  <c r="P253" i="3"/>
  <c r="P25" i="3"/>
  <c r="P132" i="3"/>
  <c r="P231" i="3"/>
  <c r="P186" i="3"/>
  <c r="P223" i="3"/>
  <c r="P216" i="3"/>
  <c r="P232" i="3"/>
  <c r="P238" i="3"/>
  <c r="P74" i="3"/>
  <c r="P65" i="3"/>
  <c r="P151" i="3"/>
  <c r="P40" i="3"/>
  <c r="P77" i="3"/>
  <c r="P31" i="3"/>
  <c r="P202" i="3"/>
  <c r="P228" i="3"/>
  <c r="P32" i="3"/>
  <c r="P68" i="3"/>
  <c r="P43" i="3"/>
  <c r="P53" i="3"/>
  <c r="P39" i="3"/>
  <c r="P129" i="3"/>
  <c r="P226" i="3"/>
  <c r="P215" i="3"/>
  <c r="P182" i="3"/>
  <c r="P27" i="3"/>
  <c r="P28" i="3"/>
  <c r="P213" i="3"/>
  <c r="P180" i="3"/>
  <c r="P108" i="3"/>
  <c r="P29" i="3"/>
  <c r="P30" i="3"/>
  <c r="P252" i="3"/>
  <c r="P265" i="3"/>
  <c r="P166" i="3"/>
  <c r="J103" i="3"/>
  <c r="J225" i="3"/>
  <c r="J55" i="3"/>
  <c r="J214" i="3"/>
  <c r="J192" i="3"/>
  <c r="J7" i="3"/>
  <c r="J76" i="3"/>
  <c r="J205" i="3"/>
  <c r="J208" i="3"/>
  <c r="J104" i="3"/>
  <c r="J8" i="3"/>
  <c r="J230" i="3"/>
  <c r="J176" i="3"/>
  <c r="J258" i="3"/>
  <c r="J251" i="3"/>
  <c r="J154" i="3"/>
  <c r="J157" i="3"/>
  <c r="J219" i="3"/>
  <c r="J242" i="3"/>
  <c r="J245" i="3"/>
  <c r="J9" i="3"/>
  <c r="J217" i="3"/>
  <c r="J206" i="3"/>
  <c r="J264" i="3"/>
  <c r="J10" i="3"/>
  <c r="J263" i="3"/>
  <c r="J175" i="3"/>
  <c r="J122" i="3"/>
  <c r="J196" i="3"/>
  <c r="J149" i="3"/>
  <c r="J123" i="3"/>
  <c r="J234" i="3"/>
  <c r="J243" i="3"/>
  <c r="J135" i="3"/>
  <c r="J90" i="3"/>
  <c r="J111" i="3"/>
  <c r="J189" i="3"/>
  <c r="J240" i="3"/>
  <c r="J112" i="3"/>
  <c r="R112" i="3" s="1"/>
  <c r="J207" i="3"/>
  <c r="J52" i="3"/>
  <c r="J94" i="3"/>
  <c r="J71" i="3"/>
  <c r="J133" i="3"/>
  <c r="J147" i="3"/>
  <c r="J198" i="3"/>
  <c r="J177" i="3"/>
  <c r="J191" i="3"/>
  <c r="J138" i="3"/>
  <c r="J199" i="3"/>
  <c r="J66" i="3"/>
  <c r="J125" i="3"/>
  <c r="J221" i="3"/>
  <c r="J165" i="3"/>
  <c r="J106" i="3"/>
  <c r="J36" i="3"/>
  <c r="J41" i="3"/>
  <c r="J92" i="3"/>
  <c r="R92" i="3" s="1"/>
  <c r="J100" i="3"/>
  <c r="J144" i="3"/>
  <c r="J131" i="3"/>
  <c r="J37" i="3"/>
  <c r="J99" i="3"/>
  <c r="J210" i="3"/>
  <c r="J64" i="3"/>
  <c r="J84" i="3"/>
  <c r="J160" i="3"/>
  <c r="J212" i="3"/>
  <c r="J127" i="3"/>
  <c r="J184" i="3"/>
  <c r="J257" i="3"/>
  <c r="J86" i="3"/>
  <c r="J61" i="3"/>
  <c r="J148" i="3"/>
  <c r="J156" i="3"/>
  <c r="J12" i="3"/>
  <c r="J70" i="3"/>
  <c r="J237" i="3"/>
  <c r="J48" i="3"/>
  <c r="J118" i="3"/>
  <c r="J49" i="3"/>
  <c r="J58" i="3"/>
  <c r="J203" i="3"/>
  <c r="J88" i="3"/>
  <c r="J78" i="3"/>
  <c r="J193" i="3"/>
  <c r="J38" i="3"/>
  <c r="J85" i="3"/>
  <c r="J172" i="3"/>
  <c r="J45" i="3"/>
  <c r="J44" i="3"/>
  <c r="J35" i="3"/>
  <c r="J183" i="3"/>
  <c r="J95" i="3"/>
  <c r="J185" i="3"/>
  <c r="J113" i="3"/>
  <c r="J75" i="3"/>
  <c r="J121" i="3"/>
  <c r="J169" i="3"/>
  <c r="J134" i="3"/>
  <c r="J82" i="3"/>
  <c r="J54" i="3"/>
  <c r="J93" i="3"/>
  <c r="J98" i="3"/>
  <c r="J87" i="3"/>
  <c r="J110" i="3"/>
  <c r="J227" i="3"/>
  <c r="J91" i="3"/>
  <c r="J13" i="3"/>
  <c r="J162" i="3"/>
  <c r="J101" i="3"/>
  <c r="J200" i="3"/>
  <c r="J117" i="3"/>
  <c r="J120" i="3"/>
  <c r="J146" i="3"/>
  <c r="J63" i="3"/>
  <c r="J67" i="3"/>
  <c r="J83" i="3"/>
  <c r="J89" i="3"/>
  <c r="J34" i="3"/>
  <c r="J181" i="3"/>
  <c r="J247" i="3"/>
  <c r="J57" i="3"/>
  <c r="J173" i="3"/>
  <c r="J47" i="3"/>
  <c r="J59" i="3"/>
  <c r="J233" i="3"/>
  <c r="J141" i="3"/>
  <c r="J115" i="3"/>
  <c r="J33" i="3"/>
  <c r="J81" i="3"/>
  <c r="J79" i="3"/>
  <c r="J72" i="3"/>
  <c r="J246" i="3"/>
  <c r="J209" i="3"/>
  <c r="J97" i="3"/>
  <c r="J80" i="3"/>
  <c r="J153" i="3"/>
  <c r="J116" i="3"/>
  <c r="J60" i="3"/>
  <c r="J256" i="3"/>
  <c r="J50" i="3"/>
  <c r="J128" i="3"/>
  <c r="J159" i="3"/>
  <c r="J142" i="3"/>
  <c r="J56" i="3"/>
  <c r="J261" i="3"/>
  <c r="J211" i="3"/>
  <c r="J167" i="3"/>
  <c r="J126" i="3"/>
  <c r="J248" i="3"/>
  <c r="J42" i="3"/>
  <c r="J139" i="3"/>
  <c r="J187" i="3"/>
  <c r="J179" i="3"/>
  <c r="J137" i="3"/>
  <c r="J204" i="3"/>
  <c r="J158" i="3"/>
  <c r="J171" i="3"/>
  <c r="J51" i="3"/>
  <c r="J224" i="3"/>
  <c r="J102" i="3"/>
  <c r="J150" i="3"/>
  <c r="J109" i="3"/>
  <c r="J62" i="3"/>
  <c r="J107" i="3"/>
  <c r="J155" i="3"/>
  <c r="J164" i="3"/>
  <c r="J218" i="3"/>
  <c r="J255" i="3"/>
  <c r="J14" i="3"/>
  <c r="J15" i="3"/>
  <c r="J46" i="3"/>
  <c r="J259" i="3"/>
  <c r="J140" i="3"/>
  <c r="J16" i="3"/>
  <c r="J130" i="3"/>
  <c r="J73" i="3"/>
  <c r="J197" i="3"/>
  <c r="J17" i="3"/>
  <c r="J163" i="3"/>
  <c r="J18" i="3"/>
  <c r="J145" i="3"/>
  <c r="J235" i="3"/>
  <c r="J19" i="3"/>
  <c r="J20" i="3"/>
  <c r="J114" i="3"/>
  <c r="J201" i="3"/>
  <c r="J220" i="3"/>
  <c r="J21" i="3"/>
  <c r="J22" i="3"/>
  <c r="J23" i="3"/>
  <c r="J260" i="3"/>
  <c r="J190" i="3"/>
  <c r="J194" i="3"/>
  <c r="J143" i="3"/>
  <c r="J96" i="3"/>
  <c r="J119" i="3"/>
  <c r="J249" i="3"/>
  <c r="J254" i="3"/>
  <c r="J244" i="3"/>
  <c r="J170" i="3"/>
  <c r="J161" i="3"/>
  <c r="J168" i="3"/>
  <c r="J229" i="3"/>
  <c r="J236" i="3"/>
  <c r="J105" i="3"/>
  <c r="J174" i="3"/>
  <c r="J69" i="3"/>
  <c r="J222" i="3"/>
  <c r="J239" i="3"/>
  <c r="J124" i="3"/>
  <c r="J188" i="3"/>
  <c r="J136" i="3"/>
  <c r="J178" i="3"/>
  <c r="J24" i="3"/>
  <c r="J250" i="3"/>
  <c r="J152" i="3"/>
  <c r="J241" i="3"/>
  <c r="J253" i="3"/>
  <c r="J25" i="3"/>
  <c r="J132" i="3"/>
  <c r="J231" i="3"/>
  <c r="J186" i="3"/>
  <c r="J223" i="3"/>
  <c r="J216" i="3"/>
  <c r="J232" i="3"/>
  <c r="J238" i="3"/>
  <c r="J74" i="3"/>
  <c r="J65" i="3"/>
  <c r="J151" i="3"/>
  <c r="J40" i="3"/>
  <c r="J77" i="3"/>
  <c r="J31" i="3"/>
  <c r="J202" i="3"/>
  <c r="J228" i="3"/>
  <c r="J32" i="3"/>
  <c r="J68" i="3"/>
  <c r="J43" i="3"/>
  <c r="J53" i="3"/>
  <c r="J39" i="3"/>
  <c r="J129" i="3"/>
  <c r="J226" i="3"/>
  <c r="J215" i="3"/>
  <c r="J182" i="3"/>
  <c r="J27" i="3"/>
  <c r="J28" i="3"/>
  <c r="J213" i="3"/>
  <c r="J180" i="3"/>
  <c r="J108" i="3"/>
  <c r="J29" i="3"/>
  <c r="J30" i="3"/>
  <c r="J252" i="3"/>
  <c r="J265" i="3"/>
  <c r="J166" i="3"/>
  <c r="F103" i="3"/>
  <c r="F225" i="3"/>
  <c r="F55" i="3"/>
  <c r="F214" i="3"/>
  <c r="F192" i="3"/>
  <c r="Z192" i="3" s="1"/>
  <c r="F7" i="3"/>
  <c r="Z7" i="3" s="1"/>
  <c r="F76" i="3"/>
  <c r="Z76" i="3" s="1"/>
  <c r="F205" i="3"/>
  <c r="F208" i="3"/>
  <c r="Z208" i="3" s="1"/>
  <c r="F104" i="3"/>
  <c r="Z104" i="3" s="1"/>
  <c r="F8" i="3"/>
  <c r="Z8" i="3" s="1"/>
  <c r="F230" i="3"/>
  <c r="F176" i="3"/>
  <c r="Z176" i="3" s="1"/>
  <c r="F258" i="3"/>
  <c r="F251" i="3"/>
  <c r="F154" i="3"/>
  <c r="F157" i="3"/>
  <c r="F219" i="3"/>
  <c r="F242" i="3"/>
  <c r="F245" i="3"/>
  <c r="F9" i="3"/>
  <c r="F217" i="3"/>
  <c r="F206" i="3"/>
  <c r="F264" i="3"/>
  <c r="F10" i="3"/>
  <c r="F263" i="3"/>
  <c r="F175" i="3"/>
  <c r="F122" i="3"/>
  <c r="F196" i="3"/>
  <c r="Z196" i="3" s="1"/>
  <c r="F149" i="3"/>
  <c r="Z149" i="3" s="1"/>
  <c r="F123" i="3"/>
  <c r="Z123" i="3" s="1"/>
  <c r="F234" i="3"/>
  <c r="F243" i="3"/>
  <c r="F135" i="3"/>
  <c r="Z135" i="3" s="1"/>
  <c r="F90" i="3"/>
  <c r="Z90" i="3" s="1"/>
  <c r="F111" i="3"/>
  <c r="F189" i="3"/>
  <c r="F240" i="3"/>
  <c r="F112" i="3"/>
  <c r="F207" i="3"/>
  <c r="F52" i="3"/>
  <c r="F94" i="3"/>
  <c r="F71" i="3"/>
  <c r="F133" i="3"/>
  <c r="F147" i="3"/>
  <c r="F198" i="3"/>
  <c r="F177" i="3"/>
  <c r="F191" i="3"/>
  <c r="F138" i="3"/>
  <c r="F199" i="3"/>
  <c r="F66" i="3"/>
  <c r="L66" i="3" s="1"/>
  <c r="F125" i="3"/>
  <c r="F221" i="3"/>
  <c r="Z221" i="3" s="1"/>
  <c r="F165" i="3"/>
  <c r="Z165" i="3" s="1"/>
  <c r="F106" i="3"/>
  <c r="F36" i="3"/>
  <c r="F41" i="3"/>
  <c r="F92" i="3"/>
  <c r="F100" i="3"/>
  <c r="F144" i="3"/>
  <c r="F131" i="3"/>
  <c r="F37" i="3"/>
  <c r="F99" i="3"/>
  <c r="F210" i="3"/>
  <c r="F64" i="3"/>
  <c r="F84" i="3"/>
  <c r="F160" i="3"/>
  <c r="F212" i="3"/>
  <c r="F127" i="3"/>
  <c r="F184" i="3"/>
  <c r="F257" i="3"/>
  <c r="F86" i="3"/>
  <c r="F61" i="3"/>
  <c r="F148" i="3"/>
  <c r="F156" i="3"/>
  <c r="F12" i="3"/>
  <c r="F70" i="3"/>
  <c r="F237" i="3"/>
  <c r="F48" i="3"/>
  <c r="F118" i="3"/>
  <c r="F49" i="3"/>
  <c r="F58" i="3"/>
  <c r="F203" i="3"/>
  <c r="F88" i="3"/>
  <c r="F78" i="3"/>
  <c r="F193" i="3"/>
  <c r="F38" i="3"/>
  <c r="F85" i="3"/>
  <c r="F172" i="3"/>
  <c r="F45" i="3"/>
  <c r="F44" i="3"/>
  <c r="F35" i="3"/>
  <c r="F183" i="3"/>
  <c r="F95" i="3"/>
  <c r="F185" i="3"/>
  <c r="F113" i="3"/>
  <c r="F75" i="3"/>
  <c r="F121" i="3"/>
  <c r="F169" i="3"/>
  <c r="F134" i="3"/>
  <c r="F82" i="3"/>
  <c r="F54" i="3"/>
  <c r="F93" i="3"/>
  <c r="F98" i="3"/>
  <c r="F87" i="3"/>
  <c r="F110" i="3"/>
  <c r="F227" i="3"/>
  <c r="F91" i="3"/>
  <c r="F13" i="3"/>
  <c r="F162" i="3"/>
  <c r="F101" i="3"/>
  <c r="F200" i="3"/>
  <c r="F117" i="3"/>
  <c r="F120" i="3"/>
  <c r="F146" i="3"/>
  <c r="F63" i="3"/>
  <c r="F67" i="3"/>
  <c r="F83" i="3"/>
  <c r="F89" i="3"/>
  <c r="F34" i="3"/>
  <c r="F181" i="3"/>
  <c r="F247" i="3"/>
  <c r="F57" i="3"/>
  <c r="F173" i="3"/>
  <c r="F47" i="3"/>
  <c r="F59" i="3"/>
  <c r="F233" i="3"/>
  <c r="F141" i="3"/>
  <c r="F115" i="3"/>
  <c r="Z115" i="3" s="1"/>
  <c r="F33" i="3"/>
  <c r="F81" i="3"/>
  <c r="F79" i="3"/>
  <c r="F72" i="3"/>
  <c r="F246" i="3"/>
  <c r="F209" i="3"/>
  <c r="F97" i="3"/>
  <c r="F80" i="3"/>
  <c r="F153" i="3"/>
  <c r="F116" i="3"/>
  <c r="F60" i="3"/>
  <c r="F256" i="3"/>
  <c r="F50" i="3"/>
  <c r="F128" i="3"/>
  <c r="F159" i="3"/>
  <c r="F142" i="3"/>
  <c r="F56" i="3"/>
  <c r="F261" i="3"/>
  <c r="F211" i="3"/>
  <c r="F167" i="3"/>
  <c r="F126" i="3"/>
  <c r="F248" i="3"/>
  <c r="F42" i="3"/>
  <c r="F139" i="3"/>
  <c r="F187" i="3"/>
  <c r="Z187" i="3" s="1"/>
  <c r="F179" i="3"/>
  <c r="F137" i="3"/>
  <c r="F204" i="3"/>
  <c r="F158" i="3"/>
  <c r="F171" i="3"/>
  <c r="F51" i="3"/>
  <c r="F224" i="3"/>
  <c r="F102" i="3"/>
  <c r="F150" i="3"/>
  <c r="F109" i="3"/>
  <c r="F62" i="3"/>
  <c r="F107" i="3"/>
  <c r="F155" i="3"/>
  <c r="F164" i="3"/>
  <c r="F218" i="3"/>
  <c r="F255" i="3"/>
  <c r="F14" i="3"/>
  <c r="F15" i="3"/>
  <c r="F46" i="3"/>
  <c r="F259" i="3"/>
  <c r="F140" i="3"/>
  <c r="Z140" i="3" s="1"/>
  <c r="F16" i="3"/>
  <c r="F130" i="3"/>
  <c r="Z130" i="3" s="1"/>
  <c r="F73" i="3"/>
  <c r="F197" i="3"/>
  <c r="F17" i="3"/>
  <c r="F163" i="3"/>
  <c r="Z163" i="3" s="1"/>
  <c r="F18" i="3"/>
  <c r="F145" i="3"/>
  <c r="F235" i="3"/>
  <c r="F19" i="3"/>
  <c r="F20" i="3"/>
  <c r="F114" i="3"/>
  <c r="F201" i="3"/>
  <c r="F220" i="3"/>
  <c r="F21" i="3"/>
  <c r="F22" i="3"/>
  <c r="F23" i="3"/>
  <c r="F260" i="3"/>
  <c r="F190" i="3"/>
  <c r="F194" i="3"/>
  <c r="F143" i="3"/>
  <c r="F96" i="3"/>
  <c r="F119" i="3"/>
  <c r="F249" i="3"/>
  <c r="F254" i="3"/>
  <c r="F244" i="3"/>
  <c r="F170" i="3"/>
  <c r="F161" i="3"/>
  <c r="F168" i="3"/>
  <c r="F229" i="3"/>
  <c r="F236" i="3"/>
  <c r="F105" i="3"/>
  <c r="F174" i="3"/>
  <c r="F69" i="3"/>
  <c r="F222" i="3"/>
  <c r="F239" i="3"/>
  <c r="F124" i="3"/>
  <c r="F188" i="3"/>
  <c r="F136" i="3"/>
  <c r="F178" i="3"/>
  <c r="F24" i="3"/>
  <c r="F250" i="3"/>
  <c r="F152" i="3"/>
  <c r="F241" i="3"/>
  <c r="F253" i="3"/>
  <c r="F25" i="3"/>
  <c r="F132" i="3"/>
  <c r="F231" i="3"/>
  <c r="F186" i="3"/>
  <c r="F223" i="3"/>
  <c r="F216" i="3"/>
  <c r="F232" i="3"/>
  <c r="F238" i="3"/>
  <c r="F74" i="3"/>
  <c r="F65" i="3"/>
  <c r="F151" i="3"/>
  <c r="F40" i="3"/>
  <c r="F77" i="3"/>
  <c r="F31" i="3"/>
  <c r="F202" i="3"/>
  <c r="F228" i="3"/>
  <c r="F32" i="3"/>
  <c r="F68" i="3"/>
  <c r="F43" i="3"/>
  <c r="F53" i="3"/>
  <c r="F39" i="3"/>
  <c r="F129" i="3"/>
  <c r="F226" i="3"/>
  <c r="F215" i="3"/>
  <c r="F182" i="3"/>
  <c r="F27" i="3"/>
  <c r="F28" i="3"/>
  <c r="F213" i="3"/>
  <c r="F180" i="3"/>
  <c r="F108" i="3"/>
  <c r="F29" i="3"/>
  <c r="F30" i="3"/>
  <c r="F252" i="3"/>
  <c r="F265" i="3"/>
  <c r="F166" i="3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Y26" i="3" s="1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Y166" i="3" s="1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Y262" i="3" s="1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S103" i="3"/>
  <c r="T103" i="3"/>
  <c r="U103" i="3"/>
  <c r="S225" i="3"/>
  <c r="T225" i="3"/>
  <c r="U225" i="3"/>
  <c r="S55" i="3"/>
  <c r="T55" i="3"/>
  <c r="U55" i="3"/>
  <c r="S214" i="3"/>
  <c r="T214" i="3"/>
  <c r="U214" i="3"/>
  <c r="S192" i="3"/>
  <c r="T192" i="3"/>
  <c r="U192" i="3"/>
  <c r="S7" i="3"/>
  <c r="T7" i="3"/>
  <c r="U7" i="3"/>
  <c r="S76" i="3"/>
  <c r="T76" i="3"/>
  <c r="U76" i="3"/>
  <c r="S205" i="3"/>
  <c r="T205" i="3"/>
  <c r="U205" i="3"/>
  <c r="S208" i="3"/>
  <c r="T208" i="3"/>
  <c r="U208" i="3"/>
  <c r="S104" i="3"/>
  <c r="T104" i="3"/>
  <c r="U104" i="3"/>
  <c r="S8" i="3"/>
  <c r="T8" i="3"/>
  <c r="U8" i="3"/>
  <c r="W8" i="3"/>
  <c r="S230" i="3"/>
  <c r="T230" i="3"/>
  <c r="U230" i="3"/>
  <c r="S176" i="3"/>
  <c r="T176" i="3"/>
  <c r="U176" i="3"/>
  <c r="S258" i="3"/>
  <c r="T258" i="3"/>
  <c r="U258" i="3"/>
  <c r="S251" i="3"/>
  <c r="T251" i="3"/>
  <c r="U251" i="3"/>
  <c r="S154" i="3"/>
  <c r="T154" i="3"/>
  <c r="U154" i="3"/>
  <c r="S157" i="3"/>
  <c r="T157" i="3"/>
  <c r="U157" i="3"/>
  <c r="S219" i="3"/>
  <c r="T219" i="3"/>
  <c r="U219" i="3"/>
  <c r="S242" i="3"/>
  <c r="T242" i="3"/>
  <c r="U242" i="3"/>
  <c r="S245" i="3"/>
  <c r="T245" i="3"/>
  <c r="U245" i="3"/>
  <c r="S9" i="3"/>
  <c r="T9" i="3"/>
  <c r="U9" i="3"/>
  <c r="S217" i="3"/>
  <c r="T217" i="3"/>
  <c r="U217" i="3"/>
  <c r="S206" i="3"/>
  <c r="T206" i="3"/>
  <c r="U206" i="3"/>
  <c r="S264" i="3"/>
  <c r="T264" i="3"/>
  <c r="U264" i="3"/>
  <c r="S10" i="3"/>
  <c r="T10" i="3"/>
  <c r="U10" i="3"/>
  <c r="W10" i="3"/>
  <c r="S263" i="3"/>
  <c r="T263" i="3"/>
  <c r="U263" i="3"/>
  <c r="S175" i="3"/>
  <c r="T175" i="3"/>
  <c r="U175" i="3"/>
  <c r="S122" i="3"/>
  <c r="T122" i="3"/>
  <c r="U122" i="3"/>
  <c r="S196" i="3"/>
  <c r="T196" i="3"/>
  <c r="U196" i="3"/>
  <c r="S149" i="3"/>
  <c r="T149" i="3"/>
  <c r="U149" i="3"/>
  <c r="S123" i="3"/>
  <c r="T123" i="3"/>
  <c r="U123" i="3"/>
  <c r="S234" i="3"/>
  <c r="T234" i="3"/>
  <c r="U234" i="3"/>
  <c r="S243" i="3"/>
  <c r="T243" i="3"/>
  <c r="U243" i="3"/>
  <c r="S135" i="3"/>
  <c r="T135" i="3"/>
  <c r="U135" i="3"/>
  <c r="S90" i="3"/>
  <c r="T90" i="3"/>
  <c r="U90" i="3"/>
  <c r="S111" i="3"/>
  <c r="T111" i="3"/>
  <c r="U111" i="3"/>
  <c r="S189" i="3"/>
  <c r="T189" i="3"/>
  <c r="U189" i="3"/>
  <c r="S240" i="3"/>
  <c r="T240" i="3"/>
  <c r="U240" i="3"/>
  <c r="S112" i="3"/>
  <c r="T112" i="3"/>
  <c r="U112" i="3"/>
  <c r="S207" i="3"/>
  <c r="T207" i="3"/>
  <c r="U207" i="3"/>
  <c r="S52" i="3"/>
  <c r="T52" i="3"/>
  <c r="U52" i="3"/>
  <c r="S94" i="3"/>
  <c r="T94" i="3"/>
  <c r="U94" i="3"/>
  <c r="S71" i="3"/>
  <c r="T71" i="3"/>
  <c r="U71" i="3"/>
  <c r="S133" i="3"/>
  <c r="T133" i="3"/>
  <c r="U133" i="3"/>
  <c r="S147" i="3"/>
  <c r="T147" i="3"/>
  <c r="U147" i="3"/>
  <c r="S198" i="3"/>
  <c r="T198" i="3"/>
  <c r="U198" i="3"/>
  <c r="S177" i="3"/>
  <c r="T177" i="3"/>
  <c r="U177" i="3"/>
  <c r="S191" i="3"/>
  <c r="T191" i="3"/>
  <c r="U191" i="3"/>
  <c r="S138" i="3"/>
  <c r="T138" i="3"/>
  <c r="U138" i="3"/>
  <c r="S199" i="3"/>
  <c r="T199" i="3"/>
  <c r="U199" i="3"/>
  <c r="S66" i="3"/>
  <c r="T66" i="3"/>
  <c r="U66" i="3"/>
  <c r="S125" i="3"/>
  <c r="T125" i="3"/>
  <c r="U125" i="3"/>
  <c r="S221" i="3"/>
  <c r="T221" i="3"/>
  <c r="U221" i="3"/>
  <c r="S165" i="3"/>
  <c r="T165" i="3"/>
  <c r="U165" i="3"/>
  <c r="S106" i="3"/>
  <c r="T106" i="3"/>
  <c r="U106" i="3"/>
  <c r="S36" i="3"/>
  <c r="T36" i="3"/>
  <c r="U36" i="3"/>
  <c r="S41" i="3"/>
  <c r="T41" i="3"/>
  <c r="U41" i="3"/>
  <c r="S92" i="3"/>
  <c r="T92" i="3"/>
  <c r="U92" i="3"/>
  <c r="X92" i="3"/>
  <c r="S100" i="3"/>
  <c r="T100" i="3"/>
  <c r="U100" i="3"/>
  <c r="S144" i="3"/>
  <c r="T144" i="3"/>
  <c r="U144" i="3"/>
  <c r="S131" i="3"/>
  <c r="T131" i="3"/>
  <c r="U131" i="3"/>
  <c r="S37" i="3"/>
  <c r="T37" i="3"/>
  <c r="U37" i="3"/>
  <c r="S99" i="3"/>
  <c r="T99" i="3"/>
  <c r="U99" i="3"/>
  <c r="S210" i="3"/>
  <c r="T210" i="3"/>
  <c r="U210" i="3"/>
  <c r="S64" i="3"/>
  <c r="T64" i="3"/>
  <c r="U64" i="3"/>
  <c r="S84" i="3"/>
  <c r="T84" i="3"/>
  <c r="U84" i="3"/>
  <c r="S160" i="3"/>
  <c r="T160" i="3"/>
  <c r="U160" i="3"/>
  <c r="S212" i="3"/>
  <c r="T212" i="3"/>
  <c r="U212" i="3"/>
  <c r="S127" i="3"/>
  <c r="T127" i="3"/>
  <c r="U127" i="3"/>
  <c r="S184" i="3"/>
  <c r="T184" i="3"/>
  <c r="U184" i="3"/>
  <c r="S257" i="3"/>
  <c r="T257" i="3"/>
  <c r="U257" i="3"/>
  <c r="S86" i="3"/>
  <c r="T86" i="3"/>
  <c r="U86" i="3"/>
  <c r="S61" i="3"/>
  <c r="T61" i="3"/>
  <c r="U61" i="3"/>
  <c r="S148" i="3"/>
  <c r="T148" i="3"/>
  <c r="U148" i="3"/>
  <c r="S156" i="3"/>
  <c r="T156" i="3"/>
  <c r="U156" i="3"/>
  <c r="S12" i="3"/>
  <c r="T12" i="3"/>
  <c r="U12" i="3"/>
  <c r="W12" i="3"/>
  <c r="S70" i="3"/>
  <c r="T70" i="3"/>
  <c r="U70" i="3"/>
  <c r="S237" i="3"/>
  <c r="T237" i="3"/>
  <c r="U237" i="3"/>
  <c r="S48" i="3"/>
  <c r="T48" i="3"/>
  <c r="U48" i="3"/>
  <c r="S118" i="3"/>
  <c r="T118" i="3"/>
  <c r="U118" i="3"/>
  <c r="S49" i="3"/>
  <c r="T49" i="3"/>
  <c r="U49" i="3"/>
  <c r="S58" i="3"/>
  <c r="T58" i="3"/>
  <c r="U58" i="3"/>
  <c r="S203" i="3"/>
  <c r="T203" i="3"/>
  <c r="U203" i="3"/>
  <c r="S88" i="3"/>
  <c r="T88" i="3"/>
  <c r="U88" i="3"/>
  <c r="S78" i="3"/>
  <c r="T78" i="3"/>
  <c r="U78" i="3"/>
  <c r="S193" i="3"/>
  <c r="T193" i="3"/>
  <c r="U193" i="3"/>
  <c r="S38" i="3"/>
  <c r="T38" i="3"/>
  <c r="U38" i="3"/>
  <c r="S85" i="3"/>
  <c r="T85" i="3"/>
  <c r="U85" i="3"/>
  <c r="S172" i="3"/>
  <c r="T172" i="3"/>
  <c r="U172" i="3"/>
  <c r="S45" i="3"/>
  <c r="T45" i="3"/>
  <c r="U45" i="3"/>
  <c r="S44" i="3"/>
  <c r="T44" i="3"/>
  <c r="U44" i="3"/>
  <c r="S35" i="3"/>
  <c r="T35" i="3"/>
  <c r="U35" i="3"/>
  <c r="S183" i="3"/>
  <c r="T183" i="3"/>
  <c r="U183" i="3"/>
  <c r="S95" i="3"/>
  <c r="T95" i="3"/>
  <c r="U95" i="3"/>
  <c r="S185" i="3"/>
  <c r="T185" i="3"/>
  <c r="U185" i="3"/>
  <c r="S113" i="3"/>
  <c r="T113" i="3"/>
  <c r="U113" i="3"/>
  <c r="S75" i="3"/>
  <c r="T75" i="3"/>
  <c r="U75" i="3"/>
  <c r="S121" i="3"/>
  <c r="T121" i="3"/>
  <c r="U121" i="3"/>
  <c r="S169" i="3"/>
  <c r="T169" i="3"/>
  <c r="U169" i="3"/>
  <c r="S134" i="3"/>
  <c r="T134" i="3"/>
  <c r="U134" i="3"/>
  <c r="S82" i="3"/>
  <c r="T82" i="3"/>
  <c r="U82" i="3"/>
  <c r="S54" i="3"/>
  <c r="T54" i="3"/>
  <c r="U54" i="3"/>
  <c r="S93" i="3"/>
  <c r="T93" i="3"/>
  <c r="U93" i="3"/>
  <c r="S98" i="3"/>
  <c r="T98" i="3"/>
  <c r="U98" i="3"/>
  <c r="S87" i="3"/>
  <c r="T87" i="3"/>
  <c r="U87" i="3"/>
  <c r="S110" i="3"/>
  <c r="T110" i="3"/>
  <c r="U110" i="3"/>
  <c r="S227" i="3"/>
  <c r="T227" i="3"/>
  <c r="U227" i="3"/>
  <c r="S91" i="3"/>
  <c r="T91" i="3"/>
  <c r="U91" i="3"/>
  <c r="S13" i="3"/>
  <c r="T13" i="3"/>
  <c r="U13" i="3"/>
  <c r="S162" i="3"/>
  <c r="T162" i="3"/>
  <c r="U162" i="3"/>
  <c r="S101" i="3"/>
  <c r="T101" i="3"/>
  <c r="U101" i="3"/>
  <c r="S200" i="3"/>
  <c r="T200" i="3"/>
  <c r="U200" i="3"/>
  <c r="S117" i="3"/>
  <c r="T117" i="3"/>
  <c r="U117" i="3"/>
  <c r="S120" i="3"/>
  <c r="T120" i="3"/>
  <c r="U120" i="3"/>
  <c r="S146" i="3"/>
  <c r="T146" i="3"/>
  <c r="U146" i="3"/>
  <c r="S63" i="3"/>
  <c r="T63" i="3"/>
  <c r="U63" i="3"/>
  <c r="S67" i="3"/>
  <c r="T67" i="3"/>
  <c r="U67" i="3"/>
  <c r="S83" i="3"/>
  <c r="T83" i="3"/>
  <c r="U83" i="3"/>
  <c r="S89" i="3"/>
  <c r="T89" i="3"/>
  <c r="U89" i="3"/>
  <c r="S34" i="3"/>
  <c r="T34" i="3"/>
  <c r="U34" i="3"/>
  <c r="S181" i="3"/>
  <c r="T181" i="3"/>
  <c r="U181" i="3"/>
  <c r="S247" i="3"/>
  <c r="T247" i="3"/>
  <c r="U247" i="3"/>
  <c r="S57" i="3"/>
  <c r="T57" i="3"/>
  <c r="U57" i="3"/>
  <c r="S173" i="3"/>
  <c r="T173" i="3"/>
  <c r="U173" i="3"/>
  <c r="S47" i="3"/>
  <c r="T47" i="3"/>
  <c r="U47" i="3"/>
  <c r="S59" i="3"/>
  <c r="T59" i="3"/>
  <c r="U59" i="3"/>
  <c r="S233" i="3"/>
  <c r="T233" i="3"/>
  <c r="U233" i="3"/>
  <c r="S141" i="3"/>
  <c r="T141" i="3"/>
  <c r="U141" i="3"/>
  <c r="S115" i="3"/>
  <c r="T115" i="3"/>
  <c r="U115" i="3"/>
  <c r="S33" i="3"/>
  <c r="T33" i="3"/>
  <c r="U33" i="3"/>
  <c r="S81" i="3"/>
  <c r="T81" i="3"/>
  <c r="U81" i="3"/>
  <c r="S79" i="3"/>
  <c r="T79" i="3"/>
  <c r="U79" i="3"/>
  <c r="S72" i="3"/>
  <c r="T72" i="3"/>
  <c r="U72" i="3"/>
  <c r="S246" i="3"/>
  <c r="T246" i="3"/>
  <c r="U246" i="3"/>
  <c r="S209" i="3"/>
  <c r="T209" i="3"/>
  <c r="U209" i="3"/>
  <c r="S97" i="3"/>
  <c r="T97" i="3"/>
  <c r="U97" i="3"/>
  <c r="S80" i="3"/>
  <c r="T80" i="3"/>
  <c r="U80" i="3"/>
  <c r="S153" i="3"/>
  <c r="T153" i="3"/>
  <c r="U153" i="3"/>
  <c r="S116" i="3"/>
  <c r="T116" i="3"/>
  <c r="U116" i="3"/>
  <c r="S60" i="3"/>
  <c r="T60" i="3"/>
  <c r="U60" i="3"/>
  <c r="S256" i="3"/>
  <c r="T256" i="3"/>
  <c r="U256" i="3"/>
  <c r="S50" i="3"/>
  <c r="T50" i="3"/>
  <c r="U50" i="3"/>
  <c r="S128" i="3"/>
  <c r="T128" i="3"/>
  <c r="U128" i="3"/>
  <c r="S159" i="3"/>
  <c r="T159" i="3"/>
  <c r="U159" i="3"/>
  <c r="S142" i="3"/>
  <c r="T142" i="3"/>
  <c r="U142" i="3"/>
  <c r="S56" i="3"/>
  <c r="T56" i="3"/>
  <c r="U56" i="3"/>
  <c r="S261" i="3"/>
  <c r="T261" i="3"/>
  <c r="U261" i="3"/>
  <c r="S211" i="3"/>
  <c r="T211" i="3"/>
  <c r="U211" i="3"/>
  <c r="S167" i="3"/>
  <c r="T167" i="3"/>
  <c r="U167" i="3"/>
  <c r="S126" i="3"/>
  <c r="T126" i="3"/>
  <c r="U126" i="3"/>
  <c r="S248" i="3"/>
  <c r="T248" i="3"/>
  <c r="U248" i="3"/>
  <c r="S42" i="3"/>
  <c r="T42" i="3"/>
  <c r="U42" i="3"/>
  <c r="S139" i="3"/>
  <c r="T139" i="3"/>
  <c r="U139" i="3"/>
  <c r="S187" i="3"/>
  <c r="T187" i="3"/>
  <c r="U187" i="3"/>
  <c r="S179" i="3"/>
  <c r="T179" i="3"/>
  <c r="U179" i="3"/>
  <c r="S137" i="3"/>
  <c r="T137" i="3"/>
  <c r="U137" i="3"/>
  <c r="S204" i="3"/>
  <c r="T204" i="3"/>
  <c r="U204" i="3"/>
  <c r="S158" i="3"/>
  <c r="T158" i="3"/>
  <c r="U158" i="3"/>
  <c r="S171" i="3"/>
  <c r="T171" i="3"/>
  <c r="U171" i="3"/>
  <c r="S51" i="3"/>
  <c r="T51" i="3"/>
  <c r="U51" i="3"/>
  <c r="S224" i="3"/>
  <c r="T224" i="3"/>
  <c r="U224" i="3"/>
  <c r="S102" i="3"/>
  <c r="T102" i="3"/>
  <c r="U102" i="3"/>
  <c r="S150" i="3"/>
  <c r="T150" i="3"/>
  <c r="U150" i="3"/>
  <c r="S109" i="3"/>
  <c r="T109" i="3"/>
  <c r="U109" i="3"/>
  <c r="S62" i="3"/>
  <c r="T62" i="3"/>
  <c r="U62" i="3"/>
  <c r="S107" i="3"/>
  <c r="T107" i="3"/>
  <c r="U107" i="3"/>
  <c r="S155" i="3"/>
  <c r="T155" i="3"/>
  <c r="U155" i="3"/>
  <c r="S164" i="3"/>
  <c r="T164" i="3"/>
  <c r="U164" i="3"/>
  <c r="S218" i="3"/>
  <c r="T218" i="3"/>
  <c r="U218" i="3"/>
  <c r="S255" i="3"/>
  <c r="T255" i="3"/>
  <c r="U255" i="3"/>
  <c r="S14" i="3"/>
  <c r="T14" i="3"/>
  <c r="U14" i="3"/>
  <c r="W14" i="3"/>
  <c r="S15" i="3"/>
  <c r="T15" i="3"/>
  <c r="U15" i="3"/>
  <c r="W15" i="3"/>
  <c r="S46" i="3"/>
  <c r="T46" i="3"/>
  <c r="U46" i="3"/>
  <c r="S259" i="3"/>
  <c r="T259" i="3"/>
  <c r="U259" i="3"/>
  <c r="S140" i="3"/>
  <c r="T140" i="3"/>
  <c r="U140" i="3"/>
  <c r="S16" i="3"/>
  <c r="T16" i="3"/>
  <c r="U16" i="3"/>
  <c r="W16" i="3"/>
  <c r="S130" i="3"/>
  <c r="T130" i="3"/>
  <c r="U130" i="3"/>
  <c r="S73" i="3"/>
  <c r="T73" i="3"/>
  <c r="U73" i="3"/>
  <c r="S197" i="3"/>
  <c r="T197" i="3"/>
  <c r="U197" i="3"/>
  <c r="S17" i="3"/>
  <c r="T17" i="3"/>
  <c r="U17" i="3"/>
  <c r="W17" i="3"/>
  <c r="S163" i="3"/>
  <c r="T163" i="3"/>
  <c r="U163" i="3"/>
  <c r="S18" i="3"/>
  <c r="T18" i="3"/>
  <c r="U18" i="3"/>
  <c r="W18" i="3"/>
  <c r="S145" i="3"/>
  <c r="T145" i="3"/>
  <c r="U145" i="3"/>
  <c r="S235" i="3"/>
  <c r="T235" i="3"/>
  <c r="U235" i="3"/>
  <c r="S19" i="3"/>
  <c r="T19" i="3"/>
  <c r="U19" i="3"/>
  <c r="W19" i="3"/>
  <c r="S20" i="3"/>
  <c r="T20" i="3"/>
  <c r="U20" i="3"/>
  <c r="S114" i="3"/>
  <c r="T114" i="3"/>
  <c r="U114" i="3"/>
  <c r="S201" i="3"/>
  <c r="T201" i="3"/>
  <c r="U201" i="3"/>
  <c r="S220" i="3"/>
  <c r="T220" i="3"/>
  <c r="U220" i="3"/>
  <c r="S21" i="3"/>
  <c r="T21" i="3"/>
  <c r="U21" i="3"/>
  <c r="W21" i="3"/>
  <c r="S22" i="3"/>
  <c r="T22" i="3"/>
  <c r="U22" i="3"/>
  <c r="W22" i="3"/>
  <c r="S23" i="3"/>
  <c r="T23" i="3"/>
  <c r="U23" i="3"/>
  <c r="W23" i="3"/>
  <c r="S260" i="3"/>
  <c r="T260" i="3"/>
  <c r="U260" i="3"/>
  <c r="S190" i="3"/>
  <c r="T190" i="3"/>
  <c r="U190" i="3"/>
  <c r="S194" i="3"/>
  <c r="T194" i="3"/>
  <c r="U194" i="3"/>
  <c r="S143" i="3"/>
  <c r="T143" i="3"/>
  <c r="U143" i="3"/>
  <c r="S96" i="3"/>
  <c r="T96" i="3"/>
  <c r="U96" i="3"/>
  <c r="S119" i="3"/>
  <c r="T119" i="3"/>
  <c r="U119" i="3"/>
  <c r="S249" i="3"/>
  <c r="T249" i="3"/>
  <c r="U249" i="3"/>
  <c r="S254" i="3"/>
  <c r="T254" i="3"/>
  <c r="U254" i="3"/>
  <c r="S244" i="3"/>
  <c r="T244" i="3"/>
  <c r="U244" i="3"/>
  <c r="S170" i="3"/>
  <c r="T170" i="3"/>
  <c r="U170" i="3"/>
  <c r="S161" i="3"/>
  <c r="T161" i="3"/>
  <c r="U161" i="3"/>
  <c r="S168" i="3"/>
  <c r="T168" i="3"/>
  <c r="U168" i="3"/>
  <c r="S229" i="3"/>
  <c r="T229" i="3"/>
  <c r="U229" i="3"/>
  <c r="S236" i="3"/>
  <c r="T236" i="3"/>
  <c r="U236" i="3"/>
  <c r="S105" i="3"/>
  <c r="T105" i="3"/>
  <c r="U105" i="3"/>
  <c r="S174" i="3"/>
  <c r="T174" i="3"/>
  <c r="U174" i="3"/>
  <c r="S69" i="3"/>
  <c r="T69" i="3"/>
  <c r="U69" i="3"/>
  <c r="S222" i="3"/>
  <c r="T222" i="3"/>
  <c r="U222" i="3"/>
  <c r="S239" i="3"/>
  <c r="T239" i="3"/>
  <c r="U239" i="3"/>
  <c r="S124" i="3"/>
  <c r="T124" i="3"/>
  <c r="U124" i="3"/>
  <c r="S188" i="3"/>
  <c r="T188" i="3"/>
  <c r="U188" i="3"/>
  <c r="S136" i="3"/>
  <c r="T136" i="3"/>
  <c r="U136" i="3"/>
  <c r="S178" i="3"/>
  <c r="T178" i="3"/>
  <c r="U178" i="3"/>
  <c r="S24" i="3"/>
  <c r="T24" i="3"/>
  <c r="U24" i="3"/>
  <c r="W24" i="3"/>
  <c r="S250" i="3"/>
  <c r="T250" i="3"/>
  <c r="U250" i="3"/>
  <c r="S152" i="3"/>
  <c r="T152" i="3"/>
  <c r="U152" i="3"/>
  <c r="S241" i="3"/>
  <c r="T241" i="3"/>
  <c r="U241" i="3"/>
  <c r="S253" i="3"/>
  <c r="T253" i="3"/>
  <c r="U253" i="3"/>
  <c r="S25" i="3"/>
  <c r="T25" i="3"/>
  <c r="U25" i="3"/>
  <c r="W25" i="3"/>
  <c r="S132" i="3"/>
  <c r="T132" i="3"/>
  <c r="U132" i="3"/>
  <c r="S231" i="3"/>
  <c r="T231" i="3"/>
  <c r="U231" i="3"/>
  <c r="S186" i="3"/>
  <c r="T186" i="3"/>
  <c r="U186" i="3"/>
  <c r="S223" i="3"/>
  <c r="T223" i="3"/>
  <c r="U223" i="3"/>
  <c r="S216" i="3"/>
  <c r="T216" i="3"/>
  <c r="U216" i="3"/>
  <c r="S232" i="3"/>
  <c r="T232" i="3"/>
  <c r="U232" i="3"/>
  <c r="S238" i="3"/>
  <c r="T238" i="3"/>
  <c r="U238" i="3"/>
  <c r="S74" i="3"/>
  <c r="T74" i="3"/>
  <c r="U74" i="3"/>
  <c r="S65" i="3"/>
  <c r="T65" i="3"/>
  <c r="U65" i="3"/>
  <c r="S151" i="3"/>
  <c r="T151" i="3"/>
  <c r="U151" i="3"/>
  <c r="S40" i="3"/>
  <c r="T40" i="3"/>
  <c r="U40" i="3"/>
  <c r="S77" i="3"/>
  <c r="T77" i="3"/>
  <c r="U77" i="3"/>
  <c r="S31" i="3"/>
  <c r="T31" i="3"/>
  <c r="U31" i="3"/>
  <c r="W31" i="3"/>
  <c r="S202" i="3"/>
  <c r="T202" i="3"/>
  <c r="U202" i="3"/>
  <c r="S228" i="3"/>
  <c r="T228" i="3"/>
  <c r="U228" i="3"/>
  <c r="S32" i="3"/>
  <c r="T32" i="3"/>
  <c r="U32" i="3"/>
  <c r="S68" i="3"/>
  <c r="T68" i="3"/>
  <c r="U68" i="3"/>
  <c r="S43" i="3"/>
  <c r="T43" i="3"/>
  <c r="U43" i="3"/>
  <c r="S53" i="3"/>
  <c r="T53" i="3"/>
  <c r="U53" i="3"/>
  <c r="S39" i="3"/>
  <c r="T39" i="3"/>
  <c r="U39" i="3"/>
  <c r="S129" i="3"/>
  <c r="T129" i="3"/>
  <c r="U129" i="3"/>
  <c r="S226" i="3"/>
  <c r="T226" i="3"/>
  <c r="U226" i="3"/>
  <c r="S215" i="3"/>
  <c r="T215" i="3"/>
  <c r="U215" i="3"/>
  <c r="S182" i="3"/>
  <c r="T182" i="3"/>
  <c r="U182" i="3"/>
  <c r="S27" i="3"/>
  <c r="T27" i="3"/>
  <c r="U27" i="3"/>
  <c r="S28" i="3"/>
  <c r="T28" i="3"/>
  <c r="U28" i="3"/>
  <c r="S213" i="3"/>
  <c r="T213" i="3"/>
  <c r="U213" i="3"/>
  <c r="S180" i="3"/>
  <c r="T180" i="3"/>
  <c r="U180" i="3"/>
  <c r="S108" i="3"/>
  <c r="T108" i="3"/>
  <c r="U108" i="3"/>
  <c r="S29" i="3"/>
  <c r="T29" i="3"/>
  <c r="U29" i="3"/>
  <c r="W29" i="3"/>
  <c r="S30" i="3"/>
  <c r="T30" i="3"/>
  <c r="U30" i="3"/>
  <c r="W30" i="3"/>
  <c r="S252" i="3"/>
  <c r="T252" i="3"/>
  <c r="U252" i="3"/>
  <c r="S265" i="3"/>
  <c r="T265" i="3"/>
  <c r="U265" i="3"/>
  <c r="M103" i="3"/>
  <c r="N103" i="3"/>
  <c r="O103" i="3"/>
  <c r="M225" i="3"/>
  <c r="N225" i="3"/>
  <c r="O225" i="3"/>
  <c r="M55" i="3"/>
  <c r="N55" i="3"/>
  <c r="O55" i="3"/>
  <c r="M214" i="3"/>
  <c r="N214" i="3"/>
  <c r="O214" i="3"/>
  <c r="M192" i="3"/>
  <c r="N192" i="3"/>
  <c r="O192" i="3"/>
  <c r="Q192" i="3"/>
  <c r="M7" i="3"/>
  <c r="N7" i="3"/>
  <c r="O7" i="3"/>
  <c r="M76" i="3"/>
  <c r="N76" i="3"/>
  <c r="O76" i="3"/>
  <c r="M205" i="3"/>
  <c r="N205" i="3"/>
  <c r="O205" i="3"/>
  <c r="M208" i="3"/>
  <c r="N208" i="3"/>
  <c r="O208" i="3"/>
  <c r="M104" i="3"/>
  <c r="N104" i="3"/>
  <c r="O104" i="3"/>
  <c r="M8" i="3"/>
  <c r="N8" i="3"/>
  <c r="O8" i="3"/>
  <c r="M230" i="3"/>
  <c r="N230" i="3"/>
  <c r="O230" i="3"/>
  <c r="M176" i="3"/>
  <c r="N176" i="3"/>
  <c r="O176" i="3"/>
  <c r="M258" i="3"/>
  <c r="N258" i="3"/>
  <c r="O258" i="3"/>
  <c r="M251" i="3"/>
  <c r="N251" i="3"/>
  <c r="O251" i="3"/>
  <c r="M154" i="3"/>
  <c r="N154" i="3"/>
  <c r="O154" i="3"/>
  <c r="M157" i="3"/>
  <c r="N157" i="3"/>
  <c r="O157" i="3"/>
  <c r="M219" i="3"/>
  <c r="N219" i="3"/>
  <c r="O219" i="3"/>
  <c r="M242" i="3"/>
  <c r="N242" i="3"/>
  <c r="O242" i="3"/>
  <c r="M245" i="3"/>
  <c r="N245" i="3"/>
  <c r="O245" i="3"/>
  <c r="M9" i="3"/>
  <c r="N9" i="3"/>
  <c r="O9" i="3"/>
  <c r="M217" i="3"/>
  <c r="N217" i="3"/>
  <c r="O217" i="3"/>
  <c r="M206" i="3"/>
  <c r="N206" i="3"/>
  <c r="O206" i="3"/>
  <c r="M264" i="3"/>
  <c r="N264" i="3"/>
  <c r="O264" i="3"/>
  <c r="M10" i="3"/>
  <c r="N10" i="3"/>
  <c r="O10" i="3"/>
  <c r="Q10" i="3"/>
  <c r="M263" i="3"/>
  <c r="N263" i="3"/>
  <c r="O263" i="3"/>
  <c r="M175" i="3"/>
  <c r="N175" i="3"/>
  <c r="O175" i="3"/>
  <c r="M122" i="3"/>
  <c r="N122" i="3"/>
  <c r="O122" i="3"/>
  <c r="M196" i="3"/>
  <c r="N196" i="3"/>
  <c r="O196" i="3"/>
  <c r="M149" i="3"/>
  <c r="N149" i="3"/>
  <c r="O149" i="3"/>
  <c r="M123" i="3"/>
  <c r="N123" i="3"/>
  <c r="O123" i="3"/>
  <c r="M234" i="3"/>
  <c r="N234" i="3"/>
  <c r="O234" i="3"/>
  <c r="M243" i="3"/>
  <c r="N243" i="3"/>
  <c r="O243" i="3"/>
  <c r="M135" i="3"/>
  <c r="N135" i="3"/>
  <c r="O135" i="3"/>
  <c r="M90" i="3"/>
  <c r="N90" i="3"/>
  <c r="O90" i="3"/>
  <c r="M111" i="3"/>
  <c r="N111" i="3"/>
  <c r="O111" i="3"/>
  <c r="M189" i="3"/>
  <c r="N189" i="3"/>
  <c r="O189" i="3"/>
  <c r="M240" i="3"/>
  <c r="N240" i="3"/>
  <c r="O240" i="3"/>
  <c r="M112" i="3"/>
  <c r="N112" i="3"/>
  <c r="O112" i="3"/>
  <c r="M207" i="3"/>
  <c r="N207" i="3"/>
  <c r="O207" i="3"/>
  <c r="M52" i="3"/>
  <c r="N52" i="3"/>
  <c r="O52" i="3"/>
  <c r="M94" i="3"/>
  <c r="N94" i="3"/>
  <c r="O94" i="3"/>
  <c r="M71" i="3"/>
  <c r="N71" i="3"/>
  <c r="O71" i="3"/>
  <c r="M133" i="3"/>
  <c r="N133" i="3"/>
  <c r="O133" i="3"/>
  <c r="M147" i="3"/>
  <c r="N147" i="3"/>
  <c r="O147" i="3"/>
  <c r="M198" i="3"/>
  <c r="N198" i="3"/>
  <c r="O198" i="3"/>
  <c r="M177" i="3"/>
  <c r="N177" i="3"/>
  <c r="O177" i="3"/>
  <c r="M191" i="3"/>
  <c r="N191" i="3"/>
  <c r="O191" i="3"/>
  <c r="M138" i="3"/>
  <c r="N138" i="3"/>
  <c r="O138" i="3"/>
  <c r="M199" i="3"/>
  <c r="N199" i="3"/>
  <c r="O199" i="3"/>
  <c r="M66" i="3"/>
  <c r="N66" i="3"/>
  <c r="O66" i="3"/>
  <c r="M125" i="3"/>
  <c r="N125" i="3"/>
  <c r="O125" i="3"/>
  <c r="M221" i="3"/>
  <c r="N221" i="3"/>
  <c r="O221" i="3"/>
  <c r="M165" i="3"/>
  <c r="N165" i="3"/>
  <c r="O165" i="3"/>
  <c r="M106" i="3"/>
  <c r="N106" i="3"/>
  <c r="O106" i="3"/>
  <c r="M36" i="3"/>
  <c r="N36" i="3"/>
  <c r="O36" i="3"/>
  <c r="M41" i="3"/>
  <c r="N41" i="3"/>
  <c r="O41" i="3"/>
  <c r="M92" i="3"/>
  <c r="N92" i="3"/>
  <c r="O92" i="3"/>
  <c r="M100" i="3"/>
  <c r="N100" i="3"/>
  <c r="O100" i="3"/>
  <c r="M144" i="3"/>
  <c r="N144" i="3"/>
  <c r="O144" i="3"/>
  <c r="M131" i="3"/>
  <c r="N131" i="3"/>
  <c r="O131" i="3"/>
  <c r="M37" i="3"/>
  <c r="N37" i="3"/>
  <c r="O37" i="3"/>
  <c r="M99" i="3"/>
  <c r="N99" i="3"/>
  <c r="O99" i="3"/>
  <c r="M210" i="3"/>
  <c r="N210" i="3"/>
  <c r="O210" i="3"/>
  <c r="M64" i="3"/>
  <c r="N64" i="3"/>
  <c r="O64" i="3"/>
  <c r="M84" i="3"/>
  <c r="N84" i="3"/>
  <c r="O84" i="3"/>
  <c r="M160" i="3"/>
  <c r="N160" i="3"/>
  <c r="O160" i="3"/>
  <c r="M212" i="3"/>
  <c r="N212" i="3"/>
  <c r="O212" i="3"/>
  <c r="M127" i="3"/>
  <c r="N127" i="3"/>
  <c r="O127" i="3"/>
  <c r="M184" i="3"/>
  <c r="N184" i="3"/>
  <c r="O184" i="3"/>
  <c r="M257" i="3"/>
  <c r="N257" i="3"/>
  <c r="O257" i="3"/>
  <c r="M86" i="3"/>
  <c r="N86" i="3"/>
  <c r="O86" i="3"/>
  <c r="M61" i="3"/>
  <c r="N61" i="3"/>
  <c r="O61" i="3"/>
  <c r="M148" i="3"/>
  <c r="N148" i="3"/>
  <c r="O148" i="3"/>
  <c r="M156" i="3"/>
  <c r="N156" i="3"/>
  <c r="O156" i="3"/>
  <c r="M12" i="3"/>
  <c r="N12" i="3"/>
  <c r="O12" i="3"/>
  <c r="M70" i="3"/>
  <c r="N70" i="3"/>
  <c r="O70" i="3"/>
  <c r="M237" i="3"/>
  <c r="N237" i="3"/>
  <c r="O237" i="3"/>
  <c r="M48" i="3"/>
  <c r="N48" i="3"/>
  <c r="O48" i="3"/>
  <c r="M118" i="3"/>
  <c r="N118" i="3"/>
  <c r="O118" i="3"/>
  <c r="M49" i="3"/>
  <c r="N49" i="3"/>
  <c r="O49" i="3"/>
  <c r="M58" i="3"/>
  <c r="N58" i="3"/>
  <c r="O58" i="3"/>
  <c r="M203" i="3"/>
  <c r="N203" i="3"/>
  <c r="O203" i="3"/>
  <c r="M88" i="3"/>
  <c r="N88" i="3"/>
  <c r="O88" i="3"/>
  <c r="M78" i="3"/>
  <c r="N78" i="3"/>
  <c r="O78" i="3"/>
  <c r="M193" i="3"/>
  <c r="N193" i="3"/>
  <c r="O193" i="3"/>
  <c r="M38" i="3"/>
  <c r="N38" i="3"/>
  <c r="O38" i="3"/>
  <c r="M85" i="3"/>
  <c r="N85" i="3"/>
  <c r="O85" i="3"/>
  <c r="M172" i="3"/>
  <c r="N172" i="3"/>
  <c r="O172" i="3"/>
  <c r="M45" i="3"/>
  <c r="N45" i="3"/>
  <c r="O45" i="3"/>
  <c r="M44" i="3"/>
  <c r="N44" i="3"/>
  <c r="O44" i="3"/>
  <c r="M35" i="3"/>
  <c r="N35" i="3"/>
  <c r="O35" i="3"/>
  <c r="M183" i="3"/>
  <c r="N183" i="3"/>
  <c r="O183" i="3"/>
  <c r="Q183" i="3"/>
  <c r="M95" i="3"/>
  <c r="N95" i="3"/>
  <c r="O95" i="3"/>
  <c r="M185" i="3"/>
  <c r="N185" i="3"/>
  <c r="O185" i="3"/>
  <c r="M113" i="3"/>
  <c r="N113" i="3"/>
  <c r="O113" i="3"/>
  <c r="M75" i="3"/>
  <c r="N75" i="3"/>
  <c r="O75" i="3"/>
  <c r="M121" i="3"/>
  <c r="N121" i="3"/>
  <c r="O121" i="3"/>
  <c r="M169" i="3"/>
  <c r="N169" i="3"/>
  <c r="O169" i="3"/>
  <c r="M134" i="3"/>
  <c r="N134" i="3"/>
  <c r="O134" i="3"/>
  <c r="M82" i="3"/>
  <c r="N82" i="3"/>
  <c r="O82" i="3"/>
  <c r="M54" i="3"/>
  <c r="N54" i="3"/>
  <c r="O54" i="3"/>
  <c r="M93" i="3"/>
  <c r="N93" i="3"/>
  <c r="O93" i="3"/>
  <c r="M98" i="3"/>
  <c r="N98" i="3"/>
  <c r="O98" i="3"/>
  <c r="M87" i="3"/>
  <c r="N87" i="3"/>
  <c r="O87" i="3"/>
  <c r="M110" i="3"/>
  <c r="N110" i="3"/>
  <c r="O110" i="3"/>
  <c r="M227" i="3"/>
  <c r="N227" i="3"/>
  <c r="O227" i="3"/>
  <c r="M91" i="3"/>
  <c r="N91" i="3"/>
  <c r="O91" i="3"/>
  <c r="M13" i="3"/>
  <c r="N13" i="3"/>
  <c r="O13" i="3"/>
  <c r="M162" i="3"/>
  <c r="N162" i="3"/>
  <c r="O162" i="3"/>
  <c r="M101" i="3"/>
  <c r="N101" i="3"/>
  <c r="O101" i="3"/>
  <c r="M200" i="3"/>
  <c r="N200" i="3"/>
  <c r="O200" i="3"/>
  <c r="M117" i="3"/>
  <c r="N117" i="3"/>
  <c r="O117" i="3"/>
  <c r="M120" i="3"/>
  <c r="N120" i="3"/>
  <c r="O120" i="3"/>
  <c r="M146" i="3"/>
  <c r="N146" i="3"/>
  <c r="O146" i="3"/>
  <c r="M63" i="3"/>
  <c r="N63" i="3"/>
  <c r="O63" i="3"/>
  <c r="M67" i="3"/>
  <c r="N67" i="3"/>
  <c r="O67" i="3"/>
  <c r="M83" i="3"/>
  <c r="N83" i="3"/>
  <c r="O83" i="3"/>
  <c r="M89" i="3"/>
  <c r="N89" i="3"/>
  <c r="O89" i="3"/>
  <c r="M34" i="3"/>
  <c r="N34" i="3"/>
  <c r="O34" i="3"/>
  <c r="M181" i="3"/>
  <c r="N181" i="3"/>
  <c r="O181" i="3"/>
  <c r="M247" i="3"/>
  <c r="N247" i="3"/>
  <c r="O247" i="3"/>
  <c r="Q247" i="3"/>
  <c r="M57" i="3"/>
  <c r="N57" i="3"/>
  <c r="O57" i="3"/>
  <c r="M173" i="3"/>
  <c r="N173" i="3"/>
  <c r="O173" i="3"/>
  <c r="M47" i="3"/>
  <c r="N47" i="3"/>
  <c r="O47" i="3"/>
  <c r="M59" i="3"/>
  <c r="N59" i="3"/>
  <c r="O59" i="3"/>
  <c r="M233" i="3"/>
  <c r="N233" i="3"/>
  <c r="O233" i="3"/>
  <c r="M141" i="3"/>
  <c r="N141" i="3"/>
  <c r="O141" i="3"/>
  <c r="M115" i="3"/>
  <c r="N115" i="3"/>
  <c r="O115" i="3"/>
  <c r="M33" i="3"/>
  <c r="N33" i="3"/>
  <c r="O33" i="3"/>
  <c r="M81" i="3"/>
  <c r="N81" i="3"/>
  <c r="O81" i="3"/>
  <c r="M79" i="3"/>
  <c r="N79" i="3"/>
  <c r="O79" i="3"/>
  <c r="M72" i="3"/>
  <c r="N72" i="3"/>
  <c r="O72" i="3"/>
  <c r="M246" i="3"/>
  <c r="N246" i="3"/>
  <c r="O246" i="3"/>
  <c r="M209" i="3"/>
  <c r="N209" i="3"/>
  <c r="O209" i="3"/>
  <c r="M97" i="3"/>
  <c r="N97" i="3"/>
  <c r="O97" i="3"/>
  <c r="M80" i="3"/>
  <c r="N80" i="3"/>
  <c r="O80" i="3"/>
  <c r="M153" i="3"/>
  <c r="N153" i="3"/>
  <c r="O153" i="3"/>
  <c r="M116" i="3"/>
  <c r="N116" i="3"/>
  <c r="O116" i="3"/>
  <c r="M60" i="3"/>
  <c r="N60" i="3"/>
  <c r="O60" i="3"/>
  <c r="M256" i="3"/>
  <c r="N256" i="3"/>
  <c r="O256" i="3"/>
  <c r="M50" i="3"/>
  <c r="N50" i="3"/>
  <c r="O50" i="3"/>
  <c r="M128" i="3"/>
  <c r="N128" i="3"/>
  <c r="O128" i="3"/>
  <c r="M159" i="3"/>
  <c r="N159" i="3"/>
  <c r="O159" i="3"/>
  <c r="M142" i="3"/>
  <c r="N142" i="3"/>
  <c r="O142" i="3"/>
  <c r="M56" i="3"/>
  <c r="N56" i="3"/>
  <c r="O56" i="3"/>
  <c r="M261" i="3"/>
  <c r="N261" i="3"/>
  <c r="O261" i="3"/>
  <c r="M211" i="3"/>
  <c r="N211" i="3"/>
  <c r="O211" i="3"/>
  <c r="M167" i="3"/>
  <c r="N167" i="3"/>
  <c r="O167" i="3"/>
  <c r="M126" i="3"/>
  <c r="N126" i="3"/>
  <c r="O126" i="3"/>
  <c r="M248" i="3"/>
  <c r="N248" i="3"/>
  <c r="O248" i="3"/>
  <c r="M42" i="3"/>
  <c r="N42" i="3"/>
  <c r="O42" i="3"/>
  <c r="M139" i="3"/>
  <c r="N139" i="3"/>
  <c r="O139" i="3"/>
  <c r="M187" i="3"/>
  <c r="N187" i="3"/>
  <c r="O187" i="3"/>
  <c r="M179" i="3"/>
  <c r="N179" i="3"/>
  <c r="O179" i="3"/>
  <c r="Q179" i="3"/>
  <c r="M137" i="3"/>
  <c r="N137" i="3"/>
  <c r="O137" i="3"/>
  <c r="M204" i="3"/>
  <c r="N204" i="3"/>
  <c r="O204" i="3"/>
  <c r="M158" i="3"/>
  <c r="N158" i="3"/>
  <c r="O158" i="3"/>
  <c r="M171" i="3"/>
  <c r="N171" i="3"/>
  <c r="O171" i="3"/>
  <c r="M51" i="3"/>
  <c r="N51" i="3"/>
  <c r="O51" i="3"/>
  <c r="M224" i="3"/>
  <c r="N224" i="3"/>
  <c r="O224" i="3"/>
  <c r="M102" i="3"/>
  <c r="N102" i="3"/>
  <c r="O102" i="3"/>
  <c r="M150" i="3"/>
  <c r="N150" i="3"/>
  <c r="O150" i="3"/>
  <c r="M109" i="3"/>
  <c r="N109" i="3"/>
  <c r="O109" i="3"/>
  <c r="M62" i="3"/>
  <c r="N62" i="3"/>
  <c r="O62" i="3"/>
  <c r="M107" i="3"/>
  <c r="N107" i="3"/>
  <c r="O107" i="3"/>
  <c r="M155" i="3"/>
  <c r="N155" i="3"/>
  <c r="O155" i="3"/>
  <c r="M164" i="3"/>
  <c r="N164" i="3"/>
  <c r="O164" i="3"/>
  <c r="M218" i="3"/>
  <c r="N218" i="3"/>
  <c r="O218" i="3"/>
  <c r="M255" i="3"/>
  <c r="N255" i="3"/>
  <c r="O255" i="3"/>
  <c r="M14" i="3"/>
  <c r="N14" i="3"/>
  <c r="O14" i="3"/>
  <c r="M15" i="3"/>
  <c r="N15" i="3"/>
  <c r="O15" i="3"/>
  <c r="M46" i="3"/>
  <c r="N46" i="3"/>
  <c r="O46" i="3"/>
  <c r="M259" i="3"/>
  <c r="N259" i="3"/>
  <c r="O259" i="3"/>
  <c r="M140" i="3"/>
  <c r="N140" i="3"/>
  <c r="O140" i="3"/>
  <c r="M16" i="3"/>
  <c r="N16" i="3"/>
  <c r="O16" i="3"/>
  <c r="M130" i="3"/>
  <c r="N130" i="3"/>
  <c r="O130" i="3"/>
  <c r="M73" i="3"/>
  <c r="N73" i="3"/>
  <c r="O73" i="3"/>
  <c r="M197" i="3"/>
  <c r="N197" i="3"/>
  <c r="O197" i="3"/>
  <c r="M17" i="3"/>
  <c r="N17" i="3"/>
  <c r="O17" i="3"/>
  <c r="Q17" i="3"/>
  <c r="M163" i="3"/>
  <c r="N163" i="3"/>
  <c r="O163" i="3"/>
  <c r="M18" i="3"/>
  <c r="N18" i="3"/>
  <c r="O18" i="3"/>
  <c r="Q18" i="3"/>
  <c r="M145" i="3"/>
  <c r="N145" i="3"/>
  <c r="O145" i="3"/>
  <c r="M235" i="3"/>
  <c r="N235" i="3"/>
  <c r="O235" i="3"/>
  <c r="M19" i="3"/>
  <c r="N19" i="3"/>
  <c r="O19" i="3"/>
  <c r="M20" i="3"/>
  <c r="N20" i="3"/>
  <c r="O20" i="3"/>
  <c r="M114" i="3"/>
  <c r="N114" i="3"/>
  <c r="O114" i="3"/>
  <c r="M201" i="3"/>
  <c r="N201" i="3"/>
  <c r="O201" i="3"/>
  <c r="Q201" i="3"/>
  <c r="M220" i="3"/>
  <c r="N220" i="3"/>
  <c r="O220" i="3"/>
  <c r="M21" i="3"/>
  <c r="N21" i="3"/>
  <c r="O21" i="3"/>
  <c r="Q21" i="3"/>
  <c r="M22" i="3"/>
  <c r="N22" i="3"/>
  <c r="O22" i="3"/>
  <c r="M23" i="3"/>
  <c r="N23" i="3"/>
  <c r="O23" i="3"/>
  <c r="M260" i="3"/>
  <c r="N260" i="3"/>
  <c r="O260" i="3"/>
  <c r="M190" i="3"/>
  <c r="N190" i="3"/>
  <c r="O190" i="3"/>
  <c r="M194" i="3"/>
  <c r="N194" i="3"/>
  <c r="O194" i="3"/>
  <c r="M143" i="3"/>
  <c r="N143" i="3"/>
  <c r="O143" i="3"/>
  <c r="M96" i="3"/>
  <c r="N96" i="3"/>
  <c r="O96" i="3"/>
  <c r="M119" i="3"/>
  <c r="N119" i="3"/>
  <c r="O119" i="3"/>
  <c r="M249" i="3"/>
  <c r="N249" i="3"/>
  <c r="O249" i="3"/>
  <c r="M254" i="3"/>
  <c r="N254" i="3"/>
  <c r="O254" i="3"/>
  <c r="M244" i="3"/>
  <c r="N244" i="3"/>
  <c r="O244" i="3"/>
  <c r="M170" i="3"/>
  <c r="N170" i="3"/>
  <c r="O170" i="3"/>
  <c r="M161" i="3"/>
  <c r="N161" i="3"/>
  <c r="O161" i="3"/>
  <c r="M168" i="3"/>
  <c r="N168" i="3"/>
  <c r="O168" i="3"/>
  <c r="M229" i="3"/>
  <c r="N229" i="3"/>
  <c r="O229" i="3"/>
  <c r="M236" i="3"/>
  <c r="N236" i="3"/>
  <c r="O236" i="3"/>
  <c r="M105" i="3"/>
  <c r="N105" i="3"/>
  <c r="O105" i="3"/>
  <c r="M174" i="3"/>
  <c r="N174" i="3"/>
  <c r="O174" i="3"/>
  <c r="M69" i="3"/>
  <c r="N69" i="3"/>
  <c r="O69" i="3"/>
  <c r="M222" i="3"/>
  <c r="N222" i="3"/>
  <c r="O222" i="3"/>
  <c r="M239" i="3"/>
  <c r="N239" i="3"/>
  <c r="O239" i="3"/>
  <c r="M124" i="3"/>
  <c r="N124" i="3"/>
  <c r="O124" i="3"/>
  <c r="M188" i="3"/>
  <c r="N188" i="3"/>
  <c r="O188" i="3"/>
  <c r="M136" i="3"/>
  <c r="N136" i="3"/>
  <c r="O136" i="3"/>
  <c r="M178" i="3"/>
  <c r="N178" i="3"/>
  <c r="O178" i="3"/>
  <c r="M24" i="3"/>
  <c r="N24" i="3"/>
  <c r="O24" i="3"/>
  <c r="M250" i="3"/>
  <c r="N250" i="3"/>
  <c r="O250" i="3"/>
  <c r="M152" i="3"/>
  <c r="N152" i="3"/>
  <c r="O152" i="3"/>
  <c r="M241" i="3"/>
  <c r="N241" i="3"/>
  <c r="O241" i="3"/>
  <c r="M253" i="3"/>
  <c r="N253" i="3"/>
  <c r="O253" i="3"/>
  <c r="M25" i="3"/>
  <c r="N25" i="3"/>
  <c r="O25" i="3"/>
  <c r="M132" i="3"/>
  <c r="N132" i="3"/>
  <c r="O132" i="3"/>
  <c r="M231" i="3"/>
  <c r="N231" i="3"/>
  <c r="O231" i="3"/>
  <c r="M186" i="3"/>
  <c r="N186" i="3"/>
  <c r="O186" i="3"/>
  <c r="M223" i="3"/>
  <c r="N223" i="3"/>
  <c r="O223" i="3"/>
  <c r="M216" i="3"/>
  <c r="N216" i="3"/>
  <c r="O216" i="3"/>
  <c r="M232" i="3"/>
  <c r="N232" i="3"/>
  <c r="O232" i="3"/>
  <c r="Q232" i="3"/>
  <c r="M238" i="3"/>
  <c r="N238" i="3"/>
  <c r="O238" i="3"/>
  <c r="M74" i="3"/>
  <c r="N74" i="3"/>
  <c r="O74" i="3"/>
  <c r="M65" i="3"/>
  <c r="N65" i="3"/>
  <c r="O65" i="3"/>
  <c r="M151" i="3"/>
  <c r="N151" i="3"/>
  <c r="O151" i="3"/>
  <c r="M40" i="3"/>
  <c r="N40" i="3"/>
  <c r="O40" i="3"/>
  <c r="M77" i="3"/>
  <c r="N77" i="3"/>
  <c r="O77" i="3"/>
  <c r="M31" i="3"/>
  <c r="N31" i="3"/>
  <c r="O31" i="3"/>
  <c r="M202" i="3"/>
  <c r="N202" i="3"/>
  <c r="O202" i="3"/>
  <c r="M228" i="3"/>
  <c r="N228" i="3"/>
  <c r="O228" i="3"/>
  <c r="M32" i="3"/>
  <c r="N32" i="3"/>
  <c r="O32" i="3"/>
  <c r="M68" i="3"/>
  <c r="N68" i="3"/>
  <c r="O68" i="3"/>
  <c r="M43" i="3"/>
  <c r="N43" i="3"/>
  <c r="O43" i="3"/>
  <c r="M53" i="3"/>
  <c r="N53" i="3"/>
  <c r="O53" i="3"/>
  <c r="M39" i="3"/>
  <c r="N39" i="3"/>
  <c r="O39" i="3"/>
  <c r="M129" i="3"/>
  <c r="N129" i="3"/>
  <c r="O129" i="3"/>
  <c r="Q129" i="3"/>
  <c r="M226" i="3"/>
  <c r="N226" i="3"/>
  <c r="O226" i="3"/>
  <c r="M215" i="3"/>
  <c r="N215" i="3"/>
  <c r="O215" i="3"/>
  <c r="M182" i="3"/>
  <c r="N182" i="3"/>
  <c r="O182" i="3"/>
  <c r="M27" i="3"/>
  <c r="N27" i="3"/>
  <c r="O27" i="3"/>
  <c r="M28" i="3"/>
  <c r="N28" i="3"/>
  <c r="O28" i="3"/>
  <c r="M213" i="3"/>
  <c r="N213" i="3"/>
  <c r="O213" i="3"/>
  <c r="M180" i="3"/>
  <c r="N180" i="3"/>
  <c r="O180" i="3"/>
  <c r="M108" i="3"/>
  <c r="N108" i="3"/>
  <c r="O108" i="3"/>
  <c r="M29" i="3"/>
  <c r="N29" i="3"/>
  <c r="O29" i="3"/>
  <c r="M30" i="3"/>
  <c r="N30" i="3"/>
  <c r="O30" i="3"/>
  <c r="M252" i="3"/>
  <c r="N252" i="3"/>
  <c r="O252" i="3"/>
  <c r="M265" i="3"/>
  <c r="N265" i="3"/>
  <c r="O265" i="3"/>
  <c r="G103" i="3"/>
  <c r="H103" i="3"/>
  <c r="I103" i="3"/>
  <c r="G225" i="3"/>
  <c r="H225" i="3"/>
  <c r="I225" i="3"/>
  <c r="G55" i="3"/>
  <c r="H55" i="3"/>
  <c r="I55" i="3"/>
  <c r="G214" i="3"/>
  <c r="H214" i="3"/>
  <c r="I214" i="3"/>
  <c r="G192" i="3"/>
  <c r="H192" i="3"/>
  <c r="I192" i="3"/>
  <c r="G7" i="3"/>
  <c r="H7" i="3"/>
  <c r="I7" i="3"/>
  <c r="G76" i="3"/>
  <c r="H76" i="3"/>
  <c r="I76" i="3"/>
  <c r="G205" i="3"/>
  <c r="H205" i="3"/>
  <c r="I205" i="3"/>
  <c r="G208" i="3"/>
  <c r="H208" i="3"/>
  <c r="I208" i="3"/>
  <c r="G104" i="3"/>
  <c r="H104" i="3"/>
  <c r="I104" i="3"/>
  <c r="G8" i="3"/>
  <c r="H8" i="3"/>
  <c r="I8" i="3"/>
  <c r="G230" i="3"/>
  <c r="H230" i="3"/>
  <c r="I230" i="3"/>
  <c r="K230" i="3"/>
  <c r="G176" i="3"/>
  <c r="H176" i="3"/>
  <c r="I176" i="3"/>
  <c r="G258" i="3"/>
  <c r="H258" i="3"/>
  <c r="I258" i="3"/>
  <c r="G251" i="3"/>
  <c r="H251" i="3"/>
  <c r="I251" i="3"/>
  <c r="G154" i="3"/>
  <c r="H154" i="3"/>
  <c r="I154" i="3"/>
  <c r="G157" i="3"/>
  <c r="H157" i="3"/>
  <c r="I157" i="3"/>
  <c r="G219" i="3"/>
  <c r="H219" i="3"/>
  <c r="I219" i="3"/>
  <c r="G242" i="3"/>
  <c r="H242" i="3"/>
  <c r="I242" i="3"/>
  <c r="G245" i="3"/>
  <c r="H245" i="3"/>
  <c r="I245" i="3"/>
  <c r="G9" i="3"/>
  <c r="H9" i="3"/>
  <c r="I9" i="3"/>
  <c r="G217" i="3"/>
  <c r="H217" i="3"/>
  <c r="I217" i="3"/>
  <c r="G206" i="3"/>
  <c r="H206" i="3"/>
  <c r="I206" i="3"/>
  <c r="G264" i="3"/>
  <c r="H264" i="3"/>
  <c r="I264" i="3"/>
  <c r="G10" i="3"/>
  <c r="H10" i="3"/>
  <c r="I10" i="3"/>
  <c r="K10" i="3"/>
  <c r="G263" i="3"/>
  <c r="H263" i="3"/>
  <c r="I263" i="3"/>
  <c r="G175" i="3"/>
  <c r="H175" i="3"/>
  <c r="I175" i="3"/>
  <c r="G122" i="3"/>
  <c r="H122" i="3"/>
  <c r="I122" i="3"/>
  <c r="G196" i="3"/>
  <c r="H196" i="3"/>
  <c r="I196" i="3"/>
  <c r="G149" i="3"/>
  <c r="H149" i="3"/>
  <c r="I149" i="3"/>
  <c r="G123" i="3"/>
  <c r="H123" i="3"/>
  <c r="I123" i="3"/>
  <c r="G234" i="3"/>
  <c r="H234" i="3"/>
  <c r="I234" i="3"/>
  <c r="G243" i="3"/>
  <c r="H243" i="3"/>
  <c r="I243" i="3"/>
  <c r="G135" i="3"/>
  <c r="H135" i="3"/>
  <c r="I135" i="3"/>
  <c r="G90" i="3"/>
  <c r="H90" i="3"/>
  <c r="I90" i="3"/>
  <c r="G111" i="3"/>
  <c r="H111" i="3"/>
  <c r="I111" i="3"/>
  <c r="G189" i="3"/>
  <c r="H189" i="3"/>
  <c r="I189" i="3"/>
  <c r="G240" i="3"/>
  <c r="H240" i="3"/>
  <c r="I240" i="3"/>
  <c r="G112" i="3"/>
  <c r="H112" i="3"/>
  <c r="I112" i="3"/>
  <c r="G207" i="3"/>
  <c r="H207" i="3"/>
  <c r="I207" i="3"/>
  <c r="G52" i="3"/>
  <c r="H52" i="3"/>
  <c r="I52" i="3"/>
  <c r="G94" i="3"/>
  <c r="H94" i="3"/>
  <c r="I94" i="3"/>
  <c r="G71" i="3"/>
  <c r="H71" i="3"/>
  <c r="I71" i="3"/>
  <c r="G133" i="3"/>
  <c r="H133" i="3"/>
  <c r="I133" i="3"/>
  <c r="G147" i="3"/>
  <c r="H147" i="3"/>
  <c r="I147" i="3"/>
  <c r="G198" i="3"/>
  <c r="H198" i="3"/>
  <c r="I198" i="3"/>
  <c r="G177" i="3"/>
  <c r="H177" i="3"/>
  <c r="I177" i="3"/>
  <c r="G191" i="3"/>
  <c r="H191" i="3"/>
  <c r="I191" i="3"/>
  <c r="G138" i="3"/>
  <c r="H138" i="3"/>
  <c r="I138" i="3"/>
  <c r="G199" i="3"/>
  <c r="H199" i="3"/>
  <c r="I199" i="3"/>
  <c r="G66" i="3"/>
  <c r="H66" i="3"/>
  <c r="I66" i="3"/>
  <c r="G125" i="3"/>
  <c r="H125" i="3"/>
  <c r="I125" i="3"/>
  <c r="L125" i="3"/>
  <c r="G221" i="3"/>
  <c r="H221" i="3"/>
  <c r="I221" i="3"/>
  <c r="G165" i="3"/>
  <c r="H165" i="3"/>
  <c r="I165" i="3"/>
  <c r="K165" i="3"/>
  <c r="G106" i="3"/>
  <c r="H106" i="3"/>
  <c r="I106" i="3"/>
  <c r="G36" i="3"/>
  <c r="H36" i="3"/>
  <c r="I36" i="3"/>
  <c r="G41" i="3"/>
  <c r="H41" i="3"/>
  <c r="I41" i="3"/>
  <c r="G92" i="3"/>
  <c r="H92" i="3"/>
  <c r="I92" i="3"/>
  <c r="G100" i="3"/>
  <c r="H100" i="3"/>
  <c r="I100" i="3"/>
  <c r="G144" i="3"/>
  <c r="H144" i="3"/>
  <c r="I144" i="3"/>
  <c r="G131" i="3"/>
  <c r="H131" i="3"/>
  <c r="I131" i="3"/>
  <c r="G37" i="3"/>
  <c r="H37" i="3"/>
  <c r="I37" i="3"/>
  <c r="G99" i="3"/>
  <c r="H99" i="3"/>
  <c r="I99" i="3"/>
  <c r="G210" i="3"/>
  <c r="H210" i="3"/>
  <c r="I210" i="3"/>
  <c r="G64" i="3"/>
  <c r="H64" i="3"/>
  <c r="I64" i="3"/>
  <c r="G84" i="3"/>
  <c r="H84" i="3"/>
  <c r="I84" i="3"/>
  <c r="G160" i="3"/>
  <c r="H160" i="3"/>
  <c r="I160" i="3"/>
  <c r="G212" i="3"/>
  <c r="H212" i="3"/>
  <c r="I212" i="3"/>
  <c r="G127" i="3"/>
  <c r="H127" i="3"/>
  <c r="I127" i="3"/>
  <c r="G184" i="3"/>
  <c r="H184" i="3"/>
  <c r="I184" i="3"/>
  <c r="G257" i="3"/>
  <c r="H257" i="3"/>
  <c r="I257" i="3"/>
  <c r="K257" i="3"/>
  <c r="G86" i="3"/>
  <c r="H86" i="3"/>
  <c r="I86" i="3"/>
  <c r="G61" i="3"/>
  <c r="H61" i="3"/>
  <c r="I61" i="3"/>
  <c r="G148" i="3"/>
  <c r="H148" i="3"/>
  <c r="I148" i="3"/>
  <c r="G156" i="3"/>
  <c r="H156" i="3"/>
  <c r="I156" i="3"/>
  <c r="G12" i="3"/>
  <c r="H12" i="3"/>
  <c r="I12" i="3"/>
  <c r="G70" i="3"/>
  <c r="H70" i="3"/>
  <c r="I70" i="3"/>
  <c r="G237" i="3"/>
  <c r="H237" i="3"/>
  <c r="I237" i="3"/>
  <c r="G48" i="3"/>
  <c r="H48" i="3"/>
  <c r="I48" i="3"/>
  <c r="G118" i="3"/>
  <c r="H118" i="3"/>
  <c r="I118" i="3"/>
  <c r="G49" i="3"/>
  <c r="H49" i="3"/>
  <c r="I49" i="3"/>
  <c r="G58" i="3"/>
  <c r="H58" i="3"/>
  <c r="I58" i="3"/>
  <c r="G203" i="3"/>
  <c r="H203" i="3"/>
  <c r="I203" i="3"/>
  <c r="G88" i="3"/>
  <c r="H88" i="3"/>
  <c r="I88" i="3"/>
  <c r="G78" i="3"/>
  <c r="H78" i="3"/>
  <c r="I78" i="3"/>
  <c r="G193" i="3"/>
  <c r="H193" i="3"/>
  <c r="I193" i="3"/>
  <c r="G38" i="3"/>
  <c r="H38" i="3"/>
  <c r="I38" i="3"/>
  <c r="G85" i="3"/>
  <c r="H85" i="3"/>
  <c r="I85" i="3"/>
  <c r="G172" i="3"/>
  <c r="H172" i="3"/>
  <c r="I172" i="3"/>
  <c r="G45" i="3"/>
  <c r="H45" i="3"/>
  <c r="I45" i="3"/>
  <c r="G44" i="3"/>
  <c r="H44" i="3"/>
  <c r="I44" i="3"/>
  <c r="G35" i="3"/>
  <c r="H35" i="3"/>
  <c r="I35" i="3"/>
  <c r="G183" i="3"/>
  <c r="H183" i="3"/>
  <c r="I183" i="3"/>
  <c r="G95" i="3"/>
  <c r="H95" i="3"/>
  <c r="I95" i="3"/>
  <c r="G185" i="3"/>
  <c r="H185" i="3"/>
  <c r="I185" i="3"/>
  <c r="G113" i="3"/>
  <c r="H113" i="3"/>
  <c r="I113" i="3"/>
  <c r="G75" i="3"/>
  <c r="H75" i="3"/>
  <c r="I75" i="3"/>
  <c r="G121" i="3"/>
  <c r="H121" i="3"/>
  <c r="I121" i="3"/>
  <c r="G169" i="3"/>
  <c r="H169" i="3"/>
  <c r="I169" i="3"/>
  <c r="G134" i="3"/>
  <c r="H134" i="3"/>
  <c r="I134" i="3"/>
  <c r="G82" i="3"/>
  <c r="H82" i="3"/>
  <c r="I82" i="3"/>
  <c r="G54" i="3"/>
  <c r="H54" i="3"/>
  <c r="I54" i="3"/>
  <c r="G93" i="3"/>
  <c r="H93" i="3"/>
  <c r="I93" i="3"/>
  <c r="G98" i="3"/>
  <c r="H98" i="3"/>
  <c r="I98" i="3"/>
  <c r="G87" i="3"/>
  <c r="H87" i="3"/>
  <c r="I87" i="3"/>
  <c r="G110" i="3"/>
  <c r="H110" i="3"/>
  <c r="I110" i="3"/>
  <c r="G227" i="3"/>
  <c r="H227" i="3"/>
  <c r="I227" i="3"/>
  <c r="G91" i="3"/>
  <c r="H91" i="3"/>
  <c r="I91" i="3"/>
  <c r="G13" i="3"/>
  <c r="H13" i="3"/>
  <c r="I13" i="3"/>
  <c r="K13" i="3"/>
  <c r="G162" i="3"/>
  <c r="H162" i="3"/>
  <c r="I162" i="3"/>
  <c r="G101" i="3"/>
  <c r="H101" i="3"/>
  <c r="I101" i="3"/>
  <c r="G200" i="3"/>
  <c r="H200" i="3"/>
  <c r="I200" i="3"/>
  <c r="G117" i="3"/>
  <c r="H117" i="3"/>
  <c r="I117" i="3"/>
  <c r="G120" i="3"/>
  <c r="H120" i="3"/>
  <c r="I120" i="3"/>
  <c r="G146" i="3"/>
  <c r="H146" i="3"/>
  <c r="I146" i="3"/>
  <c r="G63" i="3"/>
  <c r="H63" i="3"/>
  <c r="I63" i="3"/>
  <c r="G67" i="3"/>
  <c r="H67" i="3"/>
  <c r="I67" i="3"/>
  <c r="G83" i="3"/>
  <c r="H83" i="3"/>
  <c r="I83" i="3"/>
  <c r="G89" i="3"/>
  <c r="H89" i="3"/>
  <c r="I89" i="3"/>
  <c r="G34" i="3"/>
  <c r="H34" i="3"/>
  <c r="I34" i="3"/>
  <c r="G181" i="3"/>
  <c r="H181" i="3"/>
  <c r="I181" i="3"/>
  <c r="G247" i="3"/>
  <c r="H247" i="3"/>
  <c r="I247" i="3"/>
  <c r="G57" i="3"/>
  <c r="H57" i="3"/>
  <c r="I57" i="3"/>
  <c r="G173" i="3"/>
  <c r="H173" i="3"/>
  <c r="I173" i="3"/>
  <c r="G47" i="3"/>
  <c r="H47" i="3"/>
  <c r="I47" i="3"/>
  <c r="G59" i="3"/>
  <c r="H59" i="3"/>
  <c r="I59" i="3"/>
  <c r="G233" i="3"/>
  <c r="H233" i="3"/>
  <c r="I233" i="3"/>
  <c r="G141" i="3"/>
  <c r="H141" i="3"/>
  <c r="I141" i="3"/>
  <c r="G115" i="3"/>
  <c r="H115" i="3"/>
  <c r="I115" i="3"/>
  <c r="G33" i="3"/>
  <c r="H33" i="3"/>
  <c r="I33" i="3"/>
  <c r="G81" i="3"/>
  <c r="H81" i="3"/>
  <c r="I81" i="3"/>
  <c r="G79" i="3"/>
  <c r="H79" i="3"/>
  <c r="I79" i="3"/>
  <c r="G72" i="3"/>
  <c r="H72" i="3"/>
  <c r="I72" i="3"/>
  <c r="G246" i="3"/>
  <c r="H246" i="3"/>
  <c r="I246" i="3"/>
  <c r="G209" i="3"/>
  <c r="H209" i="3"/>
  <c r="I209" i="3"/>
  <c r="G97" i="3"/>
  <c r="H97" i="3"/>
  <c r="I97" i="3"/>
  <c r="G80" i="3"/>
  <c r="H80" i="3"/>
  <c r="I80" i="3"/>
  <c r="G153" i="3"/>
  <c r="H153" i="3"/>
  <c r="I153" i="3"/>
  <c r="G116" i="3"/>
  <c r="H116" i="3"/>
  <c r="I116" i="3"/>
  <c r="G60" i="3"/>
  <c r="H60" i="3"/>
  <c r="I60" i="3"/>
  <c r="G256" i="3"/>
  <c r="H256" i="3"/>
  <c r="I256" i="3"/>
  <c r="G50" i="3"/>
  <c r="H50" i="3"/>
  <c r="I50" i="3"/>
  <c r="G128" i="3"/>
  <c r="H128" i="3"/>
  <c r="I128" i="3"/>
  <c r="G159" i="3"/>
  <c r="H159" i="3"/>
  <c r="I159" i="3"/>
  <c r="G142" i="3"/>
  <c r="H142" i="3"/>
  <c r="I142" i="3"/>
  <c r="G56" i="3"/>
  <c r="H56" i="3"/>
  <c r="I56" i="3"/>
  <c r="G261" i="3"/>
  <c r="H261" i="3"/>
  <c r="I261" i="3"/>
  <c r="G211" i="3"/>
  <c r="H211" i="3"/>
  <c r="I211" i="3"/>
  <c r="G167" i="3"/>
  <c r="H167" i="3"/>
  <c r="I167" i="3"/>
  <c r="G126" i="3"/>
  <c r="H126" i="3"/>
  <c r="I126" i="3"/>
  <c r="G248" i="3"/>
  <c r="H248" i="3"/>
  <c r="I248" i="3"/>
  <c r="G42" i="3"/>
  <c r="H42" i="3"/>
  <c r="I42" i="3"/>
  <c r="G139" i="3"/>
  <c r="H139" i="3"/>
  <c r="I139" i="3"/>
  <c r="G187" i="3"/>
  <c r="H187" i="3"/>
  <c r="I187" i="3"/>
  <c r="G179" i="3"/>
  <c r="H179" i="3"/>
  <c r="I179" i="3"/>
  <c r="G137" i="3"/>
  <c r="H137" i="3"/>
  <c r="I137" i="3"/>
  <c r="G204" i="3"/>
  <c r="H204" i="3"/>
  <c r="I204" i="3"/>
  <c r="G158" i="3"/>
  <c r="H158" i="3"/>
  <c r="I158" i="3"/>
  <c r="G171" i="3"/>
  <c r="H171" i="3"/>
  <c r="I171" i="3"/>
  <c r="G51" i="3"/>
  <c r="H51" i="3"/>
  <c r="I51" i="3"/>
  <c r="G224" i="3"/>
  <c r="H224" i="3"/>
  <c r="I224" i="3"/>
  <c r="G102" i="3"/>
  <c r="H102" i="3"/>
  <c r="I102" i="3"/>
  <c r="G150" i="3"/>
  <c r="H150" i="3"/>
  <c r="I150" i="3"/>
  <c r="G109" i="3"/>
  <c r="H109" i="3"/>
  <c r="I109" i="3"/>
  <c r="G62" i="3"/>
  <c r="H62" i="3"/>
  <c r="I62" i="3"/>
  <c r="G107" i="3"/>
  <c r="H107" i="3"/>
  <c r="I107" i="3"/>
  <c r="G155" i="3"/>
  <c r="H155" i="3"/>
  <c r="I155" i="3"/>
  <c r="G164" i="3"/>
  <c r="H164" i="3"/>
  <c r="I164" i="3"/>
  <c r="G218" i="3"/>
  <c r="H218" i="3"/>
  <c r="I218" i="3"/>
  <c r="G255" i="3"/>
  <c r="H255" i="3"/>
  <c r="I255" i="3"/>
  <c r="K255" i="3"/>
  <c r="G14" i="3"/>
  <c r="H14" i="3"/>
  <c r="I14" i="3"/>
  <c r="G15" i="3"/>
  <c r="H15" i="3"/>
  <c r="I15" i="3"/>
  <c r="K15" i="3"/>
  <c r="G46" i="3"/>
  <c r="H46" i="3"/>
  <c r="I46" i="3"/>
  <c r="G259" i="3"/>
  <c r="H259" i="3"/>
  <c r="I259" i="3"/>
  <c r="G140" i="3"/>
  <c r="H140" i="3"/>
  <c r="I140" i="3"/>
  <c r="G16" i="3"/>
  <c r="H16" i="3"/>
  <c r="I16" i="3"/>
  <c r="G130" i="3"/>
  <c r="H130" i="3"/>
  <c r="I130" i="3"/>
  <c r="G73" i="3"/>
  <c r="H73" i="3"/>
  <c r="I73" i="3"/>
  <c r="G197" i="3"/>
  <c r="H197" i="3"/>
  <c r="I197" i="3"/>
  <c r="G17" i="3"/>
  <c r="H17" i="3"/>
  <c r="I17" i="3"/>
  <c r="K17" i="3"/>
  <c r="G163" i="3"/>
  <c r="H163" i="3"/>
  <c r="I163" i="3"/>
  <c r="G18" i="3"/>
  <c r="H18" i="3"/>
  <c r="I18" i="3"/>
  <c r="G145" i="3"/>
  <c r="H145" i="3"/>
  <c r="I145" i="3"/>
  <c r="G235" i="3"/>
  <c r="H235" i="3"/>
  <c r="I235" i="3"/>
  <c r="G19" i="3"/>
  <c r="H19" i="3"/>
  <c r="I19" i="3"/>
  <c r="K19" i="3"/>
  <c r="G20" i="3"/>
  <c r="H20" i="3"/>
  <c r="I20" i="3"/>
  <c r="G114" i="3"/>
  <c r="H114" i="3"/>
  <c r="I114" i="3"/>
  <c r="G201" i="3"/>
  <c r="H201" i="3"/>
  <c r="I201" i="3"/>
  <c r="K201" i="3"/>
  <c r="G220" i="3"/>
  <c r="H220" i="3"/>
  <c r="I220" i="3"/>
  <c r="G21" i="3"/>
  <c r="H21" i="3"/>
  <c r="I21" i="3"/>
  <c r="K21" i="3"/>
  <c r="G22" i="3"/>
  <c r="H22" i="3"/>
  <c r="I22" i="3"/>
  <c r="K22" i="3"/>
  <c r="G23" i="3"/>
  <c r="H23" i="3"/>
  <c r="I23" i="3"/>
  <c r="K23" i="3"/>
  <c r="G260" i="3"/>
  <c r="H260" i="3"/>
  <c r="I260" i="3"/>
  <c r="G190" i="3"/>
  <c r="H190" i="3"/>
  <c r="I190" i="3"/>
  <c r="G194" i="3"/>
  <c r="H194" i="3"/>
  <c r="I194" i="3"/>
  <c r="G143" i="3"/>
  <c r="H143" i="3"/>
  <c r="I143" i="3"/>
  <c r="G96" i="3"/>
  <c r="H96" i="3"/>
  <c r="I96" i="3"/>
  <c r="G119" i="3"/>
  <c r="H119" i="3"/>
  <c r="I119" i="3"/>
  <c r="G249" i="3"/>
  <c r="H249" i="3"/>
  <c r="I249" i="3"/>
  <c r="G254" i="3"/>
  <c r="H254" i="3"/>
  <c r="I254" i="3"/>
  <c r="G244" i="3"/>
  <c r="H244" i="3"/>
  <c r="I244" i="3"/>
  <c r="G170" i="3"/>
  <c r="H170" i="3"/>
  <c r="I170" i="3"/>
  <c r="G161" i="3"/>
  <c r="H161" i="3"/>
  <c r="I161" i="3"/>
  <c r="G168" i="3"/>
  <c r="H168" i="3"/>
  <c r="I168" i="3"/>
  <c r="G229" i="3"/>
  <c r="H229" i="3"/>
  <c r="I229" i="3"/>
  <c r="G236" i="3"/>
  <c r="H236" i="3"/>
  <c r="I236" i="3"/>
  <c r="G105" i="3"/>
  <c r="H105" i="3"/>
  <c r="I105" i="3"/>
  <c r="G174" i="3"/>
  <c r="H174" i="3"/>
  <c r="I174" i="3"/>
  <c r="G69" i="3"/>
  <c r="H69" i="3"/>
  <c r="I69" i="3"/>
  <c r="G222" i="3"/>
  <c r="H222" i="3"/>
  <c r="I222" i="3"/>
  <c r="G239" i="3"/>
  <c r="H239" i="3"/>
  <c r="I239" i="3"/>
  <c r="G124" i="3"/>
  <c r="H124" i="3"/>
  <c r="I124" i="3"/>
  <c r="G188" i="3"/>
  <c r="H188" i="3"/>
  <c r="I188" i="3"/>
  <c r="G136" i="3"/>
  <c r="H136" i="3"/>
  <c r="I136" i="3"/>
  <c r="G178" i="3"/>
  <c r="H178" i="3"/>
  <c r="I178" i="3"/>
  <c r="G24" i="3"/>
  <c r="H24" i="3"/>
  <c r="I24" i="3"/>
  <c r="G250" i="3"/>
  <c r="H250" i="3"/>
  <c r="I250" i="3"/>
  <c r="G152" i="3"/>
  <c r="H152" i="3"/>
  <c r="I152" i="3"/>
  <c r="G241" i="3"/>
  <c r="H241" i="3"/>
  <c r="I241" i="3"/>
  <c r="G253" i="3"/>
  <c r="H253" i="3"/>
  <c r="I253" i="3"/>
  <c r="G25" i="3"/>
  <c r="H25" i="3"/>
  <c r="I25" i="3"/>
  <c r="G132" i="3"/>
  <c r="H132" i="3"/>
  <c r="I132" i="3"/>
  <c r="G231" i="3"/>
  <c r="H231" i="3"/>
  <c r="I231" i="3"/>
  <c r="G186" i="3"/>
  <c r="H186" i="3"/>
  <c r="I186" i="3"/>
  <c r="G223" i="3"/>
  <c r="H223" i="3"/>
  <c r="I223" i="3"/>
  <c r="G216" i="3"/>
  <c r="H216" i="3"/>
  <c r="I216" i="3"/>
  <c r="G232" i="3"/>
  <c r="H232" i="3"/>
  <c r="I232" i="3"/>
  <c r="K232" i="3"/>
  <c r="G238" i="3"/>
  <c r="H238" i="3"/>
  <c r="I238" i="3"/>
  <c r="G74" i="3"/>
  <c r="H74" i="3"/>
  <c r="I74" i="3"/>
  <c r="G65" i="3"/>
  <c r="H65" i="3"/>
  <c r="I65" i="3"/>
  <c r="G151" i="3"/>
  <c r="H151" i="3"/>
  <c r="I151" i="3"/>
  <c r="G40" i="3"/>
  <c r="H40" i="3"/>
  <c r="I40" i="3"/>
  <c r="G77" i="3"/>
  <c r="H77" i="3"/>
  <c r="I77" i="3"/>
  <c r="G31" i="3"/>
  <c r="H31" i="3"/>
  <c r="I31" i="3"/>
  <c r="G202" i="3"/>
  <c r="H202" i="3"/>
  <c r="I202" i="3"/>
  <c r="G228" i="3"/>
  <c r="H228" i="3"/>
  <c r="I228" i="3"/>
  <c r="G32" i="3"/>
  <c r="H32" i="3"/>
  <c r="I32" i="3"/>
  <c r="G68" i="3"/>
  <c r="H68" i="3"/>
  <c r="I68" i="3"/>
  <c r="G43" i="3"/>
  <c r="H43" i="3"/>
  <c r="I43" i="3"/>
  <c r="G53" i="3"/>
  <c r="H53" i="3"/>
  <c r="I53" i="3"/>
  <c r="G39" i="3"/>
  <c r="H39" i="3"/>
  <c r="I39" i="3"/>
  <c r="G129" i="3"/>
  <c r="H129" i="3"/>
  <c r="I129" i="3"/>
  <c r="K129" i="3"/>
  <c r="G226" i="3"/>
  <c r="H226" i="3"/>
  <c r="I226" i="3"/>
  <c r="G215" i="3"/>
  <c r="H215" i="3"/>
  <c r="I215" i="3"/>
  <c r="G182" i="3"/>
  <c r="H182" i="3"/>
  <c r="I182" i="3"/>
  <c r="G27" i="3"/>
  <c r="H27" i="3"/>
  <c r="I27" i="3"/>
  <c r="K27" i="3"/>
  <c r="G28" i="3"/>
  <c r="H28" i="3"/>
  <c r="I28" i="3"/>
  <c r="G213" i="3"/>
  <c r="H213" i="3"/>
  <c r="I213" i="3"/>
  <c r="G180" i="3"/>
  <c r="H180" i="3"/>
  <c r="I180" i="3"/>
  <c r="G108" i="3"/>
  <c r="H108" i="3"/>
  <c r="I108" i="3"/>
  <c r="G29" i="3"/>
  <c r="H29" i="3"/>
  <c r="I29" i="3"/>
  <c r="K29" i="3"/>
  <c r="G30" i="3"/>
  <c r="H30" i="3"/>
  <c r="I30" i="3"/>
  <c r="K30" i="3"/>
  <c r="G252" i="3"/>
  <c r="H252" i="3"/>
  <c r="I252" i="3"/>
  <c r="G265" i="3"/>
  <c r="H265" i="3"/>
  <c r="I265" i="3"/>
  <c r="C103" i="3"/>
  <c r="D103" i="3"/>
  <c r="E103" i="3"/>
  <c r="C225" i="3"/>
  <c r="D225" i="3"/>
  <c r="E225" i="3"/>
  <c r="C55" i="3"/>
  <c r="D55" i="3"/>
  <c r="E55" i="3"/>
  <c r="C214" i="3"/>
  <c r="D214" i="3"/>
  <c r="E214" i="3"/>
  <c r="C192" i="3"/>
  <c r="D192" i="3"/>
  <c r="E192" i="3"/>
  <c r="C7" i="3"/>
  <c r="D7" i="3"/>
  <c r="E7" i="3"/>
  <c r="C76" i="3"/>
  <c r="D76" i="3"/>
  <c r="E76" i="3"/>
  <c r="C205" i="3"/>
  <c r="D205" i="3"/>
  <c r="E205" i="3"/>
  <c r="C208" i="3"/>
  <c r="D208" i="3"/>
  <c r="E208" i="3"/>
  <c r="C104" i="3"/>
  <c r="D104" i="3"/>
  <c r="E104" i="3"/>
  <c r="C8" i="3"/>
  <c r="D8" i="3"/>
  <c r="E8" i="3"/>
  <c r="C230" i="3"/>
  <c r="D230" i="3"/>
  <c r="E230" i="3"/>
  <c r="C176" i="3"/>
  <c r="D176" i="3"/>
  <c r="E176" i="3"/>
  <c r="C258" i="3"/>
  <c r="D258" i="3"/>
  <c r="E258" i="3"/>
  <c r="C251" i="3"/>
  <c r="D251" i="3"/>
  <c r="E251" i="3"/>
  <c r="C154" i="3"/>
  <c r="D154" i="3"/>
  <c r="E154" i="3"/>
  <c r="C157" i="3"/>
  <c r="D157" i="3"/>
  <c r="E157" i="3"/>
  <c r="C219" i="3"/>
  <c r="D219" i="3"/>
  <c r="E219" i="3"/>
  <c r="C242" i="3"/>
  <c r="D242" i="3"/>
  <c r="E242" i="3"/>
  <c r="C245" i="3"/>
  <c r="D245" i="3"/>
  <c r="E245" i="3"/>
  <c r="C9" i="3"/>
  <c r="D9" i="3"/>
  <c r="E9" i="3"/>
  <c r="C217" i="3"/>
  <c r="D217" i="3"/>
  <c r="E217" i="3"/>
  <c r="C206" i="3"/>
  <c r="D206" i="3"/>
  <c r="E206" i="3"/>
  <c r="C264" i="3"/>
  <c r="D264" i="3"/>
  <c r="E264" i="3"/>
  <c r="C10" i="3"/>
  <c r="D10" i="3"/>
  <c r="E10" i="3"/>
  <c r="C263" i="3"/>
  <c r="D263" i="3"/>
  <c r="E263" i="3"/>
  <c r="C175" i="3"/>
  <c r="D175" i="3"/>
  <c r="E175" i="3"/>
  <c r="C122" i="3"/>
  <c r="D122" i="3"/>
  <c r="E122" i="3"/>
  <c r="C196" i="3"/>
  <c r="D196" i="3"/>
  <c r="E196" i="3"/>
  <c r="C149" i="3"/>
  <c r="D149" i="3"/>
  <c r="E149" i="3"/>
  <c r="C123" i="3"/>
  <c r="D123" i="3"/>
  <c r="E123" i="3"/>
  <c r="C234" i="3"/>
  <c r="D234" i="3"/>
  <c r="E234" i="3"/>
  <c r="C243" i="3"/>
  <c r="D243" i="3"/>
  <c r="E243" i="3"/>
  <c r="C135" i="3"/>
  <c r="D135" i="3"/>
  <c r="E135" i="3"/>
  <c r="C90" i="3"/>
  <c r="D90" i="3"/>
  <c r="E90" i="3"/>
  <c r="C111" i="3"/>
  <c r="D111" i="3"/>
  <c r="E111" i="3"/>
  <c r="C189" i="3"/>
  <c r="D189" i="3"/>
  <c r="E189" i="3"/>
  <c r="C240" i="3"/>
  <c r="D240" i="3"/>
  <c r="E240" i="3"/>
  <c r="C112" i="3"/>
  <c r="D112" i="3"/>
  <c r="E112" i="3"/>
  <c r="C207" i="3"/>
  <c r="D207" i="3"/>
  <c r="E207" i="3"/>
  <c r="C52" i="3"/>
  <c r="D52" i="3"/>
  <c r="E52" i="3"/>
  <c r="C94" i="3"/>
  <c r="D94" i="3"/>
  <c r="E94" i="3"/>
  <c r="C71" i="3"/>
  <c r="D71" i="3"/>
  <c r="E71" i="3"/>
  <c r="C133" i="3"/>
  <c r="D133" i="3"/>
  <c r="E133" i="3"/>
  <c r="C147" i="3"/>
  <c r="D147" i="3"/>
  <c r="E147" i="3"/>
  <c r="C198" i="3"/>
  <c r="D198" i="3"/>
  <c r="E198" i="3"/>
  <c r="C177" i="3"/>
  <c r="D177" i="3"/>
  <c r="E177" i="3"/>
  <c r="C191" i="3"/>
  <c r="D191" i="3"/>
  <c r="E191" i="3"/>
  <c r="C138" i="3"/>
  <c r="D138" i="3"/>
  <c r="E138" i="3"/>
  <c r="C199" i="3"/>
  <c r="D199" i="3"/>
  <c r="E199" i="3"/>
  <c r="C66" i="3"/>
  <c r="D66" i="3"/>
  <c r="E66" i="3"/>
  <c r="C125" i="3"/>
  <c r="D125" i="3"/>
  <c r="E125" i="3"/>
  <c r="C221" i="3"/>
  <c r="D221" i="3"/>
  <c r="E221" i="3"/>
  <c r="C165" i="3"/>
  <c r="D165" i="3"/>
  <c r="E165" i="3"/>
  <c r="C106" i="3"/>
  <c r="D106" i="3"/>
  <c r="E106" i="3"/>
  <c r="C36" i="3"/>
  <c r="D36" i="3"/>
  <c r="E36" i="3"/>
  <c r="C41" i="3"/>
  <c r="D41" i="3"/>
  <c r="E41" i="3"/>
  <c r="C92" i="3"/>
  <c r="D92" i="3"/>
  <c r="E92" i="3"/>
  <c r="C100" i="3"/>
  <c r="D100" i="3"/>
  <c r="E100" i="3"/>
  <c r="C144" i="3"/>
  <c r="D144" i="3"/>
  <c r="E144" i="3"/>
  <c r="C131" i="3"/>
  <c r="D131" i="3"/>
  <c r="E131" i="3"/>
  <c r="C37" i="3"/>
  <c r="D37" i="3"/>
  <c r="E37" i="3"/>
  <c r="C99" i="3"/>
  <c r="D99" i="3"/>
  <c r="E99" i="3"/>
  <c r="C210" i="3"/>
  <c r="D210" i="3"/>
  <c r="E210" i="3"/>
  <c r="C64" i="3"/>
  <c r="D64" i="3"/>
  <c r="E64" i="3"/>
  <c r="C84" i="3"/>
  <c r="D84" i="3"/>
  <c r="E84" i="3"/>
  <c r="C160" i="3"/>
  <c r="D160" i="3"/>
  <c r="E160" i="3"/>
  <c r="C212" i="3"/>
  <c r="D212" i="3"/>
  <c r="E212" i="3"/>
  <c r="C127" i="3"/>
  <c r="D127" i="3"/>
  <c r="E127" i="3"/>
  <c r="C184" i="3"/>
  <c r="D184" i="3"/>
  <c r="E184" i="3"/>
  <c r="C257" i="3"/>
  <c r="D257" i="3"/>
  <c r="E257" i="3"/>
  <c r="C86" i="3"/>
  <c r="D86" i="3"/>
  <c r="E86" i="3"/>
  <c r="C61" i="3"/>
  <c r="D61" i="3"/>
  <c r="E61" i="3"/>
  <c r="C148" i="3"/>
  <c r="D148" i="3"/>
  <c r="E148" i="3"/>
  <c r="C156" i="3"/>
  <c r="D156" i="3"/>
  <c r="E156" i="3"/>
  <c r="C12" i="3"/>
  <c r="D12" i="3"/>
  <c r="E12" i="3"/>
  <c r="C70" i="3"/>
  <c r="D70" i="3"/>
  <c r="E70" i="3"/>
  <c r="C237" i="3"/>
  <c r="D237" i="3"/>
  <c r="E237" i="3"/>
  <c r="C48" i="3"/>
  <c r="D48" i="3"/>
  <c r="E48" i="3"/>
  <c r="C118" i="3"/>
  <c r="D118" i="3"/>
  <c r="E118" i="3"/>
  <c r="C49" i="3"/>
  <c r="D49" i="3"/>
  <c r="E49" i="3"/>
  <c r="C58" i="3"/>
  <c r="D58" i="3"/>
  <c r="E58" i="3"/>
  <c r="C203" i="3"/>
  <c r="D203" i="3"/>
  <c r="E203" i="3"/>
  <c r="C88" i="3"/>
  <c r="D88" i="3"/>
  <c r="E88" i="3"/>
  <c r="C78" i="3"/>
  <c r="D78" i="3"/>
  <c r="E78" i="3"/>
  <c r="C193" i="3"/>
  <c r="D193" i="3"/>
  <c r="E193" i="3"/>
  <c r="C38" i="3"/>
  <c r="D38" i="3"/>
  <c r="E38" i="3"/>
  <c r="C85" i="3"/>
  <c r="D85" i="3"/>
  <c r="E85" i="3"/>
  <c r="C172" i="3"/>
  <c r="D172" i="3"/>
  <c r="E172" i="3"/>
  <c r="C45" i="3"/>
  <c r="D45" i="3"/>
  <c r="E45" i="3"/>
  <c r="C44" i="3"/>
  <c r="D44" i="3"/>
  <c r="E44" i="3"/>
  <c r="C35" i="3"/>
  <c r="D35" i="3"/>
  <c r="E35" i="3"/>
  <c r="C183" i="3"/>
  <c r="D183" i="3"/>
  <c r="E183" i="3"/>
  <c r="C95" i="3"/>
  <c r="D95" i="3"/>
  <c r="E95" i="3"/>
  <c r="C185" i="3"/>
  <c r="D185" i="3"/>
  <c r="E185" i="3"/>
  <c r="C113" i="3"/>
  <c r="D113" i="3"/>
  <c r="E113" i="3"/>
  <c r="C75" i="3"/>
  <c r="D75" i="3"/>
  <c r="E75" i="3"/>
  <c r="C121" i="3"/>
  <c r="D121" i="3"/>
  <c r="E121" i="3"/>
  <c r="C169" i="3"/>
  <c r="D169" i="3"/>
  <c r="E169" i="3"/>
  <c r="C134" i="3"/>
  <c r="D134" i="3"/>
  <c r="E134" i="3"/>
  <c r="C82" i="3"/>
  <c r="D82" i="3"/>
  <c r="E82" i="3"/>
  <c r="C54" i="3"/>
  <c r="D54" i="3"/>
  <c r="E54" i="3"/>
  <c r="C93" i="3"/>
  <c r="D93" i="3"/>
  <c r="E93" i="3"/>
  <c r="C98" i="3"/>
  <c r="D98" i="3"/>
  <c r="E98" i="3"/>
  <c r="C87" i="3"/>
  <c r="D87" i="3"/>
  <c r="E87" i="3"/>
  <c r="C110" i="3"/>
  <c r="D110" i="3"/>
  <c r="E110" i="3"/>
  <c r="C227" i="3"/>
  <c r="D227" i="3"/>
  <c r="E227" i="3"/>
  <c r="C91" i="3"/>
  <c r="D91" i="3"/>
  <c r="E91" i="3"/>
  <c r="C13" i="3"/>
  <c r="D13" i="3"/>
  <c r="E13" i="3"/>
  <c r="C162" i="3"/>
  <c r="D162" i="3"/>
  <c r="E162" i="3"/>
  <c r="C101" i="3"/>
  <c r="D101" i="3"/>
  <c r="E101" i="3"/>
  <c r="C200" i="3"/>
  <c r="D200" i="3"/>
  <c r="E200" i="3"/>
  <c r="C117" i="3"/>
  <c r="D117" i="3"/>
  <c r="E117" i="3"/>
  <c r="C120" i="3"/>
  <c r="D120" i="3"/>
  <c r="E120" i="3"/>
  <c r="C146" i="3"/>
  <c r="D146" i="3"/>
  <c r="E146" i="3"/>
  <c r="C63" i="3"/>
  <c r="D63" i="3"/>
  <c r="E63" i="3"/>
  <c r="C67" i="3"/>
  <c r="D67" i="3"/>
  <c r="E67" i="3"/>
  <c r="C83" i="3"/>
  <c r="D83" i="3"/>
  <c r="E83" i="3"/>
  <c r="C89" i="3"/>
  <c r="D89" i="3"/>
  <c r="E89" i="3"/>
  <c r="C34" i="3"/>
  <c r="D34" i="3"/>
  <c r="E34" i="3"/>
  <c r="C181" i="3"/>
  <c r="D181" i="3"/>
  <c r="E181" i="3"/>
  <c r="C247" i="3"/>
  <c r="D247" i="3"/>
  <c r="E247" i="3"/>
  <c r="C57" i="3"/>
  <c r="D57" i="3"/>
  <c r="E57" i="3"/>
  <c r="C173" i="3"/>
  <c r="D173" i="3"/>
  <c r="E173" i="3"/>
  <c r="C47" i="3"/>
  <c r="D47" i="3"/>
  <c r="E47" i="3"/>
  <c r="C59" i="3"/>
  <c r="D59" i="3"/>
  <c r="E59" i="3"/>
  <c r="C233" i="3"/>
  <c r="D233" i="3"/>
  <c r="E233" i="3"/>
  <c r="C141" i="3"/>
  <c r="D141" i="3"/>
  <c r="E141" i="3"/>
  <c r="C115" i="3"/>
  <c r="D115" i="3"/>
  <c r="E115" i="3"/>
  <c r="C33" i="3"/>
  <c r="D33" i="3"/>
  <c r="E33" i="3"/>
  <c r="C81" i="3"/>
  <c r="D81" i="3"/>
  <c r="E81" i="3"/>
  <c r="C79" i="3"/>
  <c r="D79" i="3"/>
  <c r="E79" i="3"/>
  <c r="C72" i="3"/>
  <c r="D72" i="3"/>
  <c r="E72" i="3"/>
  <c r="C246" i="3"/>
  <c r="D246" i="3"/>
  <c r="E246" i="3"/>
  <c r="C209" i="3"/>
  <c r="D209" i="3"/>
  <c r="E209" i="3"/>
  <c r="C97" i="3"/>
  <c r="D97" i="3"/>
  <c r="E97" i="3"/>
  <c r="C80" i="3"/>
  <c r="D80" i="3"/>
  <c r="E80" i="3"/>
  <c r="C153" i="3"/>
  <c r="D153" i="3"/>
  <c r="E153" i="3"/>
  <c r="C116" i="3"/>
  <c r="D116" i="3"/>
  <c r="E116" i="3"/>
  <c r="C60" i="3"/>
  <c r="D60" i="3"/>
  <c r="E60" i="3"/>
  <c r="C256" i="3"/>
  <c r="D256" i="3"/>
  <c r="E256" i="3"/>
  <c r="C50" i="3"/>
  <c r="D50" i="3"/>
  <c r="E50" i="3"/>
  <c r="C128" i="3"/>
  <c r="D128" i="3"/>
  <c r="E128" i="3"/>
  <c r="C159" i="3"/>
  <c r="D159" i="3"/>
  <c r="E159" i="3"/>
  <c r="C142" i="3"/>
  <c r="D142" i="3"/>
  <c r="E142" i="3"/>
  <c r="C56" i="3"/>
  <c r="D56" i="3"/>
  <c r="E56" i="3"/>
  <c r="C261" i="3"/>
  <c r="D261" i="3"/>
  <c r="E261" i="3"/>
  <c r="C211" i="3"/>
  <c r="D211" i="3"/>
  <c r="E211" i="3"/>
  <c r="C167" i="3"/>
  <c r="D167" i="3"/>
  <c r="E167" i="3"/>
  <c r="C126" i="3"/>
  <c r="D126" i="3"/>
  <c r="E126" i="3"/>
  <c r="C248" i="3"/>
  <c r="D248" i="3"/>
  <c r="E248" i="3"/>
  <c r="C42" i="3"/>
  <c r="D42" i="3"/>
  <c r="E42" i="3"/>
  <c r="C139" i="3"/>
  <c r="D139" i="3"/>
  <c r="E139" i="3"/>
  <c r="C187" i="3"/>
  <c r="D187" i="3"/>
  <c r="E187" i="3"/>
  <c r="C179" i="3"/>
  <c r="D179" i="3"/>
  <c r="E179" i="3"/>
  <c r="C137" i="3"/>
  <c r="D137" i="3"/>
  <c r="E137" i="3"/>
  <c r="C204" i="3"/>
  <c r="D204" i="3"/>
  <c r="E204" i="3"/>
  <c r="C158" i="3"/>
  <c r="D158" i="3"/>
  <c r="E158" i="3"/>
  <c r="C171" i="3"/>
  <c r="D171" i="3"/>
  <c r="E171" i="3"/>
  <c r="C51" i="3"/>
  <c r="D51" i="3"/>
  <c r="E51" i="3"/>
  <c r="C224" i="3"/>
  <c r="D224" i="3"/>
  <c r="E224" i="3"/>
  <c r="C102" i="3"/>
  <c r="D102" i="3"/>
  <c r="E102" i="3"/>
  <c r="C150" i="3"/>
  <c r="D150" i="3"/>
  <c r="E150" i="3"/>
  <c r="C109" i="3"/>
  <c r="D109" i="3"/>
  <c r="E109" i="3"/>
  <c r="C62" i="3"/>
  <c r="D62" i="3"/>
  <c r="E62" i="3"/>
  <c r="C107" i="3"/>
  <c r="D107" i="3"/>
  <c r="E107" i="3"/>
  <c r="C155" i="3"/>
  <c r="D155" i="3"/>
  <c r="E155" i="3"/>
  <c r="C164" i="3"/>
  <c r="D164" i="3"/>
  <c r="E164" i="3"/>
  <c r="C218" i="3"/>
  <c r="D218" i="3"/>
  <c r="E218" i="3"/>
  <c r="C255" i="3"/>
  <c r="D255" i="3"/>
  <c r="E255" i="3"/>
  <c r="C14" i="3"/>
  <c r="D14" i="3"/>
  <c r="E14" i="3"/>
  <c r="C15" i="3"/>
  <c r="D15" i="3"/>
  <c r="E15" i="3"/>
  <c r="C46" i="3"/>
  <c r="D46" i="3"/>
  <c r="E46" i="3"/>
  <c r="C259" i="3"/>
  <c r="D259" i="3"/>
  <c r="E259" i="3"/>
  <c r="C140" i="3"/>
  <c r="D140" i="3"/>
  <c r="E140" i="3"/>
  <c r="C16" i="3"/>
  <c r="D16" i="3"/>
  <c r="E16" i="3"/>
  <c r="C130" i="3"/>
  <c r="D130" i="3"/>
  <c r="E130" i="3"/>
  <c r="C73" i="3"/>
  <c r="D73" i="3"/>
  <c r="E73" i="3"/>
  <c r="C197" i="3"/>
  <c r="D197" i="3"/>
  <c r="E197" i="3"/>
  <c r="C17" i="3"/>
  <c r="D17" i="3"/>
  <c r="E17" i="3"/>
  <c r="C163" i="3"/>
  <c r="D163" i="3"/>
  <c r="E163" i="3"/>
  <c r="C18" i="3"/>
  <c r="D18" i="3"/>
  <c r="E18" i="3"/>
  <c r="C145" i="3"/>
  <c r="D145" i="3"/>
  <c r="E145" i="3"/>
  <c r="C235" i="3"/>
  <c r="D235" i="3"/>
  <c r="E235" i="3"/>
  <c r="C19" i="3"/>
  <c r="D19" i="3"/>
  <c r="E19" i="3"/>
  <c r="C20" i="3"/>
  <c r="D20" i="3"/>
  <c r="E20" i="3"/>
  <c r="C114" i="3"/>
  <c r="D114" i="3"/>
  <c r="E114" i="3"/>
  <c r="C201" i="3"/>
  <c r="D201" i="3"/>
  <c r="E201" i="3"/>
  <c r="C220" i="3"/>
  <c r="D220" i="3"/>
  <c r="E220" i="3"/>
  <c r="C21" i="3"/>
  <c r="D21" i="3"/>
  <c r="E21" i="3"/>
  <c r="C22" i="3"/>
  <c r="D22" i="3"/>
  <c r="E22" i="3"/>
  <c r="C23" i="3"/>
  <c r="D23" i="3"/>
  <c r="E23" i="3"/>
  <c r="C260" i="3"/>
  <c r="D260" i="3"/>
  <c r="E260" i="3"/>
  <c r="C190" i="3"/>
  <c r="D190" i="3"/>
  <c r="E190" i="3"/>
  <c r="C194" i="3"/>
  <c r="D194" i="3"/>
  <c r="E194" i="3"/>
  <c r="C143" i="3"/>
  <c r="D143" i="3"/>
  <c r="E143" i="3"/>
  <c r="C96" i="3"/>
  <c r="D96" i="3"/>
  <c r="E96" i="3"/>
  <c r="C119" i="3"/>
  <c r="D119" i="3"/>
  <c r="E119" i="3"/>
  <c r="C249" i="3"/>
  <c r="D249" i="3"/>
  <c r="E249" i="3"/>
  <c r="C254" i="3"/>
  <c r="D254" i="3"/>
  <c r="E254" i="3"/>
  <c r="C244" i="3"/>
  <c r="D244" i="3"/>
  <c r="E244" i="3"/>
  <c r="C170" i="3"/>
  <c r="D170" i="3"/>
  <c r="E170" i="3"/>
  <c r="C161" i="3"/>
  <c r="D161" i="3"/>
  <c r="E161" i="3"/>
  <c r="C168" i="3"/>
  <c r="D168" i="3"/>
  <c r="E168" i="3"/>
  <c r="C229" i="3"/>
  <c r="D229" i="3"/>
  <c r="E229" i="3"/>
  <c r="C236" i="3"/>
  <c r="D236" i="3"/>
  <c r="E236" i="3"/>
  <c r="C105" i="3"/>
  <c r="D105" i="3"/>
  <c r="E105" i="3"/>
  <c r="C174" i="3"/>
  <c r="D174" i="3"/>
  <c r="E174" i="3"/>
  <c r="C69" i="3"/>
  <c r="D69" i="3"/>
  <c r="E69" i="3"/>
  <c r="C222" i="3"/>
  <c r="D222" i="3"/>
  <c r="E222" i="3"/>
  <c r="C239" i="3"/>
  <c r="D239" i="3"/>
  <c r="E239" i="3"/>
  <c r="C124" i="3"/>
  <c r="D124" i="3"/>
  <c r="E124" i="3"/>
  <c r="C188" i="3"/>
  <c r="D188" i="3"/>
  <c r="E188" i="3"/>
  <c r="C136" i="3"/>
  <c r="D136" i="3"/>
  <c r="E136" i="3"/>
  <c r="C178" i="3"/>
  <c r="D178" i="3"/>
  <c r="E178" i="3"/>
  <c r="C24" i="3"/>
  <c r="D24" i="3"/>
  <c r="E24" i="3"/>
  <c r="C250" i="3"/>
  <c r="D250" i="3"/>
  <c r="E250" i="3"/>
  <c r="C152" i="3"/>
  <c r="D152" i="3"/>
  <c r="E152" i="3"/>
  <c r="C241" i="3"/>
  <c r="D241" i="3"/>
  <c r="E241" i="3"/>
  <c r="C253" i="3"/>
  <c r="D253" i="3"/>
  <c r="E253" i="3"/>
  <c r="C25" i="3"/>
  <c r="D25" i="3"/>
  <c r="E25" i="3"/>
  <c r="C132" i="3"/>
  <c r="D132" i="3"/>
  <c r="E132" i="3"/>
  <c r="C231" i="3"/>
  <c r="D231" i="3"/>
  <c r="E231" i="3"/>
  <c r="C186" i="3"/>
  <c r="D186" i="3"/>
  <c r="E186" i="3"/>
  <c r="C223" i="3"/>
  <c r="D223" i="3"/>
  <c r="E223" i="3"/>
  <c r="C216" i="3"/>
  <c r="D216" i="3"/>
  <c r="E216" i="3"/>
  <c r="C232" i="3"/>
  <c r="D232" i="3"/>
  <c r="E232" i="3"/>
  <c r="C238" i="3"/>
  <c r="D238" i="3"/>
  <c r="E238" i="3"/>
  <c r="C74" i="3"/>
  <c r="D74" i="3"/>
  <c r="E74" i="3"/>
  <c r="C65" i="3"/>
  <c r="D65" i="3"/>
  <c r="E65" i="3"/>
  <c r="C151" i="3"/>
  <c r="D151" i="3"/>
  <c r="E151" i="3"/>
  <c r="C40" i="3"/>
  <c r="D40" i="3"/>
  <c r="E40" i="3"/>
  <c r="C77" i="3"/>
  <c r="D77" i="3"/>
  <c r="E77" i="3"/>
  <c r="C31" i="3"/>
  <c r="D31" i="3"/>
  <c r="E31" i="3"/>
  <c r="C202" i="3"/>
  <c r="D202" i="3"/>
  <c r="E202" i="3"/>
  <c r="C228" i="3"/>
  <c r="D228" i="3"/>
  <c r="E228" i="3"/>
  <c r="C32" i="3"/>
  <c r="D32" i="3"/>
  <c r="E32" i="3"/>
  <c r="C68" i="3"/>
  <c r="D68" i="3"/>
  <c r="E68" i="3"/>
  <c r="C43" i="3"/>
  <c r="D43" i="3"/>
  <c r="E43" i="3"/>
  <c r="C53" i="3"/>
  <c r="D53" i="3"/>
  <c r="E53" i="3"/>
  <c r="C39" i="3"/>
  <c r="D39" i="3"/>
  <c r="E39" i="3"/>
  <c r="C129" i="3"/>
  <c r="D129" i="3"/>
  <c r="E129" i="3"/>
  <c r="C226" i="3"/>
  <c r="D226" i="3"/>
  <c r="E226" i="3"/>
  <c r="C215" i="3"/>
  <c r="D215" i="3"/>
  <c r="E215" i="3"/>
  <c r="C182" i="3"/>
  <c r="D182" i="3"/>
  <c r="E182" i="3"/>
  <c r="C27" i="3"/>
  <c r="D27" i="3"/>
  <c r="E27" i="3"/>
  <c r="C28" i="3"/>
  <c r="D28" i="3"/>
  <c r="E28" i="3"/>
  <c r="C213" i="3"/>
  <c r="D213" i="3"/>
  <c r="E213" i="3"/>
  <c r="C180" i="3"/>
  <c r="D180" i="3"/>
  <c r="E180" i="3"/>
  <c r="C108" i="3"/>
  <c r="D108" i="3"/>
  <c r="E108" i="3"/>
  <c r="C29" i="3"/>
  <c r="D29" i="3"/>
  <c r="E29" i="3"/>
  <c r="C30" i="3"/>
  <c r="D30" i="3"/>
  <c r="E30" i="3"/>
  <c r="C252" i="3"/>
  <c r="D252" i="3"/>
  <c r="E252" i="3"/>
  <c r="C265" i="3"/>
  <c r="D265" i="3"/>
  <c r="E265" i="3"/>
  <c r="Q31" i="3"/>
  <c r="L86" i="3" l="1"/>
  <c r="R251" i="3"/>
  <c r="X187" i="3"/>
  <c r="R52" i="3"/>
  <c r="R157" i="3"/>
  <c r="X186" i="3"/>
  <c r="X254" i="3"/>
  <c r="X42" i="3"/>
  <c r="X36" i="3"/>
  <c r="X205" i="3"/>
  <c r="R40" i="3"/>
  <c r="X140" i="3"/>
  <c r="X90" i="3"/>
  <c r="X123" i="3"/>
  <c r="X76" i="3"/>
  <c r="Z186" i="3"/>
  <c r="Z254" i="3"/>
  <c r="Z42" i="3"/>
  <c r="Z36" i="3"/>
  <c r="Z205" i="3"/>
  <c r="L234" i="3"/>
  <c r="Z200" i="3"/>
  <c r="Z210" i="3"/>
  <c r="X200" i="3"/>
  <c r="X210" i="3"/>
  <c r="Y195" i="3"/>
  <c r="Z158" i="3"/>
  <c r="Z246" i="3"/>
  <c r="Z213" i="3"/>
  <c r="X30" i="3"/>
  <c r="X213" i="3"/>
  <c r="X27" i="3"/>
  <c r="X132" i="3"/>
  <c r="X119" i="3"/>
  <c r="X165" i="3"/>
  <c r="G11" i="14"/>
  <c r="F12" i="14"/>
  <c r="G12" i="14" s="1"/>
  <c r="F43" i="14"/>
  <c r="G43" i="14" s="1"/>
  <c r="G42" i="14"/>
  <c r="F21" i="14"/>
  <c r="G20" i="14"/>
  <c r="R18" i="3"/>
  <c r="R162" i="3"/>
  <c r="R37" i="3"/>
  <c r="Z198" i="3"/>
  <c r="Z217" i="3"/>
  <c r="Z206" i="3"/>
  <c r="Z43" i="3"/>
  <c r="X206" i="3"/>
  <c r="X95" i="3"/>
  <c r="X198" i="3"/>
  <c r="X217" i="3"/>
  <c r="Z22" i="3"/>
  <c r="Z178" i="3"/>
  <c r="G57" i="14"/>
  <c r="F58" i="14"/>
  <c r="G58" i="14" s="1"/>
  <c r="G256" i="14"/>
  <c r="F257" i="14"/>
  <c r="G65" i="14"/>
  <c r="F66" i="14"/>
  <c r="G240" i="14"/>
  <c r="F241" i="14"/>
  <c r="G103" i="14"/>
  <c r="F104" i="14"/>
  <c r="G195" i="14"/>
  <c r="F196" i="14"/>
  <c r="G196" i="14" s="1"/>
  <c r="G141" i="14"/>
  <c r="F142" i="14"/>
  <c r="G208" i="14"/>
  <c r="F209" i="14"/>
  <c r="G230" i="14"/>
  <c r="F231" i="14"/>
  <c r="Z211" i="3"/>
  <c r="Z12" i="3"/>
  <c r="Z125" i="3"/>
  <c r="Z214" i="3"/>
  <c r="Z66" i="3"/>
  <c r="Z55" i="3"/>
  <c r="Z129" i="3"/>
  <c r="Z152" i="3"/>
  <c r="Z148" i="3"/>
  <c r="Z263" i="3"/>
  <c r="Z225" i="3"/>
  <c r="Z218" i="3"/>
  <c r="Z142" i="3"/>
  <c r="Z75" i="3"/>
  <c r="Z10" i="3"/>
  <c r="Z103" i="3"/>
  <c r="X12" i="3"/>
  <c r="X125" i="3"/>
  <c r="X214" i="3"/>
  <c r="X66" i="3"/>
  <c r="X175" i="3"/>
  <c r="X225" i="3"/>
  <c r="X61" i="3"/>
  <c r="X10" i="3"/>
  <c r="X103" i="3"/>
  <c r="R189" i="3"/>
  <c r="R144" i="3"/>
  <c r="R90" i="3"/>
  <c r="L95" i="3"/>
  <c r="L198" i="3"/>
  <c r="L18" i="3"/>
  <c r="L252" i="3"/>
  <c r="L229" i="3"/>
  <c r="L171" i="3"/>
  <c r="L209" i="3"/>
  <c r="L99" i="3"/>
  <c r="L115" i="3"/>
  <c r="X133" i="3"/>
  <c r="R169" i="3"/>
  <c r="X44" i="3"/>
  <c r="X172" i="3"/>
  <c r="R127" i="3"/>
  <c r="R9" i="3"/>
  <c r="X238" i="3"/>
  <c r="X168" i="3"/>
  <c r="X163" i="3"/>
  <c r="X158" i="3"/>
  <c r="X246" i="3"/>
  <c r="Z44" i="3"/>
  <c r="Z160" i="3"/>
  <c r="Z172" i="3"/>
  <c r="Z64" i="3"/>
  <c r="L175" i="3"/>
  <c r="R222" i="3"/>
  <c r="X145" i="3"/>
  <c r="L124" i="3"/>
  <c r="L199" i="3"/>
  <c r="X63" i="3"/>
  <c r="X245" i="3"/>
  <c r="Z105" i="3"/>
  <c r="Z63" i="3"/>
  <c r="R265" i="3"/>
  <c r="R65" i="3"/>
  <c r="R236" i="3"/>
  <c r="R51" i="3"/>
  <c r="R97" i="3"/>
  <c r="R83" i="3"/>
  <c r="R217" i="3"/>
  <c r="X252" i="3"/>
  <c r="X74" i="3"/>
  <c r="X18" i="3"/>
  <c r="X171" i="3"/>
  <c r="X209" i="3"/>
  <c r="X67" i="3"/>
  <c r="Z74" i="3"/>
  <c r="Z67" i="3"/>
  <c r="X9" i="3"/>
  <c r="R242" i="3"/>
  <c r="L172" i="3"/>
  <c r="L27" i="3"/>
  <c r="L132" i="3"/>
  <c r="L119" i="3"/>
  <c r="L140" i="3"/>
  <c r="L42" i="3"/>
  <c r="Z29" i="3"/>
  <c r="Z232" i="3"/>
  <c r="Z204" i="3"/>
  <c r="Z72" i="3"/>
  <c r="Z146" i="3"/>
  <c r="Z183" i="3"/>
  <c r="Z133" i="3"/>
  <c r="Z245" i="3"/>
  <c r="R133" i="3"/>
  <c r="R245" i="3"/>
  <c r="X29" i="3"/>
  <c r="X161" i="3"/>
  <c r="X17" i="3"/>
  <c r="X204" i="3"/>
  <c r="X72" i="3"/>
  <c r="X146" i="3"/>
  <c r="X183" i="3"/>
  <c r="Z92" i="3"/>
  <c r="R99" i="3"/>
  <c r="Z147" i="3"/>
  <c r="R200" i="3"/>
  <c r="R44" i="3"/>
  <c r="R139" i="3"/>
  <c r="R131" i="3"/>
  <c r="L70" i="3"/>
  <c r="Z16" i="3"/>
  <c r="Z139" i="3"/>
  <c r="Z33" i="3"/>
  <c r="Z101" i="3"/>
  <c r="Z45" i="3"/>
  <c r="Z84" i="3"/>
  <c r="Z71" i="3"/>
  <c r="X160" i="3"/>
  <c r="X84" i="3"/>
  <c r="X71" i="3"/>
  <c r="R27" i="3"/>
  <c r="R132" i="3"/>
  <c r="R119" i="3"/>
  <c r="R203" i="3"/>
  <c r="L251" i="3"/>
  <c r="R140" i="3"/>
  <c r="R42" i="3"/>
  <c r="R115" i="3"/>
  <c r="R172" i="3"/>
  <c r="Z223" i="3"/>
  <c r="Z244" i="3"/>
  <c r="Z73" i="3"/>
  <c r="Z179" i="3"/>
  <c r="Z81" i="3"/>
  <c r="Z117" i="3"/>
  <c r="Z212" i="3"/>
  <c r="Z9" i="3"/>
  <c r="L157" i="3"/>
  <c r="R186" i="3"/>
  <c r="R254" i="3"/>
  <c r="R130" i="3"/>
  <c r="L112" i="3"/>
  <c r="R94" i="3"/>
  <c r="R219" i="3"/>
  <c r="X180" i="3"/>
  <c r="X223" i="3"/>
  <c r="X244" i="3"/>
  <c r="X73" i="3"/>
  <c r="X179" i="3"/>
  <c r="X81" i="3"/>
  <c r="X117" i="3"/>
  <c r="R154" i="3"/>
  <c r="X249" i="3"/>
  <c r="X139" i="3"/>
  <c r="X33" i="3"/>
  <c r="Z98" i="3"/>
  <c r="R185" i="3"/>
  <c r="L196" i="3"/>
  <c r="R228" i="3"/>
  <c r="R124" i="3"/>
  <c r="R201" i="3"/>
  <c r="R107" i="3"/>
  <c r="R50" i="3"/>
  <c r="R247" i="3"/>
  <c r="R82" i="3"/>
  <c r="Z241" i="3"/>
  <c r="Z167" i="3"/>
  <c r="L57" i="3"/>
  <c r="L243" i="3"/>
  <c r="R111" i="3"/>
  <c r="R243" i="3"/>
  <c r="X240" i="3"/>
  <c r="L61" i="3"/>
  <c r="L138" i="3"/>
  <c r="R121" i="3"/>
  <c r="L257" i="3"/>
  <c r="L213" i="3"/>
  <c r="L187" i="3"/>
  <c r="Z39" i="3"/>
  <c r="Z250" i="3"/>
  <c r="Z260" i="3"/>
  <c r="Z255" i="3"/>
  <c r="Z261" i="3"/>
  <c r="Z47" i="3"/>
  <c r="Z110" i="3"/>
  <c r="Z193" i="3"/>
  <c r="R49" i="3"/>
  <c r="R41" i="3"/>
  <c r="R104" i="3"/>
  <c r="X250" i="3"/>
  <c r="X255" i="3"/>
  <c r="X193" i="3"/>
  <c r="X99" i="3"/>
  <c r="R187" i="3"/>
  <c r="R234" i="3"/>
  <c r="Z53" i="3"/>
  <c r="Z24" i="3"/>
  <c r="Z23" i="3"/>
  <c r="Z56" i="3"/>
  <c r="Z173" i="3"/>
  <c r="Z87" i="3"/>
  <c r="Z78" i="3"/>
  <c r="X189" i="3"/>
  <c r="L147" i="3"/>
  <c r="R229" i="3"/>
  <c r="R95" i="3"/>
  <c r="X111" i="3"/>
  <c r="Z68" i="3"/>
  <c r="Z136" i="3"/>
  <c r="Z21" i="3"/>
  <c r="Z164" i="3"/>
  <c r="Z159" i="3"/>
  <c r="Z93" i="3"/>
  <c r="L212" i="3"/>
  <c r="L215" i="3"/>
  <c r="L253" i="3"/>
  <c r="L143" i="3"/>
  <c r="L46" i="3"/>
  <c r="L126" i="3"/>
  <c r="L141" i="3"/>
  <c r="L13" i="3"/>
  <c r="R232" i="3"/>
  <c r="X41" i="3"/>
  <c r="X135" i="3"/>
  <c r="L64" i="3"/>
  <c r="L39" i="3"/>
  <c r="L250" i="3"/>
  <c r="L260" i="3"/>
  <c r="L255" i="3"/>
  <c r="L261" i="3"/>
  <c r="L47" i="3"/>
  <c r="L110" i="3"/>
  <c r="L193" i="3"/>
  <c r="R213" i="3"/>
  <c r="R89" i="3"/>
  <c r="R118" i="3"/>
  <c r="R36" i="3"/>
  <c r="R208" i="3"/>
  <c r="X23" i="3"/>
  <c r="X56" i="3"/>
  <c r="X78" i="3"/>
  <c r="R237" i="3"/>
  <c r="R165" i="3"/>
  <c r="R123" i="3"/>
  <c r="R76" i="3"/>
  <c r="X68" i="3"/>
  <c r="X136" i="3"/>
  <c r="X21" i="3"/>
  <c r="X164" i="3"/>
  <c r="X159" i="3"/>
  <c r="L98" i="3"/>
  <c r="R70" i="3"/>
  <c r="L43" i="3"/>
  <c r="L84" i="3"/>
  <c r="R221" i="3"/>
  <c r="L178" i="3"/>
  <c r="X229" i="3"/>
  <c r="R209" i="3"/>
  <c r="R171" i="3"/>
  <c r="L22" i="3"/>
  <c r="R252" i="3"/>
  <c r="L218" i="3"/>
  <c r="R67" i="3"/>
  <c r="L28" i="3"/>
  <c r="L231" i="3"/>
  <c r="L249" i="3"/>
  <c r="L177" i="3"/>
  <c r="R105" i="3"/>
  <c r="R80" i="3"/>
  <c r="R48" i="3"/>
  <c r="R205" i="3"/>
  <c r="X43" i="3"/>
  <c r="X218" i="3"/>
  <c r="X142" i="3"/>
  <c r="R61" i="3"/>
  <c r="R74" i="3"/>
  <c r="L182" i="3"/>
  <c r="L25" i="3"/>
  <c r="L96" i="3"/>
  <c r="L259" i="3"/>
  <c r="L248" i="3"/>
  <c r="L162" i="3"/>
  <c r="L85" i="3"/>
  <c r="L127" i="3"/>
  <c r="L142" i="3"/>
  <c r="R30" i="3"/>
  <c r="R238" i="3"/>
  <c r="R168" i="3"/>
  <c r="R163" i="3"/>
  <c r="R158" i="3"/>
  <c r="R246" i="3"/>
  <c r="R63" i="3"/>
  <c r="Z258" i="3"/>
  <c r="Z111" i="3"/>
  <c r="Z230" i="3"/>
  <c r="X37" i="3"/>
  <c r="L190" i="3"/>
  <c r="L14" i="3"/>
  <c r="L59" i="3"/>
  <c r="L227" i="3"/>
  <c r="L38" i="3"/>
  <c r="L242" i="3"/>
  <c r="X176" i="3"/>
  <c r="X230" i="3"/>
  <c r="Z61" i="3"/>
  <c r="R192" i="3"/>
  <c r="X228" i="3"/>
  <c r="X124" i="3"/>
  <c r="X201" i="3"/>
  <c r="X107" i="3"/>
  <c r="X50" i="3"/>
  <c r="X247" i="3"/>
  <c r="X82" i="3"/>
  <c r="X203" i="3"/>
  <c r="L68" i="3"/>
  <c r="L136" i="3"/>
  <c r="L21" i="3"/>
  <c r="L164" i="3"/>
  <c r="L159" i="3"/>
  <c r="L93" i="3"/>
  <c r="L207" i="3"/>
  <c r="R28" i="3"/>
  <c r="R231" i="3"/>
  <c r="R16" i="3"/>
  <c r="R101" i="3"/>
  <c r="R45" i="3"/>
  <c r="R125" i="3"/>
  <c r="R29" i="3"/>
  <c r="R161" i="3"/>
  <c r="R17" i="3"/>
  <c r="R204" i="3"/>
  <c r="R72" i="3"/>
  <c r="R146" i="3"/>
  <c r="R183" i="3"/>
  <c r="R12" i="3"/>
  <c r="R149" i="3"/>
  <c r="R7" i="3"/>
  <c r="X32" i="3"/>
  <c r="X188" i="3"/>
  <c r="X220" i="3"/>
  <c r="X155" i="3"/>
  <c r="X128" i="3"/>
  <c r="X57" i="3"/>
  <c r="X54" i="3"/>
  <c r="X88" i="3"/>
  <c r="X232" i="3"/>
  <c r="Z32" i="3"/>
  <c r="Z188" i="3"/>
  <c r="Z220" i="3"/>
  <c r="Z155" i="3"/>
  <c r="Z128" i="3"/>
  <c r="Z54" i="3"/>
  <c r="Z88" i="3"/>
  <c r="R159" i="3"/>
  <c r="R148" i="3"/>
  <c r="R199" i="3"/>
  <c r="R122" i="3"/>
  <c r="X192" i="3"/>
  <c r="R66" i="3"/>
  <c r="L94" i="3"/>
  <c r="R196" i="3"/>
  <c r="L219" i="3"/>
  <c r="R180" i="3"/>
  <c r="R223" i="3"/>
  <c r="R244" i="3"/>
  <c r="R73" i="3"/>
  <c r="R179" i="3"/>
  <c r="R81" i="3"/>
  <c r="R117" i="3"/>
  <c r="Z228" i="3"/>
  <c r="Z124" i="3"/>
  <c r="Z201" i="3"/>
  <c r="L107" i="3"/>
  <c r="Z50" i="3"/>
  <c r="Z247" i="3"/>
  <c r="L82" i="3"/>
  <c r="L203" i="3"/>
  <c r="Z240" i="3"/>
  <c r="X28" i="3"/>
  <c r="X16" i="3"/>
  <c r="X101" i="3"/>
  <c r="R138" i="3"/>
  <c r="R55" i="3"/>
  <c r="X31" i="3"/>
  <c r="X222" i="3"/>
  <c r="X20" i="3"/>
  <c r="X109" i="3"/>
  <c r="X60" i="3"/>
  <c r="X34" i="3"/>
  <c r="X169" i="3"/>
  <c r="X49" i="3"/>
  <c r="X251" i="3"/>
  <c r="L16" i="3"/>
  <c r="L154" i="3"/>
  <c r="L240" i="3"/>
  <c r="L258" i="3"/>
  <c r="R182" i="3"/>
  <c r="R25" i="3"/>
  <c r="R96" i="3"/>
  <c r="R259" i="3"/>
  <c r="R248" i="3"/>
  <c r="R85" i="3"/>
  <c r="R86" i="3"/>
  <c r="L45" i="3"/>
  <c r="L100" i="3"/>
  <c r="L176" i="3"/>
  <c r="R215" i="3"/>
  <c r="R253" i="3"/>
  <c r="R143" i="3"/>
  <c r="R46" i="3"/>
  <c r="R126" i="3"/>
  <c r="R141" i="3"/>
  <c r="R13" i="3"/>
  <c r="R257" i="3"/>
  <c r="L151" i="3"/>
  <c r="L145" i="3"/>
  <c r="L224" i="3"/>
  <c r="L113" i="3"/>
  <c r="R33" i="3"/>
  <c r="L139" i="3"/>
  <c r="R207" i="3"/>
  <c r="X45" i="3"/>
  <c r="L148" i="3"/>
  <c r="X122" i="3"/>
  <c r="Z202" i="3"/>
  <c r="Z239" i="3"/>
  <c r="Z114" i="3"/>
  <c r="Z62" i="3"/>
  <c r="Z256" i="3"/>
  <c r="Z181" i="3"/>
  <c r="Z134" i="3"/>
  <c r="Z58" i="3"/>
  <c r="R214" i="3"/>
  <c r="X202" i="3"/>
  <c r="X239" i="3"/>
  <c r="X114" i="3"/>
  <c r="X62" i="3"/>
  <c r="X256" i="3"/>
  <c r="X181" i="3"/>
  <c r="X134" i="3"/>
  <c r="X58" i="3"/>
  <c r="R249" i="3"/>
  <c r="L33" i="3"/>
  <c r="X148" i="3"/>
  <c r="L101" i="3"/>
  <c r="R100" i="3"/>
  <c r="L152" i="3"/>
  <c r="L105" i="3"/>
  <c r="L211" i="3"/>
  <c r="R145" i="3"/>
  <c r="Z251" i="3"/>
  <c r="L80" i="3"/>
  <c r="L48" i="3"/>
  <c r="R240" i="3"/>
  <c r="R113" i="3"/>
  <c r="R224" i="3"/>
  <c r="R151" i="3"/>
  <c r="L40" i="3"/>
  <c r="L129" i="3"/>
  <c r="Z82" i="3"/>
  <c r="R167" i="3"/>
  <c r="L8" i="3"/>
  <c r="R129" i="3"/>
  <c r="R152" i="3"/>
  <c r="R190" i="3"/>
  <c r="R14" i="3"/>
  <c r="R211" i="3"/>
  <c r="R59" i="3"/>
  <c r="R227" i="3"/>
  <c r="R38" i="3"/>
  <c r="R177" i="3"/>
  <c r="L53" i="3"/>
  <c r="Z49" i="3"/>
  <c r="L265" i="3"/>
  <c r="L236" i="3"/>
  <c r="L51" i="3"/>
  <c r="L83" i="3"/>
  <c r="L185" i="3"/>
  <c r="L189" i="3"/>
  <c r="X94" i="3"/>
  <c r="L135" i="3"/>
  <c r="R39" i="3"/>
  <c r="R260" i="3"/>
  <c r="R261" i="3"/>
  <c r="R47" i="3"/>
  <c r="R110" i="3"/>
  <c r="R212" i="3"/>
  <c r="X40" i="3"/>
  <c r="X174" i="3"/>
  <c r="X235" i="3"/>
  <c r="X102" i="3"/>
  <c r="X153" i="3"/>
  <c r="X75" i="3"/>
  <c r="X144" i="3"/>
  <c r="L133" i="3"/>
  <c r="Z31" i="3"/>
  <c r="Z222" i="3"/>
  <c r="Z34" i="3"/>
  <c r="Z169" i="3"/>
  <c r="Z37" i="3"/>
  <c r="Z94" i="3"/>
  <c r="L50" i="3"/>
  <c r="Z203" i="3"/>
  <c r="Z77" i="3"/>
  <c r="Z69" i="3"/>
  <c r="Z19" i="3"/>
  <c r="Z150" i="3"/>
  <c r="Z116" i="3"/>
  <c r="Z89" i="3"/>
  <c r="Z121" i="3"/>
  <c r="Z118" i="3"/>
  <c r="Z131" i="3"/>
  <c r="Z52" i="3"/>
  <c r="L245" i="3"/>
  <c r="L201" i="3"/>
  <c r="L161" i="3"/>
  <c r="L17" i="3"/>
  <c r="Z99" i="3"/>
  <c r="L247" i="3"/>
  <c r="L228" i="3"/>
  <c r="Z107" i="3"/>
  <c r="X55" i="3"/>
  <c r="R263" i="3"/>
  <c r="X77" i="3"/>
  <c r="X69" i="3"/>
  <c r="X19" i="3"/>
  <c r="X150" i="3"/>
  <c r="X116" i="3"/>
  <c r="X89" i="3"/>
  <c r="X121" i="3"/>
  <c r="X118" i="3"/>
  <c r="X131" i="3"/>
  <c r="X52" i="3"/>
  <c r="L188" i="3"/>
  <c r="L210" i="3"/>
  <c r="R175" i="3"/>
  <c r="Z20" i="3"/>
  <c r="Z109" i="3"/>
  <c r="Z60" i="3"/>
  <c r="Z40" i="3"/>
  <c r="Z174" i="3"/>
  <c r="Z235" i="3"/>
  <c r="Z102" i="3"/>
  <c r="Z153" i="3"/>
  <c r="Z144" i="3"/>
  <c r="L54" i="3"/>
  <c r="Z57" i="3"/>
  <c r="L30" i="3"/>
  <c r="L238" i="3"/>
  <c r="L168" i="3"/>
  <c r="L41" i="3"/>
  <c r="R194" i="3"/>
  <c r="R15" i="3"/>
  <c r="R233" i="3"/>
  <c r="R191" i="3"/>
  <c r="L128" i="3"/>
  <c r="R103" i="3"/>
  <c r="R10" i="3"/>
  <c r="L220" i="3"/>
  <c r="L32" i="3"/>
  <c r="L88" i="3"/>
  <c r="L9" i="3"/>
  <c r="L155" i="3"/>
  <c r="R193" i="3"/>
  <c r="Z219" i="3"/>
  <c r="X260" i="3"/>
  <c r="X151" i="3"/>
  <c r="X105" i="3"/>
  <c r="X224" i="3"/>
  <c r="X80" i="3"/>
  <c r="Z113" i="3"/>
  <c r="X48" i="3"/>
  <c r="X100" i="3"/>
  <c r="X207" i="3"/>
  <c r="X39" i="3"/>
  <c r="X261" i="3"/>
  <c r="X110" i="3"/>
  <c r="X212" i="3"/>
  <c r="R198" i="3"/>
  <c r="R135" i="3"/>
  <c r="X263" i="3"/>
  <c r="L226" i="3"/>
  <c r="L241" i="3"/>
  <c r="L167" i="3"/>
  <c r="L91" i="3"/>
  <c r="L184" i="3"/>
  <c r="R225" i="3"/>
  <c r="R250" i="3"/>
  <c r="L118" i="3"/>
  <c r="L104" i="3"/>
  <c r="R255" i="3"/>
  <c r="X47" i="3"/>
  <c r="Z80" i="3"/>
  <c r="X265" i="3"/>
  <c r="X65" i="3"/>
  <c r="X236" i="3"/>
  <c r="X51" i="3"/>
  <c r="X97" i="3"/>
  <c r="X83" i="3"/>
  <c r="X185" i="3"/>
  <c r="X237" i="3"/>
  <c r="X112" i="3"/>
  <c r="L230" i="3"/>
  <c r="Z207" i="3"/>
  <c r="L191" i="3"/>
  <c r="R241" i="3"/>
  <c r="L24" i="3"/>
  <c r="L23" i="3"/>
  <c r="L56" i="3"/>
  <c r="L173" i="3"/>
  <c r="L87" i="3"/>
  <c r="L78" i="3"/>
  <c r="L160" i="3"/>
  <c r="L233" i="3"/>
  <c r="X113" i="3"/>
  <c r="Z48" i="3"/>
  <c r="L15" i="3"/>
  <c r="R91" i="3"/>
  <c r="R226" i="3"/>
  <c r="R184" i="3"/>
  <c r="L194" i="3"/>
  <c r="Z151" i="3"/>
  <c r="Z145" i="3"/>
  <c r="Z224" i="3"/>
  <c r="Z100" i="3"/>
  <c r="R206" i="3"/>
  <c r="L122" i="3"/>
  <c r="R202" i="3"/>
  <c r="R239" i="3"/>
  <c r="L114" i="3"/>
  <c r="L62" i="3"/>
  <c r="R256" i="3"/>
  <c r="L181" i="3"/>
  <c r="R134" i="3"/>
  <c r="R58" i="3"/>
  <c r="L71" i="3"/>
  <c r="L31" i="3"/>
  <c r="L20" i="3"/>
  <c r="L109" i="3"/>
  <c r="L60" i="3"/>
  <c r="L34" i="3"/>
  <c r="R258" i="3"/>
  <c r="X182" i="3"/>
  <c r="X25" i="3"/>
  <c r="X96" i="3"/>
  <c r="X259" i="3"/>
  <c r="X248" i="3"/>
  <c r="X162" i="3"/>
  <c r="X85" i="3"/>
  <c r="X86" i="3"/>
  <c r="X199" i="3"/>
  <c r="Z243" i="3"/>
  <c r="X215" i="3"/>
  <c r="X253" i="3"/>
  <c r="Z143" i="3"/>
  <c r="X46" i="3"/>
  <c r="X126" i="3"/>
  <c r="X141" i="3"/>
  <c r="Z13" i="3"/>
  <c r="X257" i="3"/>
  <c r="Z138" i="3"/>
  <c r="Z234" i="3"/>
  <c r="Z65" i="3"/>
  <c r="Z97" i="3"/>
  <c r="Z237" i="3"/>
  <c r="R53" i="3"/>
  <c r="R24" i="3"/>
  <c r="R173" i="3"/>
  <c r="R87" i="3"/>
  <c r="R178" i="3"/>
  <c r="R22" i="3"/>
  <c r="R98" i="3"/>
  <c r="Z242" i="3"/>
  <c r="Z162" i="3"/>
  <c r="Z199" i="3"/>
  <c r="R31" i="3"/>
  <c r="Z209" i="3"/>
  <c r="R34" i="3"/>
  <c r="R176" i="3"/>
  <c r="L67" i="3"/>
  <c r="R43" i="3"/>
  <c r="R71" i="3"/>
  <c r="X24" i="3"/>
  <c r="X22" i="3"/>
  <c r="X258" i="3"/>
  <c r="Z236" i="3"/>
  <c r="L77" i="3"/>
  <c r="L69" i="3"/>
  <c r="L19" i="3"/>
  <c r="L150" i="3"/>
  <c r="L116" i="3"/>
  <c r="L121" i="3"/>
  <c r="R93" i="3"/>
  <c r="R64" i="3"/>
  <c r="R147" i="3"/>
  <c r="Z226" i="3"/>
  <c r="X241" i="3"/>
  <c r="Z194" i="3"/>
  <c r="X15" i="3"/>
  <c r="X167" i="3"/>
  <c r="Z233" i="3"/>
  <c r="Z91" i="3"/>
  <c r="Z184" i="3"/>
  <c r="X191" i="3"/>
  <c r="X157" i="3"/>
  <c r="Z70" i="3"/>
  <c r="L97" i="3"/>
  <c r="X143" i="3"/>
  <c r="X242" i="3"/>
  <c r="Z265" i="3"/>
  <c r="Z229" i="3"/>
  <c r="Z141" i="3"/>
  <c r="Z122" i="3"/>
  <c r="L174" i="3"/>
  <c r="L235" i="3"/>
  <c r="L102" i="3"/>
  <c r="L153" i="3"/>
  <c r="L75" i="3"/>
  <c r="L149" i="3"/>
  <c r="L7" i="3"/>
  <c r="R8" i="3"/>
  <c r="X129" i="3"/>
  <c r="X152" i="3"/>
  <c r="X190" i="3"/>
  <c r="X14" i="3"/>
  <c r="X211" i="3"/>
  <c r="Z59" i="3"/>
  <c r="Z227" i="3"/>
  <c r="Z38" i="3"/>
  <c r="Z127" i="3"/>
  <c r="Z177" i="3"/>
  <c r="Z154" i="3"/>
  <c r="R56" i="3"/>
  <c r="Z252" i="3"/>
  <c r="Z86" i="3"/>
  <c r="Z175" i="3"/>
  <c r="L222" i="3"/>
  <c r="L256" i="3"/>
  <c r="L214" i="3"/>
  <c r="R62" i="3"/>
  <c r="R60" i="3"/>
  <c r="Z51" i="3"/>
  <c r="Z257" i="3"/>
  <c r="L65" i="3"/>
  <c r="R142" i="3"/>
  <c r="X173" i="3"/>
  <c r="X98" i="3"/>
  <c r="X243" i="3"/>
  <c r="Z171" i="3"/>
  <c r="L202" i="3"/>
  <c r="L237" i="3"/>
  <c r="L37" i="3"/>
  <c r="L92" i="3"/>
  <c r="R160" i="3"/>
  <c r="X178" i="3"/>
  <c r="X13" i="3"/>
  <c r="Z185" i="3"/>
  <c r="L58" i="3"/>
  <c r="L208" i="3"/>
  <c r="X53" i="3"/>
  <c r="X219" i="3"/>
  <c r="Z95" i="3"/>
  <c r="L239" i="3"/>
  <c r="R109" i="3"/>
  <c r="Z248" i="3"/>
  <c r="Z182" i="3"/>
  <c r="Z25" i="3"/>
  <c r="Z96" i="3"/>
  <c r="Z259" i="3"/>
  <c r="R114" i="3"/>
  <c r="Z112" i="3"/>
  <c r="Z215" i="3"/>
  <c r="Z253" i="3"/>
  <c r="Z126" i="3"/>
  <c r="L55" i="3"/>
  <c r="R23" i="3"/>
  <c r="R218" i="3"/>
  <c r="X234" i="3"/>
  <c r="Z85" i="3"/>
  <c r="X87" i="3"/>
  <c r="L74" i="3"/>
  <c r="L49" i="3"/>
  <c r="L205" i="3"/>
  <c r="R78" i="3"/>
  <c r="R84" i="3"/>
  <c r="R20" i="3"/>
  <c r="L134" i="3"/>
  <c r="L123" i="3"/>
  <c r="Z18" i="3"/>
  <c r="Z83" i="3"/>
  <c r="X138" i="3"/>
  <c r="Z17" i="3"/>
  <c r="Z46" i="3"/>
  <c r="L169" i="3"/>
  <c r="R181" i="3"/>
  <c r="L232" i="3"/>
  <c r="R21" i="3"/>
  <c r="R116" i="3"/>
  <c r="R210" i="3"/>
  <c r="X184" i="3"/>
  <c r="X64" i="3"/>
  <c r="L144" i="3"/>
  <c r="R136" i="3"/>
  <c r="R150" i="3"/>
  <c r="R88" i="3"/>
  <c r="X154" i="3"/>
  <c r="Z15" i="3"/>
  <c r="Z41" i="3"/>
  <c r="Z157" i="3"/>
  <c r="L29" i="3"/>
  <c r="L36" i="3"/>
  <c r="R68" i="3"/>
  <c r="R19" i="3"/>
  <c r="R54" i="3"/>
  <c r="X91" i="3"/>
  <c r="X93" i="3"/>
  <c r="Z14" i="3"/>
  <c r="R69" i="3"/>
  <c r="R57" i="3"/>
  <c r="R75" i="3"/>
  <c r="X233" i="3"/>
  <c r="X177" i="3"/>
  <c r="X8" i="3"/>
  <c r="Z168" i="3"/>
  <c r="R164" i="3"/>
  <c r="L89" i="3"/>
  <c r="L12" i="3"/>
  <c r="R77" i="3"/>
  <c r="R128" i="3"/>
  <c r="X127" i="3"/>
  <c r="Z161" i="3"/>
  <c r="L63" i="3"/>
  <c r="R155" i="3"/>
  <c r="R153" i="3"/>
  <c r="X38" i="3"/>
  <c r="R220" i="3"/>
  <c r="R102" i="3"/>
  <c r="X194" i="3"/>
  <c r="X227" i="3"/>
  <c r="L183" i="3"/>
  <c r="R188" i="3"/>
  <c r="R235" i="3"/>
  <c r="X59" i="3"/>
  <c r="Z190" i="3"/>
  <c r="Z191" i="3"/>
  <c r="Z189" i="3"/>
  <c r="L246" i="3"/>
  <c r="R32" i="3"/>
  <c r="R174" i="3"/>
  <c r="X226" i="3"/>
  <c r="L158" i="3"/>
  <c r="L146" i="3"/>
  <c r="Z238" i="3"/>
  <c r="L76" i="3"/>
  <c r="L225" i="3"/>
  <c r="L163" i="3"/>
  <c r="L72" i="3"/>
  <c r="X147" i="3"/>
  <c r="L204" i="3"/>
  <c r="L263" i="3"/>
  <c r="R230" i="3"/>
  <c r="L103" i="3"/>
  <c r="L52" i="3"/>
  <c r="Z30" i="3"/>
  <c r="Z231" i="3"/>
  <c r="Z249" i="3"/>
  <c r="L131" i="3"/>
  <c r="L10" i="3"/>
  <c r="Z108" i="3"/>
  <c r="Z197" i="3"/>
  <c r="Z137" i="3"/>
  <c r="Z120" i="3"/>
  <c r="Z35" i="3"/>
  <c r="Z156" i="3"/>
  <c r="Z264" i="3"/>
  <c r="Z180" i="3"/>
  <c r="Z28" i="3"/>
  <c r="Z27" i="3"/>
  <c r="Z132" i="3"/>
  <c r="Z119" i="3"/>
  <c r="X231" i="3"/>
  <c r="X108" i="3"/>
  <c r="X216" i="3"/>
  <c r="X170" i="3"/>
  <c r="X197" i="3"/>
  <c r="X137" i="3"/>
  <c r="X79" i="3"/>
  <c r="X120" i="3"/>
  <c r="X35" i="3"/>
  <c r="X156" i="3"/>
  <c r="X106" i="3"/>
  <c r="X264" i="3"/>
  <c r="R108" i="3"/>
  <c r="R216" i="3"/>
  <c r="R170" i="3"/>
  <c r="R197" i="3"/>
  <c r="R137" i="3"/>
  <c r="R79" i="3"/>
  <c r="R120" i="3"/>
  <c r="R35" i="3"/>
  <c r="R156" i="3"/>
  <c r="R106" i="3"/>
  <c r="R264" i="3"/>
  <c r="L216" i="3"/>
  <c r="L170" i="3"/>
  <c r="L79" i="3"/>
  <c r="L106" i="3"/>
  <c r="L186" i="3"/>
  <c r="L197" i="3"/>
  <c r="L35" i="3"/>
  <c r="L221" i="3"/>
  <c r="L264" i="3"/>
  <c r="L244" i="3"/>
  <c r="L117" i="3"/>
  <c r="L111" i="3"/>
  <c r="L81" i="3"/>
  <c r="L108" i="3"/>
  <c r="L254" i="3"/>
  <c r="L137" i="3"/>
  <c r="L200" i="3"/>
  <c r="L156" i="3"/>
  <c r="L90" i="3"/>
  <c r="L73" i="3"/>
  <c r="L206" i="3"/>
  <c r="L120" i="3"/>
  <c r="L223" i="3"/>
  <c r="L165" i="3"/>
  <c r="Z216" i="3"/>
  <c r="Z170" i="3"/>
  <c r="Z79" i="3"/>
  <c r="Z106" i="3"/>
  <c r="L130" i="3"/>
  <c r="L44" i="3"/>
  <c r="L217" i="3"/>
  <c r="L180" i="3"/>
  <c r="L179" i="3"/>
  <c r="Z166" i="3"/>
  <c r="L192" i="3"/>
  <c r="C166" i="3"/>
  <c r="F22" i="14" l="1"/>
  <c r="G21" i="14"/>
  <c r="G231" i="14"/>
  <c r="F232" i="14"/>
  <c r="G142" i="14"/>
  <c r="F143" i="14"/>
  <c r="G209" i="14"/>
  <c r="F210" i="14"/>
  <c r="G104" i="14"/>
  <c r="F105" i="14"/>
  <c r="G241" i="14"/>
  <c r="F242" i="14"/>
  <c r="G66" i="14"/>
  <c r="F67" i="14"/>
  <c r="G257" i="14"/>
  <c r="F258" i="14"/>
  <c r="H10" i="20"/>
  <c r="G22" i="14" l="1"/>
  <c r="F23" i="14"/>
  <c r="G258" i="14"/>
  <c r="F259" i="14"/>
  <c r="G67" i="14"/>
  <c r="F68" i="14"/>
  <c r="G242" i="14"/>
  <c r="F243" i="14"/>
  <c r="G105" i="14"/>
  <c r="F106" i="14"/>
  <c r="G143" i="14"/>
  <c r="F144" i="14"/>
  <c r="G232" i="14"/>
  <c r="F233" i="14"/>
  <c r="G233" i="14" s="1"/>
  <c r="G210" i="14"/>
  <c r="F211" i="14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2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21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Y18" i="20"/>
  <c r="G259" i="14" l="1"/>
  <c r="F260" i="14"/>
  <c r="G260" i="14" s="1"/>
  <c r="G23" i="14"/>
  <c r="F24" i="14"/>
  <c r="G211" i="14"/>
  <c r="F212" i="14"/>
  <c r="G68" i="14"/>
  <c r="F69" i="14"/>
  <c r="G106" i="14"/>
  <c r="F107" i="14"/>
  <c r="G243" i="14"/>
  <c r="F244" i="14"/>
  <c r="G144" i="14"/>
  <c r="F145" i="14"/>
  <c r="U19" i="20"/>
  <c r="T19" i="20"/>
  <c r="S19" i="20"/>
  <c r="R19" i="20"/>
  <c r="M19" i="20"/>
  <c r="L19" i="20"/>
  <c r="K19" i="20"/>
  <c r="J19" i="20"/>
  <c r="I19" i="20"/>
  <c r="H19" i="20"/>
  <c r="G19" i="20"/>
  <c r="F19" i="20"/>
  <c r="X18" i="20"/>
  <c r="W18" i="20"/>
  <c r="V18" i="20"/>
  <c r="Q18" i="20"/>
  <c r="P18" i="20"/>
  <c r="O18" i="20"/>
  <c r="N18" i="20"/>
  <c r="I18" i="20"/>
  <c r="H18" i="20"/>
  <c r="G18" i="20"/>
  <c r="F18" i="20"/>
  <c r="Y17" i="20"/>
  <c r="X17" i="20"/>
  <c r="W17" i="20"/>
  <c r="V17" i="20"/>
  <c r="Q17" i="20"/>
  <c r="P17" i="20"/>
  <c r="O17" i="20"/>
  <c r="N17" i="20"/>
  <c r="I17" i="20"/>
  <c r="H17" i="20"/>
  <c r="G17" i="20"/>
  <c r="F17" i="20"/>
  <c r="Y16" i="20"/>
  <c r="X16" i="20"/>
  <c r="W16" i="20"/>
  <c r="V16" i="20"/>
  <c r="Q16" i="20"/>
  <c r="P16" i="20"/>
  <c r="O16" i="20"/>
  <c r="N16" i="20"/>
  <c r="I16" i="20"/>
  <c r="H16" i="20"/>
  <c r="G16" i="20"/>
  <c r="F16" i="20"/>
  <c r="Y15" i="20"/>
  <c r="X15" i="20"/>
  <c r="W15" i="20"/>
  <c r="V15" i="20"/>
  <c r="Q15" i="20"/>
  <c r="P15" i="20"/>
  <c r="O15" i="20"/>
  <c r="N15" i="20"/>
  <c r="I15" i="20"/>
  <c r="H15" i="20"/>
  <c r="G15" i="20"/>
  <c r="F15" i="20"/>
  <c r="Y14" i="20"/>
  <c r="X14" i="20"/>
  <c r="W14" i="20"/>
  <c r="V14" i="20"/>
  <c r="Q14" i="20"/>
  <c r="P14" i="20"/>
  <c r="O14" i="20"/>
  <c r="N14" i="20"/>
  <c r="I14" i="20"/>
  <c r="H14" i="20"/>
  <c r="G14" i="20"/>
  <c r="F14" i="20"/>
  <c r="Y13" i="20"/>
  <c r="X13" i="20"/>
  <c r="W13" i="20"/>
  <c r="V13" i="20"/>
  <c r="Q13" i="20"/>
  <c r="P13" i="20"/>
  <c r="O13" i="20"/>
  <c r="N13" i="20"/>
  <c r="I13" i="20"/>
  <c r="H13" i="20"/>
  <c r="G13" i="20"/>
  <c r="F13" i="20"/>
  <c r="Y12" i="20"/>
  <c r="X12" i="20"/>
  <c r="W12" i="20"/>
  <c r="V12" i="20"/>
  <c r="Q12" i="20"/>
  <c r="P12" i="20"/>
  <c r="O12" i="20"/>
  <c r="N12" i="20"/>
  <c r="I12" i="20"/>
  <c r="H12" i="20"/>
  <c r="G12" i="20"/>
  <c r="F12" i="20"/>
  <c r="Y11" i="20"/>
  <c r="X11" i="20"/>
  <c r="W11" i="20"/>
  <c r="V11" i="20"/>
  <c r="Q11" i="20"/>
  <c r="P11" i="20"/>
  <c r="O11" i="20"/>
  <c r="N11" i="20"/>
  <c r="I11" i="20"/>
  <c r="H11" i="20"/>
  <c r="G11" i="20"/>
  <c r="F11" i="20"/>
  <c r="Y10" i="20"/>
  <c r="X10" i="20"/>
  <c r="W10" i="20"/>
  <c r="V10" i="20"/>
  <c r="Q10" i="20"/>
  <c r="P10" i="20"/>
  <c r="O10" i="20"/>
  <c r="N10" i="20"/>
  <c r="I10" i="20"/>
  <c r="G10" i="20"/>
  <c r="F10" i="20"/>
  <c r="Y9" i="20"/>
  <c r="X9" i="20"/>
  <c r="W9" i="20"/>
  <c r="V9" i="20"/>
  <c r="Q9" i="20"/>
  <c r="P9" i="20"/>
  <c r="O9" i="20"/>
  <c r="N9" i="20"/>
  <c r="I9" i="20"/>
  <c r="H9" i="20"/>
  <c r="G9" i="20"/>
  <c r="F9" i="20"/>
  <c r="Y8" i="20"/>
  <c r="X8" i="20"/>
  <c r="W8" i="20"/>
  <c r="V8" i="20"/>
  <c r="Q8" i="20"/>
  <c r="P8" i="20"/>
  <c r="O8" i="20"/>
  <c r="N8" i="20"/>
  <c r="I8" i="20"/>
  <c r="H8" i="20"/>
  <c r="G8" i="20"/>
  <c r="F8" i="20"/>
  <c r="Y7" i="20"/>
  <c r="X7" i="20"/>
  <c r="W7" i="20"/>
  <c r="V7" i="20"/>
  <c r="Q7" i="20"/>
  <c r="P7" i="20"/>
  <c r="O7" i="20"/>
  <c r="N7" i="20"/>
  <c r="I7" i="20"/>
  <c r="H7" i="20"/>
  <c r="G7" i="20"/>
  <c r="F7" i="20"/>
  <c r="Y6" i="20"/>
  <c r="X6" i="20"/>
  <c r="W6" i="20"/>
  <c r="V6" i="20"/>
  <c r="Q6" i="20"/>
  <c r="P6" i="20"/>
  <c r="O6" i="20"/>
  <c r="N6" i="20"/>
  <c r="I6" i="20"/>
  <c r="H6" i="20"/>
  <c r="G6" i="20"/>
  <c r="F6" i="20"/>
  <c r="Y5" i="20"/>
  <c r="X5" i="20"/>
  <c r="W5" i="20"/>
  <c r="V5" i="20"/>
  <c r="Q5" i="20"/>
  <c r="P5" i="20"/>
  <c r="O5" i="20"/>
  <c r="N5" i="20"/>
  <c r="I5" i="20"/>
  <c r="H5" i="20"/>
  <c r="G5" i="20"/>
  <c r="F5" i="20"/>
  <c r="Y4" i="20"/>
  <c r="X4" i="20"/>
  <c r="W4" i="20"/>
  <c r="V4" i="20"/>
  <c r="Q4" i="20"/>
  <c r="P4" i="20"/>
  <c r="O4" i="20"/>
  <c r="N4" i="20"/>
  <c r="I4" i="20"/>
  <c r="H4" i="20"/>
  <c r="G4" i="20"/>
  <c r="F4" i="20"/>
  <c r="Y3" i="20"/>
  <c r="X3" i="20"/>
  <c r="W3" i="20"/>
  <c r="V3" i="20"/>
  <c r="Q3" i="20"/>
  <c r="P3" i="20"/>
  <c r="O3" i="20"/>
  <c r="N3" i="20"/>
  <c r="I3" i="20"/>
  <c r="H3" i="20"/>
  <c r="G3" i="20"/>
  <c r="F3" i="20"/>
  <c r="F25" i="14" l="1"/>
  <c r="G24" i="14"/>
  <c r="G145" i="14"/>
  <c r="F146" i="14"/>
  <c r="G244" i="14"/>
  <c r="F245" i="14"/>
  <c r="G107" i="14"/>
  <c r="F108" i="14"/>
  <c r="G69" i="14"/>
  <c r="F70" i="14"/>
  <c r="G212" i="14"/>
  <c r="F213" i="14"/>
  <c r="N19" i="20"/>
  <c r="O19" i="20"/>
  <c r="P19" i="20"/>
  <c r="V19" i="20"/>
  <c r="W19" i="20"/>
  <c r="Y19" i="20"/>
  <c r="Q19" i="20"/>
  <c r="X19" i="20"/>
  <c r="B18" i="19"/>
  <c r="F62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47" i="19"/>
  <c r="V63" i="19"/>
  <c r="W63" i="19"/>
  <c r="X63" i="19"/>
  <c r="N63" i="19"/>
  <c r="O63" i="19"/>
  <c r="P63" i="19"/>
  <c r="U63" i="19"/>
  <c r="T63" i="19"/>
  <c r="S63" i="19"/>
  <c r="R63" i="19"/>
  <c r="K63" i="19"/>
  <c r="L63" i="19"/>
  <c r="M63" i="19"/>
  <c r="J63" i="19"/>
  <c r="F63" i="19"/>
  <c r="G63" i="19"/>
  <c r="H63" i="19"/>
  <c r="V48" i="19"/>
  <c r="W48" i="19"/>
  <c r="X48" i="19"/>
  <c r="V49" i="19"/>
  <c r="W49" i="19"/>
  <c r="X49" i="19"/>
  <c r="V50" i="19"/>
  <c r="W50" i="19"/>
  <c r="X50" i="19"/>
  <c r="V51" i="19"/>
  <c r="W51" i="19"/>
  <c r="X51" i="19"/>
  <c r="V52" i="19"/>
  <c r="W52" i="19"/>
  <c r="X52" i="19"/>
  <c r="V53" i="19"/>
  <c r="W53" i="19"/>
  <c r="X53" i="19"/>
  <c r="V54" i="19"/>
  <c r="W54" i="19"/>
  <c r="X54" i="19"/>
  <c r="V55" i="19"/>
  <c r="W55" i="19"/>
  <c r="X55" i="19"/>
  <c r="V56" i="19"/>
  <c r="W56" i="19"/>
  <c r="X56" i="19"/>
  <c r="V57" i="19"/>
  <c r="W57" i="19"/>
  <c r="X57" i="19"/>
  <c r="V58" i="19"/>
  <c r="W58" i="19"/>
  <c r="X58" i="19"/>
  <c r="V59" i="19"/>
  <c r="W59" i="19"/>
  <c r="X59" i="19"/>
  <c r="V60" i="19"/>
  <c r="W60" i="19"/>
  <c r="X60" i="19"/>
  <c r="V61" i="19"/>
  <c r="W61" i="19"/>
  <c r="X61" i="19"/>
  <c r="V62" i="19"/>
  <c r="W62" i="19"/>
  <c r="X62" i="19"/>
  <c r="N48" i="19"/>
  <c r="O48" i="19"/>
  <c r="P48" i="19"/>
  <c r="N49" i="19"/>
  <c r="O49" i="19"/>
  <c r="P49" i="19"/>
  <c r="N50" i="19"/>
  <c r="O50" i="19"/>
  <c r="P50" i="19"/>
  <c r="N51" i="19"/>
  <c r="O51" i="19"/>
  <c r="P51" i="19"/>
  <c r="N52" i="19"/>
  <c r="O52" i="19"/>
  <c r="P52" i="19"/>
  <c r="N53" i="19"/>
  <c r="O53" i="19"/>
  <c r="P53" i="19"/>
  <c r="N54" i="19"/>
  <c r="O54" i="19"/>
  <c r="P54" i="19"/>
  <c r="N55" i="19"/>
  <c r="O55" i="19"/>
  <c r="P55" i="19"/>
  <c r="N56" i="19"/>
  <c r="O56" i="19"/>
  <c r="P56" i="19"/>
  <c r="N57" i="19"/>
  <c r="O57" i="19"/>
  <c r="P57" i="19"/>
  <c r="N58" i="19"/>
  <c r="O58" i="19"/>
  <c r="P58" i="19"/>
  <c r="N59" i="19"/>
  <c r="O59" i="19"/>
  <c r="P59" i="19"/>
  <c r="N60" i="19"/>
  <c r="O60" i="19"/>
  <c r="P60" i="19"/>
  <c r="N61" i="19"/>
  <c r="O61" i="19"/>
  <c r="P61" i="19"/>
  <c r="N62" i="19"/>
  <c r="O62" i="19"/>
  <c r="P62" i="19"/>
  <c r="F48" i="19"/>
  <c r="G48" i="19"/>
  <c r="H48" i="19"/>
  <c r="F49" i="19"/>
  <c r="G49" i="19"/>
  <c r="H49" i="19"/>
  <c r="F50" i="19"/>
  <c r="G50" i="19"/>
  <c r="H50" i="19"/>
  <c r="F51" i="19"/>
  <c r="G51" i="19"/>
  <c r="H51" i="19"/>
  <c r="F52" i="19"/>
  <c r="G52" i="19"/>
  <c r="H52" i="19"/>
  <c r="F53" i="19"/>
  <c r="G53" i="19"/>
  <c r="H53" i="19"/>
  <c r="F54" i="19"/>
  <c r="G54" i="19"/>
  <c r="H54" i="19"/>
  <c r="F55" i="19"/>
  <c r="G55" i="19"/>
  <c r="H55" i="19"/>
  <c r="F56" i="19"/>
  <c r="G56" i="19"/>
  <c r="H56" i="19"/>
  <c r="F57" i="19"/>
  <c r="G57" i="19"/>
  <c r="H57" i="19"/>
  <c r="F58" i="19"/>
  <c r="G58" i="19"/>
  <c r="H58" i="19"/>
  <c r="F59" i="19"/>
  <c r="G59" i="19"/>
  <c r="H59" i="19"/>
  <c r="F60" i="19"/>
  <c r="G60" i="19"/>
  <c r="H60" i="19"/>
  <c r="F61" i="19"/>
  <c r="G61" i="19"/>
  <c r="H61" i="19"/>
  <c r="G62" i="19"/>
  <c r="H62" i="19"/>
  <c r="X47" i="19"/>
  <c r="W47" i="19"/>
  <c r="V47" i="19"/>
  <c r="P47" i="19"/>
  <c r="O47" i="19"/>
  <c r="N47" i="19"/>
  <c r="H47" i="19"/>
  <c r="G47" i="19"/>
  <c r="F47" i="19"/>
  <c r="F26" i="14" l="1"/>
  <c r="G25" i="14"/>
  <c r="G213" i="14"/>
  <c r="F214" i="14"/>
  <c r="G245" i="14"/>
  <c r="F246" i="14"/>
  <c r="G70" i="14"/>
  <c r="F71" i="14"/>
  <c r="G108" i="14"/>
  <c r="F109" i="14"/>
  <c r="G146" i="14"/>
  <c r="F147" i="14"/>
  <c r="N21" i="18"/>
  <c r="N22" i="18"/>
  <c r="O22" i="18"/>
  <c r="P22" i="18"/>
  <c r="N23" i="18"/>
  <c r="O23" i="18"/>
  <c r="P23" i="18"/>
  <c r="N24" i="18"/>
  <c r="O24" i="18"/>
  <c r="P24" i="18"/>
  <c r="N25" i="18"/>
  <c r="O25" i="18"/>
  <c r="P25" i="18"/>
  <c r="N26" i="18"/>
  <c r="O26" i="18"/>
  <c r="P26" i="18"/>
  <c r="N27" i="18"/>
  <c r="O27" i="18"/>
  <c r="P27" i="18"/>
  <c r="N28" i="18"/>
  <c r="O28" i="18"/>
  <c r="P28" i="18"/>
  <c r="N29" i="18"/>
  <c r="O29" i="18"/>
  <c r="P29" i="18"/>
  <c r="N30" i="18"/>
  <c r="O30" i="18"/>
  <c r="P30" i="18"/>
  <c r="N31" i="18"/>
  <c r="O31" i="18"/>
  <c r="P31" i="18"/>
  <c r="N32" i="18"/>
  <c r="O32" i="18"/>
  <c r="P32" i="18"/>
  <c r="N33" i="18"/>
  <c r="O33" i="18"/>
  <c r="P33" i="18"/>
  <c r="N34" i="18"/>
  <c r="O34" i="18"/>
  <c r="P34" i="18"/>
  <c r="N35" i="18"/>
  <c r="O35" i="18"/>
  <c r="P35" i="18"/>
  <c r="N36" i="18"/>
  <c r="O36" i="18"/>
  <c r="P36" i="18"/>
  <c r="O21" i="18"/>
  <c r="P21" i="18"/>
  <c r="F27" i="14" l="1"/>
  <c r="G26" i="14"/>
  <c r="G246" i="14"/>
  <c r="F247" i="14"/>
  <c r="G109" i="14"/>
  <c r="F110" i="14"/>
  <c r="G214" i="14"/>
  <c r="F215" i="14"/>
  <c r="G147" i="14"/>
  <c r="F148" i="14"/>
  <c r="G71" i="14"/>
  <c r="F72" i="14"/>
  <c r="H36" i="18"/>
  <c r="G36" i="18"/>
  <c r="F36" i="18"/>
  <c r="H35" i="18"/>
  <c r="G35" i="18"/>
  <c r="F35" i="18"/>
  <c r="H34" i="18"/>
  <c r="G34" i="18"/>
  <c r="F34" i="18"/>
  <c r="H33" i="18"/>
  <c r="G33" i="18"/>
  <c r="F33" i="18"/>
  <c r="H32" i="18"/>
  <c r="G32" i="18"/>
  <c r="F32" i="18"/>
  <c r="H31" i="18"/>
  <c r="G31" i="18"/>
  <c r="F31" i="18"/>
  <c r="H30" i="18"/>
  <c r="G30" i="18"/>
  <c r="F30" i="18"/>
  <c r="H29" i="18"/>
  <c r="G29" i="18"/>
  <c r="F29" i="18"/>
  <c r="H28" i="18"/>
  <c r="G28" i="18"/>
  <c r="F28" i="18"/>
  <c r="H27" i="18"/>
  <c r="G27" i="18"/>
  <c r="F27" i="18"/>
  <c r="H26" i="18"/>
  <c r="G26" i="18"/>
  <c r="F26" i="18"/>
  <c r="H25" i="18"/>
  <c r="G25" i="18"/>
  <c r="F25" i="18"/>
  <c r="H24" i="18"/>
  <c r="G24" i="18"/>
  <c r="F24" i="18"/>
  <c r="H23" i="18"/>
  <c r="G23" i="18"/>
  <c r="F23" i="18"/>
  <c r="H22" i="18"/>
  <c r="G22" i="18"/>
  <c r="F22" i="18"/>
  <c r="H21" i="18"/>
  <c r="G21" i="18"/>
  <c r="F21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2" i="18"/>
  <c r="F28" i="14" l="1"/>
  <c r="G27" i="14"/>
  <c r="G215" i="14"/>
  <c r="F216" i="14"/>
  <c r="G216" i="14" s="1"/>
  <c r="G148" i="14"/>
  <c r="F149" i="14"/>
  <c r="G72" i="14"/>
  <c r="F73" i="14"/>
  <c r="G110" i="14"/>
  <c r="F111" i="14"/>
  <c r="G247" i="14"/>
  <c r="F248" i="14"/>
  <c r="G248" i="14" s="1"/>
  <c r="U166" i="3"/>
  <c r="T166" i="3"/>
  <c r="O166" i="3"/>
  <c r="N166" i="3"/>
  <c r="I166" i="3"/>
  <c r="H166" i="3"/>
  <c r="E166" i="3"/>
  <c r="D166" i="3"/>
  <c r="G28" i="14" l="1"/>
  <c r="F29" i="14"/>
  <c r="G73" i="14"/>
  <c r="F74" i="14"/>
  <c r="G111" i="14"/>
  <c r="F112" i="14"/>
  <c r="G149" i="14"/>
  <c r="F150" i="14"/>
  <c r="AF166" i="3"/>
  <c r="AG6" i="14"/>
  <c r="AG7" i="14" s="1"/>
  <c r="AH6" i="14"/>
  <c r="AG50" i="14"/>
  <c r="AH50" i="14"/>
  <c r="AG199" i="14"/>
  <c r="AG217" i="14"/>
  <c r="AH217" i="14" s="1"/>
  <c r="AG220" i="14"/>
  <c r="AH220" i="14" s="1"/>
  <c r="AG249" i="14"/>
  <c r="AH249" i="14" s="1"/>
  <c r="AG2" i="14"/>
  <c r="AH2" i="14"/>
  <c r="X6" i="14"/>
  <c r="Y6" i="14"/>
  <c r="X33" i="14"/>
  <c r="X50" i="14"/>
  <c r="Y50" i="14"/>
  <c r="X199" i="14"/>
  <c r="Y199" i="14" s="1"/>
  <c r="X217" i="14"/>
  <c r="X249" i="14"/>
  <c r="Y249" i="14" s="1"/>
  <c r="X2" i="14"/>
  <c r="O6" i="14"/>
  <c r="O50" i="14"/>
  <c r="O51" i="14" s="1"/>
  <c r="O59" i="14"/>
  <c r="O217" i="14"/>
  <c r="O234" i="14"/>
  <c r="O249" i="14"/>
  <c r="AG55" i="3"/>
  <c r="O2" i="14"/>
  <c r="G2" i="14"/>
  <c r="G29" i="14" l="1"/>
  <c r="F30" i="14"/>
  <c r="G150" i="14"/>
  <c r="F151" i="14"/>
  <c r="G74" i="14"/>
  <c r="F75" i="14"/>
  <c r="G112" i="14"/>
  <c r="F113" i="14"/>
  <c r="O218" i="14"/>
  <c r="O219" i="14" s="1"/>
  <c r="AG221" i="14"/>
  <c r="AH221" i="14" s="1"/>
  <c r="AG218" i="14"/>
  <c r="AH218" i="14" s="1"/>
  <c r="AI188" i="3"/>
  <c r="AG3" i="14"/>
  <c r="AH3" i="14" s="1"/>
  <c r="AI103" i="3" s="1"/>
  <c r="AG250" i="14"/>
  <c r="AH250" i="14" s="1"/>
  <c r="AG219" i="14"/>
  <c r="AH219" i="14" s="1"/>
  <c r="AI178" i="3" s="1"/>
  <c r="AG51" i="14"/>
  <c r="AH51" i="14" s="1"/>
  <c r="X200" i="14"/>
  <c r="Y200" i="14" s="1"/>
  <c r="AH119" i="3" s="1"/>
  <c r="X51" i="14"/>
  <c r="Y51" i="14" s="1"/>
  <c r="AH66" i="3" s="1"/>
  <c r="X7" i="14"/>
  <c r="Y7" i="14" s="1"/>
  <c r="X250" i="14"/>
  <c r="Y250" i="14" s="1"/>
  <c r="X3" i="14"/>
  <c r="Y3" i="14" s="1"/>
  <c r="AH55" i="3" s="1"/>
  <c r="O220" i="14"/>
  <c r="O221" i="14" s="1"/>
  <c r="O222" i="14" s="1"/>
  <c r="O223" i="14" s="1"/>
  <c r="O224" i="14" s="1"/>
  <c r="O225" i="14" s="1"/>
  <c r="O226" i="14" s="1"/>
  <c r="O227" i="14" s="1"/>
  <c r="O228" i="14" s="1"/>
  <c r="O250" i="14"/>
  <c r="O251" i="14" s="1"/>
  <c r="O252" i="14" s="1"/>
  <c r="O253" i="14" s="1"/>
  <c r="O254" i="14" s="1"/>
  <c r="O255" i="14" s="1"/>
  <c r="O256" i="14" s="1"/>
  <c r="O257" i="14" s="1"/>
  <c r="O258" i="14" s="1"/>
  <c r="O259" i="14" s="1"/>
  <c r="O260" i="14" s="1"/>
  <c r="O60" i="14"/>
  <c r="O61" i="14" s="1"/>
  <c r="O62" i="14" s="1"/>
  <c r="O63" i="14" s="1"/>
  <c r="O64" i="14" s="1"/>
  <c r="O65" i="14" s="1"/>
  <c r="O66" i="14" s="1"/>
  <c r="O67" i="14" s="1"/>
  <c r="O68" i="14" s="1"/>
  <c r="O69" i="14" s="1"/>
  <c r="O70" i="14" s="1"/>
  <c r="O71" i="14" s="1"/>
  <c r="O72" i="14" s="1"/>
  <c r="O73" i="14" s="1"/>
  <c r="O74" i="14" s="1"/>
  <c r="O75" i="14" s="1"/>
  <c r="O76" i="14" s="1"/>
  <c r="O77" i="14" s="1"/>
  <c r="O78" i="14" s="1"/>
  <c r="O79" i="14" s="1"/>
  <c r="O80" i="14" s="1"/>
  <c r="O81" i="14" s="1"/>
  <c r="O82" i="14" s="1"/>
  <c r="O83" i="14" s="1"/>
  <c r="O84" i="14" s="1"/>
  <c r="O85" i="14" s="1"/>
  <c r="O86" i="14" s="1"/>
  <c r="O87" i="14" s="1"/>
  <c r="O88" i="14" s="1"/>
  <c r="O89" i="14" s="1"/>
  <c r="O90" i="14" s="1"/>
  <c r="O91" i="14" s="1"/>
  <c r="O92" i="14" s="1"/>
  <c r="O93" i="14" s="1"/>
  <c r="O199" i="14"/>
  <c r="O200" i="14" s="1"/>
  <c r="O201" i="14" s="1"/>
  <c r="O202" i="14" s="1"/>
  <c r="O203" i="14" s="1"/>
  <c r="O7" i="14"/>
  <c r="O235" i="14"/>
  <c r="O236" i="14" s="1"/>
  <c r="O237" i="14" s="1"/>
  <c r="O238" i="14" s="1"/>
  <c r="O239" i="14" s="1"/>
  <c r="O240" i="14" s="1"/>
  <c r="O241" i="14" s="1"/>
  <c r="O242" i="14" s="1"/>
  <c r="O243" i="14" s="1"/>
  <c r="O244" i="14" s="1"/>
  <c r="O245" i="14" s="1"/>
  <c r="O246" i="14" s="1"/>
  <c r="O247" i="14" s="1"/>
  <c r="O52" i="14"/>
  <c r="O53" i="14" s="1"/>
  <c r="O3" i="14"/>
  <c r="O4" i="14" s="1"/>
  <c r="O5" i="14" s="1"/>
  <c r="AG225" i="3" s="1"/>
  <c r="AG8" i="14"/>
  <c r="AH8" i="14" s="1"/>
  <c r="AH7" i="14"/>
  <c r="AG200" i="14"/>
  <c r="AH200" i="14" s="1"/>
  <c r="AH199" i="14"/>
  <c r="X220" i="14"/>
  <c r="Y220" i="14" s="1"/>
  <c r="X218" i="14"/>
  <c r="Y218" i="14" s="1"/>
  <c r="Y217" i="14"/>
  <c r="AH178" i="3" s="1"/>
  <c r="X34" i="14"/>
  <c r="Y34" i="14" s="1"/>
  <c r="AH112" i="3" s="1"/>
  <c r="Y33" i="14"/>
  <c r="AH123" i="3" s="1"/>
  <c r="AF102" i="3"/>
  <c r="AF133" i="3"/>
  <c r="AG4" i="14" l="1"/>
  <c r="AH4" i="14" s="1"/>
  <c r="AG251" i="14"/>
  <c r="AH251" i="14" s="1"/>
  <c r="AI182" i="3" s="1"/>
  <c r="O8" i="14"/>
  <c r="O94" i="14"/>
  <c r="O95" i="14" s="1"/>
  <c r="O96" i="14" s="1"/>
  <c r="O97" i="14" s="1"/>
  <c r="O98" i="14" s="1"/>
  <c r="O99" i="14" s="1"/>
  <c r="O100" i="14" s="1"/>
  <c r="O101" i="14" s="1"/>
  <c r="O102" i="14" s="1"/>
  <c r="O103" i="14" s="1"/>
  <c r="F31" i="14"/>
  <c r="G30" i="14"/>
  <c r="G75" i="14"/>
  <c r="F76" i="14"/>
  <c r="G151" i="14"/>
  <c r="F152" i="14"/>
  <c r="G113" i="14"/>
  <c r="F114" i="14"/>
  <c r="X201" i="14"/>
  <c r="AG222" i="14"/>
  <c r="AH222" i="14" s="1"/>
  <c r="AI166" i="3"/>
  <c r="AG201" i="14"/>
  <c r="AH201" i="14" s="1"/>
  <c r="AG223" i="14"/>
  <c r="AI136" i="3"/>
  <c r="AG5" i="14"/>
  <c r="AH5" i="14" s="1"/>
  <c r="AI55" i="3" s="1"/>
  <c r="AG52" i="14"/>
  <c r="X4" i="14"/>
  <c r="Y4" i="14" s="1"/>
  <c r="AH103" i="3" s="1"/>
  <c r="X251" i="14"/>
  <c r="Y251" i="14" s="1"/>
  <c r="X52" i="14"/>
  <c r="X35" i="14"/>
  <c r="Y35" i="14" s="1"/>
  <c r="AH111" i="3" s="1"/>
  <c r="X8" i="14"/>
  <c r="X219" i="14"/>
  <c r="Y219" i="14" s="1"/>
  <c r="AH136" i="3" s="1"/>
  <c r="AG104" i="3"/>
  <c r="O9" i="14"/>
  <c r="O10" i="14" s="1"/>
  <c r="O11" i="14" s="1"/>
  <c r="O12" i="14" s="1"/>
  <c r="O13" i="14" s="1"/>
  <c r="O14" i="14" s="1"/>
  <c r="O15" i="14" s="1"/>
  <c r="O16" i="14" s="1"/>
  <c r="O17" i="14" s="1"/>
  <c r="O18" i="14" s="1"/>
  <c r="O19" i="14" s="1"/>
  <c r="O20" i="14" s="1"/>
  <c r="O21" i="14" s="1"/>
  <c r="O22" i="14" s="1"/>
  <c r="O23" i="14" s="1"/>
  <c r="O24" i="14" s="1"/>
  <c r="O25" i="14" s="1"/>
  <c r="O26" i="14" s="1"/>
  <c r="O27" i="14" s="1"/>
  <c r="O28" i="14" s="1"/>
  <c r="O248" i="14"/>
  <c r="O229" i="14"/>
  <c r="O204" i="14"/>
  <c r="AG136" i="3"/>
  <c r="O104" i="14"/>
  <c r="O54" i="14"/>
  <c r="AG33" i="14"/>
  <c r="AG9" i="14"/>
  <c r="X13" i="14"/>
  <c r="X221" i="14"/>
  <c r="X59" i="14"/>
  <c r="X44" i="14"/>
  <c r="AG69" i="3"/>
  <c r="AF63" i="3"/>
  <c r="AF38" i="3"/>
  <c r="AF160" i="3"/>
  <c r="AF92" i="3"/>
  <c r="AF206" i="3"/>
  <c r="AG252" i="14" l="1"/>
  <c r="AH108" i="3"/>
  <c r="AH182" i="3"/>
  <c r="X5" i="14"/>
  <c r="Y5" i="14" s="1"/>
  <c r="AH188" i="3"/>
  <c r="X36" i="14"/>
  <c r="X37" i="14" s="1"/>
  <c r="F32" i="14"/>
  <c r="G32" i="14" s="1"/>
  <c r="G31" i="14"/>
  <c r="G114" i="14"/>
  <c r="F115" i="14"/>
  <c r="G152" i="14"/>
  <c r="F153" i="14"/>
  <c r="G76" i="14"/>
  <c r="F77" i="14"/>
  <c r="X252" i="14"/>
  <c r="X253" i="14" s="1"/>
  <c r="X202" i="14"/>
  <c r="Y201" i="14"/>
  <c r="AH223" i="14"/>
  <c r="AG224" i="14"/>
  <c r="AI225" i="3"/>
  <c r="AG202" i="14"/>
  <c r="AH202" i="14"/>
  <c r="AI119" i="3" s="1"/>
  <c r="AG203" i="14"/>
  <c r="AH52" i="14"/>
  <c r="AG53" i="14"/>
  <c r="Y36" i="14"/>
  <c r="Y8" i="14"/>
  <c r="X9" i="14"/>
  <c r="Y52" i="14"/>
  <c r="X53" i="14"/>
  <c r="AG103" i="3"/>
  <c r="O55" i="14"/>
  <c r="O230" i="14"/>
  <c r="O105" i="14"/>
  <c r="O106" i="14" s="1"/>
  <c r="O107" i="14" s="1"/>
  <c r="O108" i="14" s="1"/>
  <c r="O109" i="14" s="1"/>
  <c r="O110" i="14" s="1"/>
  <c r="O111" i="14" s="1"/>
  <c r="O112" i="14" s="1"/>
  <c r="O113" i="14" s="1"/>
  <c r="O114" i="14" s="1"/>
  <c r="O115" i="14" s="1"/>
  <c r="O116" i="14" s="1"/>
  <c r="O117" i="14" s="1"/>
  <c r="O118" i="14" s="1"/>
  <c r="O119" i="14" s="1"/>
  <c r="O120" i="14" s="1"/>
  <c r="O121" i="14" s="1"/>
  <c r="O122" i="14" s="1"/>
  <c r="O123" i="14" s="1"/>
  <c r="O124" i="14" s="1"/>
  <c r="O125" i="14" s="1"/>
  <c r="O126" i="14" s="1"/>
  <c r="O127" i="14" s="1"/>
  <c r="O128" i="14" s="1"/>
  <c r="O129" i="14" s="1"/>
  <c r="O130" i="14" s="1"/>
  <c r="O131" i="14" s="1"/>
  <c r="O132" i="14" s="1"/>
  <c r="O133" i="14" s="1"/>
  <c r="O134" i="14" s="1"/>
  <c r="O135" i="14" s="1"/>
  <c r="O136" i="14" s="1"/>
  <c r="O137" i="14" s="1"/>
  <c r="O138" i="14" s="1"/>
  <c r="O139" i="14" s="1"/>
  <c r="O140" i="14" s="1"/>
  <c r="O141" i="14" s="1"/>
  <c r="O142" i="14" s="1"/>
  <c r="O143" i="14" s="1"/>
  <c r="O144" i="14" s="1"/>
  <c r="O145" i="14" s="1"/>
  <c r="O146" i="14" s="1"/>
  <c r="O147" i="14" s="1"/>
  <c r="O148" i="14" s="1"/>
  <c r="O149" i="14" s="1"/>
  <c r="O150" i="14" s="1"/>
  <c r="O151" i="14" s="1"/>
  <c r="O152" i="14" s="1"/>
  <c r="O29" i="14"/>
  <c r="O205" i="14"/>
  <c r="AG166" i="3"/>
  <c r="AG182" i="3"/>
  <c r="AF58" i="3"/>
  <c r="AF246" i="3"/>
  <c r="AH9" i="14"/>
  <c r="AG10" i="14"/>
  <c r="AH252" i="14"/>
  <c r="AG253" i="14"/>
  <c r="AH33" i="14"/>
  <c r="AI123" i="3" s="1"/>
  <c r="AG34" i="14"/>
  <c r="Y59" i="14"/>
  <c r="X60" i="14"/>
  <c r="Y252" i="14"/>
  <c r="Y44" i="14"/>
  <c r="AH52" i="3" s="1"/>
  <c r="X45" i="14"/>
  <c r="Y221" i="14"/>
  <c r="X222" i="14"/>
  <c r="Y13" i="14"/>
  <c r="X14" i="14"/>
  <c r="AF59" i="3"/>
  <c r="AF117" i="3"/>
  <c r="AF93" i="3"/>
  <c r="Y264" i="3"/>
  <c r="Y10" i="3"/>
  <c r="Y112" i="3"/>
  <c r="Y224" i="3"/>
  <c r="Y102" i="3"/>
  <c r="Y150" i="3"/>
  <c r="Y140" i="3"/>
  <c r="Y19" i="3"/>
  <c r="Y250" i="3"/>
  <c r="Y27" i="3"/>
  <c r="Y28" i="3"/>
  <c r="Y180" i="3"/>
  <c r="Y108" i="3"/>
  <c r="Y252" i="3"/>
  <c r="Y265" i="3"/>
  <c r="M166" i="3"/>
  <c r="AH198" i="3" l="1"/>
  <c r="AH214" i="3"/>
  <c r="AH225" i="3"/>
  <c r="AH166" i="3"/>
  <c r="G153" i="14"/>
  <c r="F154" i="14"/>
  <c r="G77" i="14"/>
  <c r="F78" i="14"/>
  <c r="G115" i="14"/>
  <c r="F116" i="14"/>
  <c r="AF31" i="3"/>
  <c r="AF143" i="3"/>
  <c r="AF239" i="3"/>
  <c r="Y202" i="14"/>
  <c r="X203" i="14"/>
  <c r="AH224" i="14"/>
  <c r="AG225" i="14"/>
  <c r="AH53" i="14"/>
  <c r="AG54" i="14"/>
  <c r="AH203" i="14"/>
  <c r="AG204" i="14"/>
  <c r="Y53" i="14"/>
  <c r="X54" i="14"/>
  <c r="X10" i="14"/>
  <c r="Y9" i="14"/>
  <c r="AH208" i="3" s="1"/>
  <c r="Y37" i="14"/>
  <c r="X38" i="14"/>
  <c r="AG132" i="3"/>
  <c r="O30" i="14"/>
  <c r="AG143" i="3"/>
  <c r="O231" i="14"/>
  <c r="O153" i="14"/>
  <c r="O206" i="14"/>
  <c r="O56" i="14"/>
  <c r="AH34" i="14"/>
  <c r="AG35" i="14"/>
  <c r="AH253" i="14"/>
  <c r="AG254" i="14"/>
  <c r="AG59" i="14"/>
  <c r="AH10" i="14"/>
  <c r="AG11" i="14"/>
  <c r="Y14" i="14"/>
  <c r="X15" i="14"/>
  <c r="X234" i="14"/>
  <c r="Y222" i="14"/>
  <c r="AH186" i="3" s="1"/>
  <c r="X223" i="14"/>
  <c r="Y45" i="14"/>
  <c r="AH71" i="3" s="1"/>
  <c r="X46" i="14"/>
  <c r="Y253" i="14"/>
  <c r="X254" i="14"/>
  <c r="Y60" i="14"/>
  <c r="X61" i="14"/>
  <c r="AG52" i="3"/>
  <c r="AF180" i="3"/>
  <c r="AF120" i="3"/>
  <c r="AF227" i="3"/>
  <c r="AF32" i="3"/>
  <c r="AF62" i="3"/>
  <c r="AI214" i="3" l="1"/>
  <c r="AH30" i="3"/>
  <c r="AH135" i="3"/>
  <c r="G78" i="14"/>
  <c r="F79" i="14"/>
  <c r="G154" i="14"/>
  <c r="F155" i="14"/>
  <c r="G116" i="14"/>
  <c r="F117" i="14"/>
  <c r="X204" i="14"/>
  <c r="Y203" i="14"/>
  <c r="AI138" i="3"/>
  <c r="AG226" i="14"/>
  <c r="AH225" i="14"/>
  <c r="AH204" i="14"/>
  <c r="AG205" i="14"/>
  <c r="AH54" i="14"/>
  <c r="AG55" i="14"/>
  <c r="Y38" i="14"/>
  <c r="AH90" i="3" s="1"/>
  <c r="X39" i="14"/>
  <c r="Y10" i="14"/>
  <c r="X11" i="14"/>
  <c r="Y54" i="14"/>
  <c r="AH191" i="3" s="1"/>
  <c r="X55" i="14"/>
  <c r="O154" i="14"/>
  <c r="O57" i="14"/>
  <c r="O207" i="14"/>
  <c r="O31" i="14"/>
  <c r="O232" i="14"/>
  <c r="AF67" i="3"/>
  <c r="AF214" i="3"/>
  <c r="AG123" i="3"/>
  <c r="AG234" i="14"/>
  <c r="AH59" i="14"/>
  <c r="AG60" i="14"/>
  <c r="AG44" i="14"/>
  <c r="AH11" i="14"/>
  <c r="AI205" i="3" s="1"/>
  <c r="AG12" i="14"/>
  <c r="AH254" i="14"/>
  <c r="AG255" i="14"/>
  <c r="AH35" i="14"/>
  <c r="AG36" i="14"/>
  <c r="Y61" i="14"/>
  <c r="AH37" i="3" s="1"/>
  <c r="X62" i="14"/>
  <c r="Y254" i="14"/>
  <c r="AH215" i="3" s="1"/>
  <c r="X255" i="14"/>
  <c r="Y46" i="14"/>
  <c r="X47" i="14"/>
  <c r="Y223" i="14"/>
  <c r="AH132" i="3" s="1"/>
  <c r="X224" i="14"/>
  <c r="Y234" i="14"/>
  <c r="AH31" i="3" s="1"/>
  <c r="X235" i="14"/>
  <c r="Y15" i="14"/>
  <c r="X16" i="14"/>
  <c r="AF37" i="3"/>
  <c r="AF55" i="3"/>
  <c r="AH76" i="3" l="1"/>
  <c r="AH7" i="3"/>
  <c r="G117" i="14"/>
  <c r="F118" i="14"/>
  <c r="G155" i="14"/>
  <c r="AF153" i="3" s="1"/>
  <c r="F156" i="14"/>
  <c r="G79" i="14"/>
  <c r="F80" i="14"/>
  <c r="AF210" i="3"/>
  <c r="AF48" i="3"/>
  <c r="AF119" i="3"/>
  <c r="X205" i="14"/>
  <c r="Y204" i="14"/>
  <c r="AI177" i="3"/>
  <c r="AI226" i="3"/>
  <c r="AI208" i="3"/>
  <c r="AI192" i="3"/>
  <c r="AG227" i="14"/>
  <c r="AH226" i="14"/>
  <c r="AH55" i="14"/>
  <c r="AI198" i="3" s="1"/>
  <c r="AG56" i="14"/>
  <c r="AH205" i="14"/>
  <c r="AI143" i="3" s="1"/>
  <c r="AG206" i="14"/>
  <c r="AH36" i="14"/>
  <c r="AG37" i="14"/>
  <c r="Y11" i="14"/>
  <c r="X12" i="14"/>
  <c r="Y12" i="14" s="1"/>
  <c r="AH192" i="3" s="1"/>
  <c r="Y39" i="14"/>
  <c r="X40" i="14"/>
  <c r="Y55" i="14"/>
  <c r="X56" i="14"/>
  <c r="O233" i="14"/>
  <c r="AG119" i="3" s="1"/>
  <c r="AG195" i="3"/>
  <c r="O208" i="14"/>
  <c r="O32" i="14"/>
  <c r="AG125" i="3"/>
  <c r="O58" i="14"/>
  <c r="AG31" i="3"/>
  <c r="O155" i="14"/>
  <c r="AG192" i="3"/>
  <c r="AG241" i="3"/>
  <c r="AF130" i="3"/>
  <c r="AG256" i="14"/>
  <c r="AH255" i="14"/>
  <c r="AI180" i="3" s="1"/>
  <c r="AH44" i="14"/>
  <c r="AG45" i="14"/>
  <c r="AH12" i="14"/>
  <c r="AI7" i="3" s="1"/>
  <c r="AG13" i="14"/>
  <c r="AH60" i="14"/>
  <c r="AG61" i="14"/>
  <c r="AH234" i="14"/>
  <c r="AG235" i="14"/>
  <c r="Y235" i="14"/>
  <c r="X236" i="14"/>
  <c r="Y47" i="14"/>
  <c r="AH94" i="3" s="1"/>
  <c r="X48" i="14"/>
  <c r="Y16" i="14"/>
  <c r="X17" i="14"/>
  <c r="Y255" i="14"/>
  <c r="X256" i="14"/>
  <c r="Y62" i="14"/>
  <c r="X63" i="14"/>
  <c r="Y224" i="14"/>
  <c r="X225" i="14"/>
  <c r="AG186" i="3"/>
  <c r="AF44" i="3"/>
  <c r="AF238" i="3"/>
  <c r="AF226" i="3"/>
  <c r="AF192" i="3"/>
  <c r="AF75" i="3"/>
  <c r="AF50" i="3"/>
  <c r="AH69" i="3" l="1"/>
  <c r="AH105" i="3"/>
  <c r="AH207" i="3"/>
  <c r="AH196" i="3"/>
  <c r="AH138" i="3"/>
  <c r="AH133" i="3"/>
  <c r="AH32" i="3"/>
  <c r="AH104" i="3"/>
  <c r="AH205" i="3"/>
  <c r="AG250" i="3"/>
  <c r="G80" i="14"/>
  <c r="F81" i="14"/>
  <c r="G156" i="14"/>
  <c r="F157" i="14"/>
  <c r="G118" i="14"/>
  <c r="F119" i="14"/>
  <c r="AF96" i="3"/>
  <c r="Y205" i="14"/>
  <c r="X206" i="14"/>
  <c r="AI104" i="3"/>
  <c r="AI76" i="3"/>
  <c r="AI66" i="3"/>
  <c r="AI191" i="3"/>
  <c r="AH227" i="14"/>
  <c r="AG228" i="14"/>
  <c r="AI195" i="3"/>
  <c r="AI213" i="3"/>
  <c r="AH37" i="14"/>
  <c r="AI135" i="3" s="1"/>
  <c r="AG38" i="14"/>
  <c r="AH56" i="14"/>
  <c r="AG57" i="14"/>
  <c r="AH206" i="14"/>
  <c r="AG207" i="14"/>
  <c r="Y40" i="14"/>
  <c r="AH243" i="3" s="1"/>
  <c r="X41" i="14"/>
  <c r="Y56" i="14"/>
  <c r="X57" i="14"/>
  <c r="O156" i="14"/>
  <c r="O33" i="14"/>
  <c r="O34" i="14" s="1"/>
  <c r="O35" i="14" s="1"/>
  <c r="O36" i="14" s="1"/>
  <c r="O37" i="14" s="1"/>
  <c r="O209" i="14"/>
  <c r="AG32" i="3"/>
  <c r="AG161" i="3"/>
  <c r="AG108" i="3"/>
  <c r="AG122" i="3"/>
  <c r="AG82" i="3"/>
  <c r="AG129" i="3"/>
  <c r="AF249" i="3"/>
  <c r="AH235" i="14"/>
  <c r="AG236" i="14"/>
  <c r="AH61" i="14"/>
  <c r="AG62" i="14"/>
  <c r="AH13" i="14"/>
  <c r="AG14" i="14"/>
  <c r="AH45" i="14"/>
  <c r="AG46" i="14"/>
  <c r="AH256" i="14"/>
  <c r="AG257" i="14"/>
  <c r="Y63" i="14"/>
  <c r="X64" i="14"/>
  <c r="Y256" i="14"/>
  <c r="X257" i="14"/>
  <c r="Y48" i="14"/>
  <c r="AH262" i="3" s="1"/>
  <c r="X49" i="14"/>
  <c r="Y49" i="14" s="1"/>
  <c r="AH147" i="3" s="1"/>
  <c r="X226" i="14"/>
  <c r="Y225" i="14"/>
  <c r="AH216" i="3" s="1"/>
  <c r="X18" i="14"/>
  <c r="Y17" i="14"/>
  <c r="Y236" i="14"/>
  <c r="X237" i="14"/>
  <c r="AG39" i="3"/>
  <c r="AG180" i="3"/>
  <c r="AF80" i="3"/>
  <c r="AF215" i="3"/>
  <c r="AF9" i="3"/>
  <c r="AF7" i="3"/>
  <c r="AF34" i="3"/>
  <c r="AF178" i="3"/>
  <c r="AF98" i="3"/>
  <c r="S166" i="3"/>
  <c r="G166" i="3"/>
  <c r="AH213" i="3" l="1"/>
  <c r="AH180" i="3"/>
  <c r="AH170" i="3"/>
  <c r="AH125" i="3"/>
  <c r="AH177" i="3"/>
  <c r="AG208" i="3"/>
  <c r="AG253" i="3"/>
  <c r="G119" i="14"/>
  <c r="F120" i="14"/>
  <c r="G157" i="14"/>
  <c r="F158" i="14"/>
  <c r="G81" i="14"/>
  <c r="F82" i="14"/>
  <c r="AF74" i="3"/>
  <c r="Y206" i="14"/>
  <c r="X207" i="14"/>
  <c r="AI108" i="3"/>
  <c r="AI215" i="3"/>
  <c r="AI170" i="3"/>
  <c r="AI52" i="3"/>
  <c r="AI199" i="3"/>
  <c r="AH228" i="14"/>
  <c r="AG229" i="14"/>
  <c r="AI132" i="3"/>
  <c r="AG208" i="14"/>
  <c r="AH207" i="14"/>
  <c r="AH38" i="14"/>
  <c r="AG39" i="14"/>
  <c r="AH57" i="14"/>
  <c r="AG58" i="14"/>
  <c r="AH58" i="14" s="1"/>
  <c r="AI165" i="3" s="1"/>
  <c r="Y41" i="14"/>
  <c r="X42" i="14"/>
  <c r="X58" i="14"/>
  <c r="Y58" i="14" s="1"/>
  <c r="AH165" i="3" s="1"/>
  <c r="Y57" i="14"/>
  <c r="AG188" i="3"/>
  <c r="AG96" i="3"/>
  <c r="O210" i="14"/>
  <c r="O38" i="14"/>
  <c r="AG194" i="3"/>
  <c r="AG24" i="3"/>
  <c r="O157" i="14"/>
  <c r="AH46" i="14"/>
  <c r="AI71" i="3" s="1"/>
  <c r="AG47" i="14"/>
  <c r="AH14" i="14"/>
  <c r="AG15" i="14"/>
  <c r="AH236" i="14"/>
  <c r="AG237" i="14"/>
  <c r="AH257" i="14"/>
  <c r="AG258" i="14"/>
  <c r="AH62" i="14"/>
  <c r="AG63" i="14"/>
  <c r="Y237" i="14"/>
  <c r="X238" i="14"/>
  <c r="Y64" i="14"/>
  <c r="X65" i="14"/>
  <c r="Y18" i="14"/>
  <c r="AH154" i="3" s="1"/>
  <c r="X19" i="14"/>
  <c r="Y226" i="14"/>
  <c r="X227" i="14"/>
  <c r="Y257" i="14"/>
  <c r="X258" i="14"/>
  <c r="AG147" i="3"/>
  <c r="AF27" i="3"/>
  <c r="AF181" i="3"/>
  <c r="AF205" i="3"/>
  <c r="AF57" i="3"/>
  <c r="L166" i="3"/>
  <c r="R166" i="3"/>
  <c r="D24" i="2"/>
  <c r="F4" i="3" s="1"/>
  <c r="Y34" i="3"/>
  <c r="Y133" i="3"/>
  <c r="Y177" i="3"/>
  <c r="Y220" i="3"/>
  <c r="Y47" i="3"/>
  <c r="Y233" i="3"/>
  <c r="Y21" i="3"/>
  <c r="Y33" i="3"/>
  <c r="Y125" i="3"/>
  <c r="Y263" i="3"/>
  <c r="Y183" i="3"/>
  <c r="Y30" i="3"/>
  <c r="Y95" i="3"/>
  <c r="Y214" i="3"/>
  <c r="Y72" i="3"/>
  <c r="Y121" i="3"/>
  <c r="Y190" i="3"/>
  <c r="Y134" i="3"/>
  <c r="Y213" i="3"/>
  <c r="Y192" i="3"/>
  <c r="Y153" i="3"/>
  <c r="Y64" i="3"/>
  <c r="Y7" i="3"/>
  <c r="Y228" i="3"/>
  <c r="Y227" i="3"/>
  <c r="Y76" i="3"/>
  <c r="Y20" i="3"/>
  <c r="Y208" i="3"/>
  <c r="Y68" i="3"/>
  <c r="Y256" i="3"/>
  <c r="Y13" i="3"/>
  <c r="Y8" i="3"/>
  <c r="Y43" i="3"/>
  <c r="Y257" i="3"/>
  <c r="Y86" i="3"/>
  <c r="Y53" i="3"/>
  <c r="Y128" i="3"/>
  <c r="Y39" i="3"/>
  <c r="Y162" i="3"/>
  <c r="Y211" i="3"/>
  <c r="Y258" i="3"/>
  <c r="Y96" i="3"/>
  <c r="Y167" i="3"/>
  <c r="Y126" i="3"/>
  <c r="Y248" i="3"/>
  <c r="Y48" i="3"/>
  <c r="Y101" i="3"/>
  <c r="Y234" i="3"/>
  <c r="Y200" i="3"/>
  <c r="Y249" i="3"/>
  <c r="Y156" i="3"/>
  <c r="Y12" i="3"/>
  <c r="Y17" i="3"/>
  <c r="Y254" i="3"/>
  <c r="Y243" i="3"/>
  <c r="Y117" i="3"/>
  <c r="Y18" i="3"/>
  <c r="Y244" i="3"/>
  <c r="Y120" i="3"/>
  <c r="Y170" i="3"/>
  <c r="Y226" i="3"/>
  <c r="Y70" i="3"/>
  <c r="Y251" i="3"/>
  <c r="Y157" i="3"/>
  <c r="Y42" i="3"/>
  <c r="Y171" i="3"/>
  <c r="Y14" i="3"/>
  <c r="Y136" i="3"/>
  <c r="Y139" i="3"/>
  <c r="Y15" i="3"/>
  <c r="Y215" i="3"/>
  <c r="Y187" i="3"/>
  <c r="Y123" i="3"/>
  <c r="Y161" i="3"/>
  <c r="Y179" i="3"/>
  <c r="Y219" i="3"/>
  <c r="Y46" i="3"/>
  <c r="Y182" i="3"/>
  <c r="Y146" i="3"/>
  <c r="Y135" i="3"/>
  <c r="Y65" i="3"/>
  <c r="Y137" i="3"/>
  <c r="Y168" i="3"/>
  <c r="Y90" i="3"/>
  <c r="Y63" i="3"/>
  <c r="Y67" i="3"/>
  <c r="Y178" i="3"/>
  <c r="Y237" i="3"/>
  <c r="Y242" i="3"/>
  <c r="Y245" i="3"/>
  <c r="Y9" i="3"/>
  <c r="Y158" i="3"/>
  <c r="Y111" i="3"/>
  <c r="Y217" i="3"/>
  <c r="Y51" i="3"/>
  <c r="Y24" i="3"/>
  <c r="Y83" i="3"/>
  <c r="Y206" i="3"/>
  <c r="Y259" i="3"/>
  <c r="Y145" i="3"/>
  <c r="Y235" i="3"/>
  <c r="Y152" i="3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W46" i="3" s="1"/>
  <c r="AG41" i="2"/>
  <c r="AG42" i="2"/>
  <c r="AG43" i="2"/>
  <c r="AG44" i="2"/>
  <c r="AG45" i="2"/>
  <c r="W80" i="3" s="1"/>
  <c r="AG46" i="2"/>
  <c r="AG47" i="2"/>
  <c r="AG48" i="2"/>
  <c r="W50" i="3" s="1"/>
  <c r="AG49" i="2"/>
  <c r="W71" i="3" s="1"/>
  <c r="AG50" i="2"/>
  <c r="W28" i="3" s="1"/>
  <c r="AG51" i="2"/>
  <c r="W38" i="3" s="1"/>
  <c r="AG52" i="2"/>
  <c r="AG53" i="2"/>
  <c r="AG54" i="2"/>
  <c r="AG55" i="2"/>
  <c r="W52" i="3" s="1"/>
  <c r="AG56" i="2"/>
  <c r="AG57" i="2"/>
  <c r="W27" i="3" s="1"/>
  <c r="AG58" i="2"/>
  <c r="AG59" i="2"/>
  <c r="AG60" i="2"/>
  <c r="W57" i="3" s="1"/>
  <c r="AG61" i="2"/>
  <c r="W68" i="3" s="1"/>
  <c r="AG62" i="2"/>
  <c r="AG63" i="2"/>
  <c r="AG64" i="2"/>
  <c r="AG65" i="2"/>
  <c r="AG66" i="2"/>
  <c r="W20" i="3" s="1"/>
  <c r="AG67" i="2"/>
  <c r="AG68" i="2"/>
  <c r="AG69" i="2"/>
  <c r="AG70" i="2"/>
  <c r="AG71" i="2"/>
  <c r="W77" i="3" s="1"/>
  <c r="AG72" i="2"/>
  <c r="AG73" i="2"/>
  <c r="W40" i="3" s="1"/>
  <c r="AG74" i="2"/>
  <c r="AG75" i="2"/>
  <c r="W49" i="3" s="1"/>
  <c r="AG76" i="2"/>
  <c r="AG77" i="2"/>
  <c r="AG78" i="2"/>
  <c r="AG79" i="2"/>
  <c r="AG80" i="2"/>
  <c r="AG81" i="2"/>
  <c r="AG82" i="2"/>
  <c r="AG83" i="2"/>
  <c r="W55" i="3" s="1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W51" i="3" s="1"/>
  <c r="AG100" i="2"/>
  <c r="AG101" i="2"/>
  <c r="AG102" i="2"/>
  <c r="AG103" i="2"/>
  <c r="AG104" i="2"/>
  <c r="AG105" i="2"/>
  <c r="AG106" i="2"/>
  <c r="AG107" i="2"/>
  <c r="AG108" i="2"/>
  <c r="AG109" i="2"/>
  <c r="AG110" i="2"/>
  <c r="W9" i="3" s="1"/>
  <c r="AG111" i="2"/>
  <c r="AG112" i="2"/>
  <c r="AG113" i="2"/>
  <c r="AG114" i="2"/>
  <c r="AG115" i="2"/>
  <c r="AG116" i="2"/>
  <c r="AG117" i="2"/>
  <c r="W59" i="3" s="1"/>
  <c r="AG118" i="2"/>
  <c r="AG119" i="2"/>
  <c r="W137" i="3" s="1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W134" i="3" s="1"/>
  <c r="AG146" i="2"/>
  <c r="AG147" i="2"/>
  <c r="AG148" i="2"/>
  <c r="AG149" i="2"/>
  <c r="AG150" i="2"/>
  <c r="AG151" i="2"/>
  <c r="AG152" i="2"/>
  <c r="W13" i="3" s="1"/>
  <c r="AG153" i="2"/>
  <c r="AG154" i="2"/>
  <c r="AG155" i="2"/>
  <c r="AG156" i="2"/>
  <c r="AG157" i="2"/>
  <c r="AG158" i="2"/>
  <c r="AG159" i="2"/>
  <c r="W39" i="3" s="1"/>
  <c r="AG160" i="2"/>
  <c r="AG161" i="2"/>
  <c r="AG162" i="2"/>
  <c r="W144" i="3" s="1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W160" i="3" s="1"/>
  <c r="AG176" i="2"/>
  <c r="AG177" i="2"/>
  <c r="W62" i="3" s="1"/>
  <c r="AG178" i="2"/>
  <c r="AG179" i="2"/>
  <c r="AG180" i="2"/>
  <c r="AG181" i="2"/>
  <c r="AG182" i="2"/>
  <c r="W61" i="3" s="1"/>
  <c r="AG183" i="2"/>
  <c r="AG184" i="2"/>
  <c r="AG185" i="2"/>
  <c r="AG186" i="2"/>
  <c r="W163" i="3" s="1"/>
  <c r="AG187" i="2"/>
  <c r="W78" i="3" s="1"/>
  <c r="AG188" i="2"/>
  <c r="W179" i="3" s="1"/>
  <c r="AG189" i="2"/>
  <c r="AG190" i="2"/>
  <c r="AG191" i="2"/>
  <c r="AG192" i="2"/>
  <c r="AG193" i="2"/>
  <c r="W116" i="3" s="1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W193" i="3" s="1"/>
  <c r="AG208" i="2"/>
  <c r="W191" i="3" s="1"/>
  <c r="AG209" i="2"/>
  <c r="W188" i="3" s="1"/>
  <c r="AG210" i="2"/>
  <c r="W192" i="3" s="1"/>
  <c r="AG211" i="2"/>
  <c r="AG212" i="2"/>
  <c r="W201" i="3" s="1"/>
  <c r="AG213" i="2"/>
  <c r="AG214" i="2"/>
  <c r="W190" i="3" s="1"/>
  <c r="AG215" i="2"/>
  <c r="AG216" i="2"/>
  <c r="W189" i="3" s="1"/>
  <c r="AG217" i="2"/>
  <c r="AG218" i="2"/>
  <c r="AG219" i="2"/>
  <c r="W211" i="3" s="1"/>
  <c r="AG220" i="2"/>
  <c r="AG221" i="2"/>
  <c r="W194" i="3" s="1"/>
  <c r="AG222" i="2"/>
  <c r="W199" i="3" s="1"/>
  <c r="AG223" i="2"/>
  <c r="AG224" i="2"/>
  <c r="AG225" i="2"/>
  <c r="W207" i="3" s="1"/>
  <c r="AG226" i="2"/>
  <c r="AG227" i="2"/>
  <c r="AG228" i="2"/>
  <c r="AG229" i="2"/>
  <c r="AG230" i="2"/>
  <c r="AG231" i="2"/>
  <c r="AG232" i="2"/>
  <c r="AG233" i="2"/>
  <c r="W217" i="3" s="1"/>
  <c r="AG234" i="2"/>
  <c r="AG235" i="2"/>
  <c r="W197" i="3" s="1"/>
  <c r="AG236" i="2"/>
  <c r="AG237" i="2"/>
  <c r="W219" i="3" s="1"/>
  <c r="AG238" i="2"/>
  <c r="AG239" i="2"/>
  <c r="AG240" i="2"/>
  <c r="AG241" i="2"/>
  <c r="AG242" i="2"/>
  <c r="AG243" i="2"/>
  <c r="AG244" i="2"/>
  <c r="AG245" i="2"/>
  <c r="W229" i="3" s="1"/>
  <c r="AG246" i="2"/>
  <c r="W212" i="3" s="1"/>
  <c r="AG247" i="2"/>
  <c r="AG248" i="2"/>
  <c r="AG249" i="2"/>
  <c r="AG250" i="2"/>
  <c r="AG251" i="2"/>
  <c r="W221" i="3" s="1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W232" i="3" s="1"/>
  <c r="AG264" i="2"/>
  <c r="W236" i="3" s="1"/>
  <c r="AG265" i="2"/>
  <c r="W228" i="3" s="1"/>
  <c r="AG266" i="2"/>
  <c r="AG267" i="2"/>
  <c r="AG268" i="2"/>
  <c r="AG269" i="2"/>
  <c r="AG270" i="2"/>
  <c r="W233" i="3" s="1"/>
  <c r="AG271" i="2"/>
  <c r="W234" i="3" s="1"/>
  <c r="AG272" i="2"/>
  <c r="W231" i="3" s="1"/>
  <c r="AG273" i="2"/>
  <c r="AG274" i="2"/>
  <c r="W230" i="3" s="1"/>
  <c r="AG275" i="2"/>
  <c r="AG276" i="2"/>
  <c r="AG277" i="2"/>
  <c r="W237" i="3" s="1"/>
  <c r="AG278" i="2"/>
  <c r="AG279" i="2"/>
  <c r="AG280" i="2"/>
  <c r="W240" i="3" s="1"/>
  <c r="AG281" i="2"/>
  <c r="AG282" i="2"/>
  <c r="W242" i="3" s="1"/>
  <c r="AG283" i="2"/>
  <c r="AG284" i="2"/>
  <c r="AG285" i="2"/>
  <c r="AG286" i="2"/>
  <c r="W243" i="3" s="1"/>
  <c r="AG287" i="2"/>
  <c r="W244" i="3" s="1"/>
  <c r="AG288" i="2"/>
  <c r="AG289" i="2"/>
  <c r="W249" i="3" s="1"/>
  <c r="AG290" i="2"/>
  <c r="AG291" i="2"/>
  <c r="AG292" i="2"/>
  <c r="W252" i="3" s="1"/>
  <c r="AG293" i="2"/>
  <c r="W250" i="3" s="1"/>
  <c r="AG294" i="2"/>
  <c r="W253" i="3" s="1"/>
  <c r="AG295" i="2"/>
  <c r="AG296" i="2"/>
  <c r="AG297" i="2"/>
  <c r="W264" i="3" s="1"/>
  <c r="AG298" i="2"/>
  <c r="W255" i="3" s="1"/>
  <c r="AG299" i="2"/>
  <c r="AG300" i="2"/>
  <c r="AG301" i="2"/>
  <c r="AG302" i="2"/>
  <c r="AG303" i="2"/>
  <c r="AG304" i="2"/>
  <c r="AG305" i="2"/>
  <c r="W258" i="3" s="1"/>
  <c r="AG306" i="2"/>
  <c r="W257" i="3" s="1"/>
  <c r="AG307" i="2"/>
  <c r="W261" i="3" s="1"/>
  <c r="AG308" i="2"/>
  <c r="W260" i="3" s="1"/>
  <c r="AG309" i="2"/>
  <c r="AG310" i="2"/>
  <c r="W263" i="3" s="1"/>
  <c r="AG311" i="2"/>
  <c r="W265" i="3" s="1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Q242" i="3" s="1"/>
  <c r="X303" i="2"/>
  <c r="X302" i="2"/>
  <c r="X301" i="2"/>
  <c r="X300" i="2"/>
  <c r="X299" i="2"/>
  <c r="X298" i="2"/>
  <c r="X297" i="2"/>
  <c r="Q244" i="3" s="1"/>
  <c r="X296" i="2"/>
  <c r="X295" i="2"/>
  <c r="Q255" i="3" s="1"/>
  <c r="X294" i="2"/>
  <c r="X293" i="2"/>
  <c r="Q229" i="3" s="1"/>
  <c r="X292" i="2"/>
  <c r="Q190" i="3" s="1"/>
  <c r="X291" i="2"/>
  <c r="X290" i="2"/>
  <c r="Q230" i="3" s="1"/>
  <c r="X289" i="2"/>
  <c r="Q218" i="3" s="1"/>
  <c r="X288" i="2"/>
  <c r="X287" i="2"/>
  <c r="X286" i="2"/>
  <c r="X285" i="2"/>
  <c r="Q8" i="3" s="1"/>
  <c r="X284" i="2"/>
  <c r="X283" i="2"/>
  <c r="X282" i="2"/>
  <c r="Q162" i="3" s="1"/>
  <c r="X281" i="2"/>
  <c r="Q189" i="3" s="1"/>
  <c r="X280" i="2"/>
  <c r="Q14" i="3" s="1"/>
  <c r="X279" i="2"/>
  <c r="X278" i="2"/>
  <c r="X277" i="2"/>
  <c r="Q115" i="3" s="1"/>
  <c r="X276" i="2"/>
  <c r="X275" i="2"/>
  <c r="Q188" i="3" s="1"/>
  <c r="X274" i="2"/>
  <c r="Q12" i="3" s="1"/>
  <c r="X273" i="2"/>
  <c r="X272" i="2"/>
  <c r="Q23" i="3" s="1"/>
  <c r="X271" i="2"/>
  <c r="X270" i="2"/>
  <c r="X269" i="2"/>
  <c r="X268" i="2"/>
  <c r="X267" i="2"/>
  <c r="Q187" i="3" s="1"/>
  <c r="X266" i="2"/>
  <c r="X265" i="2"/>
  <c r="Q254" i="3" s="1"/>
  <c r="X264" i="2"/>
  <c r="Q258" i="3" s="1"/>
  <c r="X263" i="2"/>
  <c r="Q231" i="3" s="1"/>
  <c r="X262" i="2"/>
  <c r="X261" i="2"/>
  <c r="X260" i="2"/>
  <c r="Q24" i="3" s="1"/>
  <c r="X259" i="2"/>
  <c r="Q193" i="3" s="1"/>
  <c r="X258" i="2"/>
  <c r="X257" i="2"/>
  <c r="X256" i="2"/>
  <c r="X255" i="2"/>
  <c r="Q248" i="3" s="1"/>
  <c r="X254" i="2"/>
  <c r="Q25" i="3" s="1"/>
  <c r="X253" i="2"/>
  <c r="Q19" i="3" s="1"/>
  <c r="X252" i="2"/>
  <c r="Q165" i="3" s="1"/>
  <c r="X251" i="2"/>
  <c r="Q234" i="3" s="1"/>
  <c r="X250" i="2"/>
  <c r="Q243" i="3" s="1"/>
  <c r="X249" i="2"/>
  <c r="X248" i="2"/>
  <c r="Q171" i="3" s="1"/>
  <c r="X247" i="2"/>
  <c r="Q219" i="3" s="1"/>
  <c r="X246" i="2"/>
  <c r="X245" i="2"/>
  <c r="X244" i="2"/>
  <c r="X243" i="2"/>
  <c r="X242" i="2"/>
  <c r="Q197" i="3" s="1"/>
  <c r="X241" i="2"/>
  <c r="Q261" i="3" s="1"/>
  <c r="X240" i="2"/>
  <c r="X239" i="2"/>
  <c r="X238" i="2"/>
  <c r="X237" i="2"/>
  <c r="X236" i="2"/>
  <c r="X235" i="2"/>
  <c r="Q217" i="3" s="1"/>
  <c r="X234" i="2"/>
  <c r="Q226" i="3" s="1"/>
  <c r="X233" i="2"/>
  <c r="X232" i="2"/>
  <c r="X231" i="2"/>
  <c r="Q237" i="3" s="1"/>
  <c r="X230" i="2"/>
  <c r="X229" i="2"/>
  <c r="Q249" i="3" s="1"/>
  <c r="X228" i="2"/>
  <c r="Q236" i="3" s="1"/>
  <c r="X227" i="2"/>
  <c r="Q240" i="3" s="1"/>
  <c r="X226" i="2"/>
  <c r="X225" i="2"/>
  <c r="X224" i="2"/>
  <c r="X223" i="2"/>
  <c r="X222" i="2"/>
  <c r="X221" i="2"/>
  <c r="X220" i="2"/>
  <c r="X219" i="2"/>
  <c r="X218" i="2"/>
  <c r="X217" i="2"/>
  <c r="Q164" i="3" s="1"/>
  <c r="X216" i="2"/>
  <c r="Q206" i="3" s="1"/>
  <c r="X215" i="2"/>
  <c r="X214" i="2"/>
  <c r="X213" i="2"/>
  <c r="X212" i="2"/>
  <c r="X211" i="2"/>
  <c r="X210" i="2"/>
  <c r="Q175" i="3" s="1"/>
  <c r="X209" i="2"/>
  <c r="X208" i="2"/>
  <c r="X207" i="2"/>
  <c r="X206" i="2"/>
  <c r="X205" i="2"/>
  <c r="Q264" i="3" s="1"/>
  <c r="X204" i="2"/>
  <c r="Q238" i="3" s="1"/>
  <c r="X203" i="2"/>
  <c r="X202" i="2"/>
  <c r="X201" i="2"/>
  <c r="X200" i="2"/>
  <c r="Q163" i="3" s="1"/>
  <c r="X199" i="2"/>
  <c r="Q212" i="3" s="1"/>
  <c r="X198" i="2"/>
  <c r="X197" i="2"/>
  <c r="X196" i="2"/>
  <c r="X195" i="2"/>
  <c r="X194" i="2"/>
  <c r="Q138" i="3" s="1"/>
  <c r="X193" i="2"/>
  <c r="X192" i="2"/>
  <c r="X191" i="2"/>
  <c r="X190" i="2"/>
  <c r="X189" i="2"/>
  <c r="X188" i="2"/>
  <c r="X187" i="2"/>
  <c r="Q250" i="3" s="1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Q155" i="3" s="1"/>
  <c r="X170" i="2"/>
  <c r="X169" i="2"/>
  <c r="X168" i="2"/>
  <c r="Q259" i="3" s="1"/>
  <c r="X167" i="2"/>
  <c r="X166" i="2"/>
  <c r="X165" i="2"/>
  <c r="X164" i="2"/>
  <c r="Q251" i="3" s="1"/>
  <c r="X163" i="2"/>
  <c r="Q157" i="3" s="1"/>
  <c r="X162" i="2"/>
  <c r="Q265" i="3" s="1"/>
  <c r="X161" i="2"/>
  <c r="X160" i="2"/>
  <c r="X159" i="2"/>
  <c r="X158" i="2"/>
  <c r="X157" i="2"/>
  <c r="X156" i="2"/>
  <c r="X155" i="2"/>
  <c r="X154" i="2"/>
  <c r="Q26" i="3" s="1"/>
  <c r="X153" i="2"/>
  <c r="X152" i="2"/>
  <c r="Q245" i="3" s="1"/>
  <c r="X151" i="2"/>
  <c r="X150" i="2"/>
  <c r="X149" i="2"/>
  <c r="Q9" i="3" s="1"/>
  <c r="X148" i="2"/>
  <c r="X147" i="2"/>
  <c r="X146" i="2"/>
  <c r="X145" i="2"/>
  <c r="X144" i="2"/>
  <c r="X143" i="2"/>
  <c r="Q136" i="3" s="1"/>
  <c r="X142" i="2"/>
  <c r="X141" i="2"/>
  <c r="Q7" i="3" s="1"/>
  <c r="X140" i="2"/>
  <c r="X139" i="2"/>
  <c r="X138" i="2"/>
  <c r="X137" i="2"/>
  <c r="X136" i="2"/>
  <c r="Q145" i="3" s="1"/>
  <c r="X135" i="2"/>
  <c r="X134" i="2"/>
  <c r="X133" i="2"/>
  <c r="X132" i="2"/>
  <c r="Q186" i="3" s="1"/>
  <c r="X131" i="2"/>
  <c r="Q94" i="3" s="1"/>
  <c r="X130" i="2"/>
  <c r="X129" i="2"/>
  <c r="X128" i="2"/>
  <c r="X127" i="2"/>
  <c r="Q97" i="3" s="1"/>
  <c r="X126" i="2"/>
  <c r="X125" i="2"/>
  <c r="X124" i="2"/>
  <c r="X123" i="2"/>
  <c r="X122" i="2"/>
  <c r="X121" i="2"/>
  <c r="X120" i="2"/>
  <c r="X119" i="2"/>
  <c r="X118" i="2"/>
  <c r="X117" i="2"/>
  <c r="X116" i="2"/>
  <c r="Q256" i="3" s="1"/>
  <c r="X115" i="2"/>
  <c r="X114" i="2"/>
  <c r="X113" i="2"/>
  <c r="X112" i="2"/>
  <c r="X111" i="2"/>
  <c r="X110" i="2"/>
  <c r="Q123" i="3" s="1"/>
  <c r="X109" i="2"/>
  <c r="X108" i="2"/>
  <c r="X107" i="2"/>
  <c r="X106" i="2"/>
  <c r="X105" i="2"/>
  <c r="Q15" i="3" s="1"/>
  <c r="X104" i="2"/>
  <c r="X103" i="2"/>
  <c r="Q202" i="3" s="1"/>
  <c r="X102" i="2"/>
  <c r="X101" i="2"/>
  <c r="X100" i="2"/>
  <c r="X99" i="2"/>
  <c r="X98" i="2"/>
  <c r="Q239" i="3" s="1"/>
  <c r="X97" i="2"/>
  <c r="X96" i="2"/>
  <c r="Q140" i="3" s="1"/>
  <c r="X95" i="2"/>
  <c r="X94" i="2"/>
  <c r="X93" i="2"/>
  <c r="X92" i="2"/>
  <c r="X91" i="2"/>
  <c r="X90" i="2"/>
  <c r="Q257" i="3" s="1"/>
  <c r="X89" i="2"/>
  <c r="X88" i="2"/>
  <c r="X87" i="2"/>
  <c r="X86" i="2"/>
  <c r="Q173" i="3" s="1"/>
  <c r="X85" i="2"/>
  <c r="X84" i="2"/>
  <c r="Q30" i="3" s="1"/>
  <c r="X83" i="2"/>
  <c r="X82" i="2"/>
  <c r="X81" i="2"/>
  <c r="Q203" i="3" s="1"/>
  <c r="X80" i="2"/>
  <c r="X79" i="2"/>
  <c r="Q253" i="3" s="1"/>
  <c r="X78" i="2"/>
  <c r="X77" i="2"/>
  <c r="X76" i="2"/>
  <c r="X75" i="2"/>
  <c r="Q178" i="3" s="1"/>
  <c r="X74" i="2"/>
  <c r="Q180" i="3" s="1"/>
  <c r="X73" i="2"/>
  <c r="X72" i="2"/>
  <c r="Q146" i="3" s="1"/>
  <c r="X71" i="2"/>
  <c r="X70" i="2"/>
  <c r="X69" i="2"/>
  <c r="X68" i="2"/>
  <c r="X67" i="2"/>
  <c r="X66" i="2"/>
  <c r="Q181" i="3" s="1"/>
  <c r="X65" i="2"/>
  <c r="X64" i="2"/>
  <c r="Q220" i="3" s="1"/>
  <c r="X63" i="2"/>
  <c r="X62" i="2"/>
  <c r="Q139" i="3" s="1"/>
  <c r="X61" i="2"/>
  <c r="X60" i="2"/>
  <c r="Q108" i="3" s="1"/>
  <c r="X59" i="2"/>
  <c r="X58" i="2"/>
  <c r="Q204" i="3" s="1"/>
  <c r="X57" i="2"/>
  <c r="Q13" i="3" s="1"/>
  <c r="X56" i="2"/>
  <c r="X55" i="2"/>
  <c r="X54" i="2"/>
  <c r="X53" i="2"/>
  <c r="Q53" i="3" s="1"/>
  <c r="X52" i="2"/>
  <c r="X51" i="2"/>
  <c r="X50" i="2"/>
  <c r="X49" i="2"/>
  <c r="X48" i="2"/>
  <c r="X47" i="2"/>
  <c r="X46" i="2"/>
  <c r="X45" i="2"/>
  <c r="Q80" i="3" s="1"/>
  <c r="X44" i="2"/>
  <c r="Q28" i="3" s="1"/>
  <c r="X43" i="2"/>
  <c r="X42" i="2"/>
  <c r="X41" i="2"/>
  <c r="X40" i="2"/>
  <c r="X39" i="2"/>
  <c r="Q246" i="3" s="1"/>
  <c r="X38" i="2"/>
  <c r="Q59" i="3" s="1"/>
  <c r="X37" i="2"/>
  <c r="X36" i="2"/>
  <c r="X35" i="2"/>
  <c r="X34" i="2"/>
  <c r="X33" i="2"/>
  <c r="X32" i="2"/>
  <c r="X31" i="2"/>
  <c r="X30" i="2"/>
  <c r="X29" i="2"/>
  <c r="X28" i="2"/>
  <c r="O28" i="2"/>
  <c r="K31" i="3" s="1"/>
  <c r="O29" i="2"/>
  <c r="O30" i="2"/>
  <c r="K32" i="3" s="1"/>
  <c r="O31" i="2"/>
  <c r="O32" i="2"/>
  <c r="O33" i="2"/>
  <c r="O34" i="2"/>
  <c r="O35" i="2"/>
  <c r="O36" i="2"/>
  <c r="O37" i="2"/>
  <c r="K71" i="3" s="1"/>
  <c r="O38" i="2"/>
  <c r="O39" i="2"/>
  <c r="O40" i="2"/>
  <c r="K61" i="3" s="1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K93" i="3" s="1"/>
  <c r="O55" i="2"/>
  <c r="O56" i="2"/>
  <c r="O57" i="2"/>
  <c r="K68" i="3" s="1"/>
  <c r="O58" i="2"/>
  <c r="O59" i="2"/>
  <c r="K38" i="3" s="1"/>
  <c r="O60" i="2"/>
  <c r="K47" i="3" s="1"/>
  <c r="O61" i="2"/>
  <c r="K133" i="3" s="1"/>
  <c r="O62" i="2"/>
  <c r="O63" i="2"/>
  <c r="O64" i="2"/>
  <c r="O65" i="2"/>
  <c r="O66" i="2"/>
  <c r="O67" i="2"/>
  <c r="O68" i="2"/>
  <c r="O69" i="2"/>
  <c r="K239" i="3" s="1"/>
  <c r="O70" i="2"/>
  <c r="K65" i="3" s="1"/>
  <c r="O71" i="2"/>
  <c r="K110" i="3" s="1"/>
  <c r="O72" i="2"/>
  <c r="O73" i="2"/>
  <c r="O74" i="2"/>
  <c r="O75" i="2"/>
  <c r="O76" i="2"/>
  <c r="K46" i="3" s="1"/>
  <c r="O77" i="2"/>
  <c r="O78" i="2"/>
  <c r="O79" i="2"/>
  <c r="O80" i="2"/>
  <c r="O81" i="2"/>
  <c r="O82" i="2"/>
  <c r="O83" i="2"/>
  <c r="O84" i="2"/>
  <c r="O85" i="2"/>
  <c r="K50" i="3" s="1"/>
  <c r="O86" i="2"/>
  <c r="O87" i="2"/>
  <c r="O88" i="2"/>
  <c r="O89" i="2"/>
  <c r="O90" i="2"/>
  <c r="K82" i="3" s="1"/>
  <c r="O91" i="2"/>
  <c r="O92" i="2"/>
  <c r="O93" i="2"/>
  <c r="O94" i="2"/>
  <c r="O95" i="2"/>
  <c r="O96" i="2"/>
  <c r="O97" i="2"/>
  <c r="O98" i="2"/>
  <c r="K84" i="3" s="1"/>
  <c r="O99" i="2"/>
  <c r="O100" i="2"/>
  <c r="K88" i="3" s="1"/>
  <c r="O101" i="2"/>
  <c r="O102" i="2"/>
  <c r="O103" i="2"/>
  <c r="O104" i="2"/>
  <c r="O105" i="2"/>
  <c r="O106" i="2"/>
  <c r="O107" i="2"/>
  <c r="O108" i="2"/>
  <c r="O109" i="2"/>
  <c r="O110" i="2"/>
  <c r="K220" i="3" s="1"/>
  <c r="O111" i="2"/>
  <c r="K170" i="3" s="1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K73" i="3" s="1"/>
  <c r="O127" i="2"/>
  <c r="O128" i="2"/>
  <c r="O129" i="2"/>
  <c r="O130" i="2"/>
  <c r="O131" i="2"/>
  <c r="O132" i="2"/>
  <c r="O133" i="2"/>
  <c r="K33" i="3" s="1"/>
  <c r="O134" i="2"/>
  <c r="K191" i="3" s="1"/>
  <c r="O135" i="2"/>
  <c r="K103" i="3" s="1"/>
  <c r="O136" i="2"/>
  <c r="O137" i="2"/>
  <c r="K45" i="3" s="1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K120" i="3" s="1"/>
  <c r="O151" i="2"/>
  <c r="O152" i="2"/>
  <c r="K265" i="3" s="1"/>
  <c r="O153" i="2"/>
  <c r="K158" i="3" s="1"/>
  <c r="O154" i="2"/>
  <c r="O155" i="2"/>
  <c r="O156" i="2"/>
  <c r="O157" i="2"/>
  <c r="K104" i="3" s="1"/>
  <c r="O158" i="2"/>
  <c r="O159" i="2"/>
  <c r="O160" i="2"/>
  <c r="O161" i="2"/>
  <c r="O162" i="2"/>
  <c r="O163" i="2"/>
  <c r="O164" i="2"/>
  <c r="O165" i="2"/>
  <c r="O166" i="2"/>
  <c r="O167" i="2"/>
  <c r="O168" i="2"/>
  <c r="K70" i="3" s="1"/>
  <c r="O169" i="2"/>
  <c r="O170" i="2"/>
  <c r="K184" i="3" s="1"/>
  <c r="O171" i="2"/>
  <c r="O172" i="2"/>
  <c r="O173" i="2"/>
  <c r="O174" i="2"/>
  <c r="O175" i="2"/>
  <c r="O176" i="2"/>
  <c r="O177" i="2"/>
  <c r="K247" i="3" s="1"/>
  <c r="O178" i="2"/>
  <c r="O179" i="2"/>
  <c r="O180" i="2"/>
  <c r="O181" i="2"/>
  <c r="O182" i="2"/>
  <c r="K9" i="3" s="1"/>
  <c r="O183" i="2"/>
  <c r="O184" i="2"/>
  <c r="O185" i="2"/>
  <c r="O186" i="2"/>
  <c r="O187" i="2"/>
  <c r="O188" i="2"/>
  <c r="O189" i="2"/>
  <c r="O190" i="2"/>
  <c r="O191" i="2"/>
  <c r="O192" i="2"/>
  <c r="O193" i="2"/>
  <c r="O194" i="2"/>
  <c r="K147" i="3" s="1"/>
  <c r="O195" i="2"/>
  <c r="K252" i="3" s="1"/>
  <c r="O196" i="2"/>
  <c r="O197" i="2"/>
  <c r="O198" i="2"/>
  <c r="O199" i="2"/>
  <c r="O200" i="2"/>
  <c r="K164" i="3" s="1"/>
  <c r="O201" i="2"/>
  <c r="O202" i="2"/>
  <c r="O203" i="2"/>
  <c r="K127" i="3" s="1"/>
  <c r="O204" i="2"/>
  <c r="O205" i="2"/>
  <c r="O206" i="2"/>
  <c r="K144" i="3" s="1"/>
  <c r="O207" i="2"/>
  <c r="O208" i="2"/>
  <c r="O209" i="2"/>
  <c r="O210" i="2"/>
  <c r="K250" i="3" s="1"/>
  <c r="O211" i="2"/>
  <c r="O212" i="2"/>
  <c r="O213" i="2"/>
  <c r="K106" i="3" s="1"/>
  <c r="O214" i="2"/>
  <c r="K240" i="3" s="1"/>
  <c r="O215" i="2"/>
  <c r="K159" i="3" s="1"/>
  <c r="O216" i="2"/>
  <c r="O217" i="2"/>
  <c r="K155" i="3" s="1"/>
  <c r="O218" i="2"/>
  <c r="O219" i="2"/>
  <c r="K18" i="3" s="1"/>
  <c r="O220" i="2"/>
  <c r="O221" i="2"/>
  <c r="O222" i="2"/>
  <c r="O223" i="2"/>
  <c r="O224" i="2"/>
  <c r="K199" i="3" s="1"/>
  <c r="O225" i="2"/>
  <c r="K198" i="3" s="1"/>
  <c r="O226" i="2"/>
  <c r="O227" i="2"/>
  <c r="K211" i="3" s="1"/>
  <c r="O228" i="2"/>
  <c r="O229" i="2"/>
  <c r="K249" i="3" s="1"/>
  <c r="O230" i="2"/>
  <c r="K260" i="3" s="1"/>
  <c r="O231" i="2"/>
  <c r="K25" i="3" s="1"/>
  <c r="O232" i="2"/>
  <c r="O233" i="2"/>
  <c r="K131" i="3" s="1"/>
  <c r="O234" i="2"/>
  <c r="O235" i="2"/>
  <c r="K213" i="3" s="1"/>
  <c r="O236" i="2"/>
  <c r="O237" i="2"/>
  <c r="K224" i="3" s="1"/>
  <c r="O238" i="2"/>
  <c r="K237" i="3" s="1"/>
  <c r="O239" i="2"/>
  <c r="O240" i="2"/>
  <c r="K216" i="3" s="1"/>
  <c r="O241" i="2"/>
  <c r="O242" i="2"/>
  <c r="K251" i="3" s="1"/>
  <c r="O243" i="2"/>
  <c r="O244" i="2"/>
  <c r="O245" i="2"/>
  <c r="K8" i="3" s="1"/>
  <c r="O246" i="2"/>
  <c r="K228" i="3" s="1"/>
  <c r="O247" i="2"/>
  <c r="O248" i="2"/>
  <c r="K12" i="3" s="1"/>
  <c r="O249" i="2"/>
  <c r="K236" i="3" s="1"/>
  <c r="O250" i="2"/>
  <c r="K259" i="3" s="1"/>
  <c r="O251" i="2"/>
  <c r="K189" i="3" s="1"/>
  <c r="O252" i="2"/>
  <c r="O253" i="2"/>
  <c r="O254" i="2"/>
  <c r="K261" i="3" s="1"/>
  <c r="O255" i="2"/>
  <c r="K235" i="3" s="1"/>
  <c r="O256" i="2"/>
  <c r="O257" i="2"/>
  <c r="O258" i="2"/>
  <c r="K207" i="3" s="1"/>
  <c r="O259" i="2"/>
  <c r="K177" i="3" s="1"/>
  <c r="O260" i="2"/>
  <c r="K244" i="3" s="1"/>
  <c r="O261" i="2"/>
  <c r="K188" i="3" s="1"/>
  <c r="O262" i="2"/>
  <c r="K192" i="3" s="1"/>
  <c r="O263" i="2"/>
  <c r="K14" i="3" s="1"/>
  <c r="O264" i="2"/>
  <c r="O265" i="2"/>
  <c r="O266" i="2"/>
  <c r="K264" i="3" s="1"/>
  <c r="O267" i="2"/>
  <c r="O268" i="2"/>
  <c r="K171" i="3" s="1"/>
  <c r="O269" i="2"/>
  <c r="K248" i="3" s="1"/>
  <c r="O270" i="2"/>
  <c r="O271" i="2"/>
  <c r="O272" i="2"/>
  <c r="O273" i="2"/>
  <c r="O274" i="2"/>
  <c r="K174" i="3" s="1"/>
  <c r="O275" i="2"/>
  <c r="K163" i="3" s="1"/>
  <c r="O276" i="2"/>
  <c r="O277" i="2"/>
  <c r="O278" i="2"/>
  <c r="K243" i="3" s="1"/>
  <c r="O279" i="2"/>
  <c r="K246" i="3" s="1"/>
  <c r="O280" i="2"/>
  <c r="O281" i="2"/>
  <c r="K197" i="3" s="1"/>
  <c r="O282" i="2"/>
  <c r="O283" i="2"/>
  <c r="O284" i="2"/>
  <c r="O285" i="2"/>
  <c r="K258" i="3" s="1"/>
  <c r="O286" i="2"/>
  <c r="K254" i="3" s="1"/>
  <c r="O287" i="2"/>
  <c r="K7" i="3" s="1"/>
  <c r="O288" i="2"/>
  <c r="O289" i="2"/>
  <c r="O290" i="2"/>
  <c r="O291" i="2"/>
  <c r="O292" i="2"/>
  <c r="K231" i="3" s="1"/>
  <c r="O293" i="2"/>
  <c r="K234" i="3" s="1"/>
  <c r="O294" i="2"/>
  <c r="K226" i="3" s="1"/>
  <c r="O295" i="2"/>
  <c r="O296" i="2"/>
  <c r="O297" i="2"/>
  <c r="O298" i="2"/>
  <c r="K221" i="3" s="1"/>
  <c r="O299" i="2"/>
  <c r="O300" i="2"/>
  <c r="K203" i="3" s="1"/>
  <c r="O301" i="2"/>
  <c r="O302" i="2"/>
  <c r="O303" i="2"/>
  <c r="O304" i="2"/>
  <c r="O305" i="2"/>
  <c r="K242" i="3" s="1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AI28" i="3" l="1"/>
  <c r="K143" i="3"/>
  <c r="Q196" i="3"/>
  <c r="K78" i="3"/>
  <c r="K51" i="3"/>
  <c r="K77" i="3"/>
  <c r="K43" i="3"/>
  <c r="Q37" i="3"/>
  <c r="W216" i="3"/>
  <c r="Q133" i="3"/>
  <c r="K24" i="3"/>
  <c r="K148" i="3"/>
  <c r="K139" i="3"/>
  <c r="W89" i="3"/>
  <c r="Q160" i="3"/>
  <c r="Q224" i="3"/>
  <c r="K130" i="3"/>
  <c r="W147" i="3"/>
  <c r="W67" i="3"/>
  <c r="W43" i="3"/>
  <c r="Q223" i="3"/>
  <c r="Q20" i="3"/>
  <c r="Q200" i="3"/>
  <c r="Q260" i="3"/>
  <c r="W168" i="3"/>
  <c r="W47" i="3"/>
  <c r="W64" i="3"/>
  <c r="Q151" i="3"/>
  <c r="K135" i="3"/>
  <c r="W109" i="3"/>
  <c r="Q159" i="3"/>
  <c r="K196" i="3"/>
  <c r="Q36" i="3"/>
  <c r="Q92" i="3"/>
  <c r="Q263" i="3"/>
  <c r="Q62" i="3"/>
  <c r="Q65" i="3"/>
  <c r="K90" i="3"/>
  <c r="W213" i="3"/>
  <c r="K115" i="3"/>
  <c r="Q214" i="3"/>
  <c r="Q60" i="3"/>
  <c r="W60" i="3"/>
  <c r="W98" i="3"/>
  <c r="Q91" i="3"/>
  <c r="Q213" i="3"/>
  <c r="W41" i="3"/>
  <c r="AH234" i="3"/>
  <c r="AH221" i="3"/>
  <c r="AH199" i="3"/>
  <c r="AH161" i="3"/>
  <c r="AH28" i="3"/>
  <c r="K100" i="3"/>
  <c r="W126" i="3"/>
  <c r="W203" i="3"/>
  <c r="W181" i="3"/>
  <c r="Q77" i="3"/>
  <c r="W66" i="3"/>
  <c r="W238" i="3"/>
  <c r="W215" i="3"/>
  <c r="W169" i="3"/>
  <c r="W32" i="3"/>
  <c r="K74" i="3"/>
  <c r="K107" i="3"/>
  <c r="K81" i="3"/>
  <c r="K126" i="3"/>
  <c r="Q84" i="3"/>
  <c r="Q55" i="3"/>
  <c r="Q113" i="3"/>
  <c r="K153" i="3"/>
  <c r="K40" i="3"/>
  <c r="K35" i="3"/>
  <c r="Q43" i="3"/>
  <c r="Q75" i="3"/>
  <c r="K72" i="3"/>
  <c r="K186" i="3"/>
  <c r="Q150" i="3"/>
  <c r="W198" i="3"/>
  <c r="W69" i="3"/>
  <c r="K52" i="3"/>
  <c r="W145" i="3"/>
  <c r="K69" i="3"/>
  <c r="Q143" i="3"/>
  <c r="K79" i="3"/>
  <c r="K94" i="3"/>
  <c r="K167" i="3"/>
  <c r="K55" i="3"/>
  <c r="K89" i="3"/>
  <c r="Q227" i="3"/>
  <c r="Q182" i="3"/>
  <c r="W99" i="3"/>
  <c r="Q32" i="3"/>
  <c r="Q185" i="3"/>
  <c r="Q74" i="3"/>
  <c r="K64" i="3"/>
  <c r="K37" i="3"/>
  <c r="W58" i="3"/>
  <c r="W81" i="3"/>
  <c r="W167" i="3"/>
  <c r="W224" i="3"/>
  <c r="W154" i="3"/>
  <c r="W82" i="3"/>
  <c r="W152" i="3"/>
  <c r="W170" i="3"/>
  <c r="W262" i="3"/>
  <c r="W205" i="3"/>
  <c r="W155" i="3"/>
  <c r="W113" i="3"/>
  <c r="W72" i="3"/>
  <c r="W130" i="3"/>
  <c r="W44" i="3"/>
  <c r="W95" i="3"/>
  <c r="W248" i="3"/>
  <c r="W117" i="3"/>
  <c r="W35" i="3"/>
  <c r="W156" i="3"/>
  <c r="W124" i="3"/>
  <c r="W26" i="3"/>
  <c r="W97" i="3"/>
  <c r="W184" i="3"/>
  <c r="W87" i="3"/>
  <c r="W157" i="3"/>
  <c r="W103" i="3"/>
  <c r="W118" i="3"/>
  <c r="W139" i="3"/>
  <c r="W93" i="3"/>
  <c r="W200" i="3"/>
  <c r="W140" i="3"/>
  <c r="W143" i="3"/>
  <c r="W7" i="3"/>
  <c r="W174" i="3"/>
  <c r="W196" i="3"/>
  <c r="W102" i="3"/>
  <c r="W227" i="3"/>
  <c r="W146" i="3"/>
  <c r="W105" i="3"/>
  <c r="W90" i="3"/>
  <c r="W195" i="3"/>
  <c r="W175" i="3"/>
  <c r="W246" i="3"/>
  <c r="W92" i="3"/>
  <c r="W110" i="3"/>
  <c r="W204" i="3"/>
  <c r="W182" i="3"/>
  <c r="W259" i="3"/>
  <c r="W183" i="3"/>
  <c r="W115" i="3"/>
  <c r="W164" i="3"/>
  <c r="W100" i="3"/>
  <c r="W129" i="3"/>
  <c r="W186" i="3"/>
  <c r="W53" i="3"/>
  <c r="W239" i="3"/>
  <c r="W76" i="3"/>
  <c r="W235" i="3"/>
  <c r="W245" i="3"/>
  <c r="W171" i="3"/>
  <c r="W251" i="3"/>
  <c r="W202" i="3"/>
  <c r="W178" i="3"/>
  <c r="W153" i="3"/>
  <c r="W159" i="3"/>
  <c r="W73" i="3"/>
  <c r="W128" i="3"/>
  <c r="W79" i="3"/>
  <c r="W225" i="3"/>
  <c r="W150" i="3"/>
  <c r="W162" i="3"/>
  <c r="W208" i="3"/>
  <c r="W136" i="3"/>
  <c r="W206" i="3"/>
  <c r="W180" i="3"/>
  <c r="W106" i="3"/>
  <c r="W176" i="3"/>
  <c r="W151" i="3"/>
  <c r="W131" i="3"/>
  <c r="W133" i="3"/>
  <c r="W107" i="3"/>
  <c r="W210" i="3"/>
  <c r="W148" i="3"/>
  <c r="W177" i="3"/>
  <c r="W132" i="3"/>
  <c r="W158" i="3"/>
  <c r="W75" i="3"/>
  <c r="W173" i="3"/>
  <c r="W94" i="3"/>
  <c r="W54" i="3"/>
  <c r="W165" i="3"/>
  <c r="W138" i="3"/>
  <c r="W187" i="3"/>
  <c r="W119" i="3"/>
  <c r="W70" i="3"/>
  <c r="AE26" i="3"/>
  <c r="AD195" i="3"/>
  <c r="AD26" i="3"/>
  <c r="AE195" i="3"/>
  <c r="AE11" i="3"/>
  <c r="AD11" i="3"/>
  <c r="AD262" i="3"/>
  <c r="AE262" i="3"/>
  <c r="W172" i="3"/>
  <c r="W101" i="3"/>
  <c r="W214" i="3"/>
  <c r="W185" i="3"/>
  <c r="W88" i="3"/>
  <c r="W247" i="3"/>
  <c r="W34" i="3"/>
  <c r="W256" i="3"/>
  <c r="W112" i="3"/>
  <c r="W125" i="3"/>
  <c r="W226" i="3"/>
  <c r="W123" i="3"/>
  <c r="W63" i="3"/>
  <c r="W108" i="3"/>
  <c r="W220" i="3"/>
  <c r="W56" i="3"/>
  <c r="W111" i="3"/>
  <c r="W135" i="3"/>
  <c r="W149" i="3"/>
  <c r="W223" i="3"/>
  <c r="W142" i="3"/>
  <c r="W104" i="3"/>
  <c r="W45" i="3"/>
  <c r="W85" i="3"/>
  <c r="W127" i="3"/>
  <c r="W65" i="3"/>
  <c r="W218" i="3"/>
  <c r="W254" i="3"/>
  <c r="W209" i="3"/>
  <c r="W122" i="3"/>
  <c r="W120" i="3"/>
  <c r="W222" i="3"/>
  <c r="W83" i="3"/>
  <c r="W121" i="3"/>
  <c r="W141" i="3"/>
  <c r="W33" i="3"/>
  <c r="W241" i="3"/>
  <c r="W42" i="3"/>
  <c r="W96" i="3"/>
  <c r="W74" i="3"/>
  <c r="W37" i="3"/>
  <c r="W36" i="3"/>
  <c r="W161" i="3"/>
  <c r="W84" i="3"/>
  <c r="W91" i="3"/>
  <c r="W86" i="3"/>
  <c r="W114" i="3"/>
  <c r="W48" i="3"/>
  <c r="Q69" i="3"/>
  <c r="Q76" i="3"/>
  <c r="Q41" i="3"/>
  <c r="Q72" i="3"/>
  <c r="Q68" i="3"/>
  <c r="Q127" i="3"/>
  <c r="Q111" i="3"/>
  <c r="Q216" i="3"/>
  <c r="Q241" i="3"/>
  <c r="Q110" i="3"/>
  <c r="Q99" i="3"/>
  <c r="Q63" i="3"/>
  <c r="Q167" i="3"/>
  <c r="Q194" i="3"/>
  <c r="Q199" i="3"/>
  <c r="Q112" i="3"/>
  <c r="Q134" i="3"/>
  <c r="Q81" i="3"/>
  <c r="Q252" i="3"/>
  <c r="Q122" i="3"/>
  <c r="Q147" i="3"/>
  <c r="Q121" i="3"/>
  <c r="Q148" i="3"/>
  <c r="Q158" i="3"/>
  <c r="Q107" i="3"/>
  <c r="Q104" i="3"/>
  <c r="Q154" i="3"/>
  <c r="Q101" i="3"/>
  <c r="Q22" i="3"/>
  <c r="Q170" i="3"/>
  <c r="Q156" i="3"/>
  <c r="Q70" i="3"/>
  <c r="Q233" i="3"/>
  <c r="Q144" i="3"/>
  <c r="Q48" i="3"/>
  <c r="Q228" i="3"/>
  <c r="Q235" i="3"/>
  <c r="Q61" i="3"/>
  <c r="Q57" i="3"/>
  <c r="Q33" i="3"/>
  <c r="Q85" i="3"/>
  <c r="Q135" i="3"/>
  <c r="Q45" i="3"/>
  <c r="Q96" i="3"/>
  <c r="Q126" i="3"/>
  <c r="Q174" i="3"/>
  <c r="Q205" i="3"/>
  <c r="Q168" i="3"/>
  <c r="Q153" i="3"/>
  <c r="Q16" i="3"/>
  <c r="Q125" i="3"/>
  <c r="Q105" i="3"/>
  <c r="Q130" i="3"/>
  <c r="Q44" i="3"/>
  <c r="Q117" i="3"/>
  <c r="Q39" i="3"/>
  <c r="Q106" i="3"/>
  <c r="Q40" i="3"/>
  <c r="Q172" i="3"/>
  <c r="Q64" i="3"/>
  <c r="Q71" i="3"/>
  <c r="Q211" i="3"/>
  <c r="Q98" i="3"/>
  <c r="Q38" i="3"/>
  <c r="Q56" i="3"/>
  <c r="Q54" i="3"/>
  <c r="Q34" i="3"/>
  <c r="Q95" i="3"/>
  <c r="Q102" i="3"/>
  <c r="Q100" i="3"/>
  <c r="Q198" i="3"/>
  <c r="Q152" i="3"/>
  <c r="Q208" i="3"/>
  <c r="Q225" i="3"/>
  <c r="Q142" i="3"/>
  <c r="Q177" i="3"/>
  <c r="Q120" i="3"/>
  <c r="Q88" i="3"/>
  <c r="Q67" i="3"/>
  <c r="Q46" i="3"/>
  <c r="Q52" i="3"/>
  <c r="Q49" i="3"/>
  <c r="Q169" i="3"/>
  <c r="Q124" i="3"/>
  <c r="Q29" i="3"/>
  <c r="Q103" i="3"/>
  <c r="Q83" i="3"/>
  <c r="Q184" i="3"/>
  <c r="AC26" i="3"/>
  <c r="AC195" i="3"/>
  <c r="AC11" i="3"/>
  <c r="AC262" i="3"/>
  <c r="Q210" i="3"/>
  <c r="Q47" i="3"/>
  <c r="Q109" i="3"/>
  <c r="Q131" i="3"/>
  <c r="Q78" i="3"/>
  <c r="Q51" i="3"/>
  <c r="Q27" i="3"/>
  <c r="Q221" i="3"/>
  <c r="Q161" i="3"/>
  <c r="Q82" i="3"/>
  <c r="Q149" i="3"/>
  <c r="Q86" i="3"/>
  <c r="Q191" i="3"/>
  <c r="Q87" i="3"/>
  <c r="Q141" i="3"/>
  <c r="Q209" i="3"/>
  <c r="Q207" i="3"/>
  <c r="Q176" i="3"/>
  <c r="Q79" i="3"/>
  <c r="Q42" i="3"/>
  <c r="Q222" i="3"/>
  <c r="Q35" i="3"/>
  <c r="Q114" i="3"/>
  <c r="Q50" i="3"/>
  <c r="Q119" i="3"/>
  <c r="Q118" i="3"/>
  <c r="Q215" i="3"/>
  <c r="Q116" i="3"/>
  <c r="Q90" i="3"/>
  <c r="Q89" i="3"/>
  <c r="Q132" i="3"/>
  <c r="Q93" i="3"/>
  <c r="Q128" i="3"/>
  <c r="Q58" i="3"/>
  <c r="Q137" i="3"/>
  <c r="Q73" i="3"/>
  <c r="Q66" i="3"/>
  <c r="K214" i="3"/>
  <c r="K95" i="3"/>
  <c r="K109" i="3"/>
  <c r="K124" i="3"/>
  <c r="K205" i="3"/>
  <c r="K16" i="3"/>
  <c r="K80" i="3"/>
  <c r="K60" i="3"/>
  <c r="K209" i="3"/>
  <c r="K76" i="3"/>
  <c r="K194" i="3"/>
  <c r="K200" i="3"/>
  <c r="K146" i="3"/>
  <c r="K182" i="3"/>
  <c r="K117" i="3"/>
  <c r="K187" i="3"/>
  <c r="K86" i="3"/>
  <c r="K241" i="3"/>
  <c r="K161" i="3"/>
  <c r="K128" i="3"/>
  <c r="K141" i="3"/>
  <c r="K92" i="3"/>
  <c r="K140" i="3"/>
  <c r="K75" i="3"/>
  <c r="K87" i="3"/>
  <c r="K53" i="3"/>
  <c r="K39" i="3"/>
  <c r="K202" i="3"/>
  <c r="K112" i="3"/>
  <c r="K132" i="3"/>
  <c r="K215" i="3"/>
  <c r="K34" i="3"/>
  <c r="K98" i="3"/>
  <c r="K136" i="3"/>
  <c r="K157" i="3"/>
  <c r="K253" i="3"/>
  <c r="K173" i="3"/>
  <c r="K48" i="3"/>
  <c r="K256" i="3"/>
  <c r="K57" i="3"/>
  <c r="K193" i="3"/>
  <c r="K123" i="3"/>
  <c r="K36" i="3"/>
  <c r="K62" i="3"/>
  <c r="K85" i="3"/>
  <c r="K44" i="3"/>
  <c r="K28" i="3"/>
  <c r="K149" i="3"/>
  <c r="K212" i="3"/>
  <c r="K263" i="3"/>
  <c r="K59" i="3"/>
  <c r="K175" i="3"/>
  <c r="K138" i="3"/>
  <c r="K41" i="3"/>
  <c r="K156" i="3"/>
  <c r="K180" i="3"/>
  <c r="K96" i="3"/>
  <c r="K63" i="3"/>
  <c r="K190" i="3"/>
  <c r="K219" i="3"/>
  <c r="K233" i="3"/>
  <c r="K162" i="3"/>
  <c r="K91" i="3"/>
  <c r="K208" i="3"/>
  <c r="K160" i="3"/>
  <c r="K151" i="3"/>
  <c r="K137" i="3"/>
  <c r="K181" i="3"/>
  <c r="AB195" i="3"/>
  <c r="AB26" i="3"/>
  <c r="AB11" i="3"/>
  <c r="AB262" i="3"/>
  <c r="K185" i="3"/>
  <c r="K178" i="3"/>
  <c r="K119" i="3"/>
  <c r="K223" i="3"/>
  <c r="K145" i="3"/>
  <c r="K66" i="3"/>
  <c r="K206" i="3"/>
  <c r="K102" i="3"/>
  <c r="K152" i="3"/>
  <c r="K222" i="3"/>
  <c r="K113" i="3"/>
  <c r="K179" i="3"/>
  <c r="K218" i="3"/>
  <c r="K58" i="3"/>
  <c r="K49" i="3"/>
  <c r="K229" i="3"/>
  <c r="K245" i="3"/>
  <c r="K121" i="3"/>
  <c r="K125" i="3"/>
  <c r="K227" i="3"/>
  <c r="K172" i="3"/>
  <c r="K67" i="3"/>
  <c r="K108" i="3"/>
  <c r="K111" i="3"/>
  <c r="K176" i="3"/>
  <c r="K183" i="3"/>
  <c r="K105" i="3"/>
  <c r="K118" i="3"/>
  <c r="K54" i="3"/>
  <c r="K122" i="3"/>
  <c r="K56" i="3"/>
  <c r="AB166" i="3"/>
  <c r="K142" i="3"/>
  <c r="K20" i="3"/>
  <c r="K150" i="3"/>
  <c r="K225" i="3"/>
  <c r="K217" i="3"/>
  <c r="K204" i="3"/>
  <c r="K99" i="3"/>
  <c r="K168" i="3"/>
  <c r="K42" i="3"/>
  <c r="K97" i="3"/>
  <c r="K114" i="3"/>
  <c r="K83" i="3"/>
  <c r="K238" i="3"/>
  <c r="K101" i="3"/>
  <c r="K169" i="3"/>
  <c r="K154" i="3"/>
  <c r="K134" i="3"/>
  <c r="K116" i="3"/>
  <c r="K210" i="3"/>
  <c r="G82" i="14"/>
  <c r="F83" i="14"/>
  <c r="G158" i="14"/>
  <c r="F159" i="14"/>
  <c r="G120" i="14"/>
  <c r="F121" i="14"/>
  <c r="AF254" i="3"/>
  <c r="AF13" i="3"/>
  <c r="AF68" i="3"/>
  <c r="Y207" i="14"/>
  <c r="X208" i="14"/>
  <c r="AI221" i="3"/>
  <c r="AI125" i="3"/>
  <c r="AI111" i="3"/>
  <c r="AG230" i="14"/>
  <c r="AH229" i="14"/>
  <c r="AI241" i="3" s="1"/>
  <c r="AI94" i="3"/>
  <c r="AG40" i="14"/>
  <c r="AH39" i="14"/>
  <c r="AH208" i="14"/>
  <c r="AG209" i="14"/>
  <c r="Y227" i="14"/>
  <c r="AH223" i="3" s="1"/>
  <c r="X228" i="14"/>
  <c r="Y42" i="14"/>
  <c r="AH240" i="3" s="1"/>
  <c r="X43" i="14"/>
  <c r="Y43" i="14" s="1"/>
  <c r="AH11" i="3" s="1"/>
  <c r="AG37" i="3"/>
  <c r="O158" i="14"/>
  <c r="AG66" i="3"/>
  <c r="AG112" i="3"/>
  <c r="O39" i="14"/>
  <c r="AG7" i="3"/>
  <c r="AG238" i="3"/>
  <c r="O211" i="14"/>
  <c r="AG231" i="3"/>
  <c r="Y110" i="3"/>
  <c r="Y66" i="3"/>
  <c r="Y186" i="3"/>
  <c r="Y71" i="3"/>
  <c r="Y141" i="3"/>
  <c r="Y54" i="3"/>
  <c r="Y201" i="3"/>
  <c r="Y81" i="3"/>
  <c r="Y194" i="3"/>
  <c r="Y103" i="3"/>
  <c r="Y229" i="3"/>
  <c r="Y75" i="3"/>
  <c r="Y241" i="3"/>
  <c r="Y44" i="3"/>
  <c r="Y223" i="3"/>
  <c r="Y151" i="3"/>
  <c r="Y210" i="3"/>
  <c r="Y100" i="3"/>
  <c r="Y85" i="3"/>
  <c r="Y204" i="3"/>
  <c r="Y122" i="3"/>
  <c r="Y35" i="3"/>
  <c r="Y129" i="3"/>
  <c r="Y55" i="3"/>
  <c r="Y238" i="3"/>
  <c r="Y73" i="3"/>
  <c r="Y45" i="3"/>
  <c r="Y173" i="3"/>
  <c r="Y172" i="3"/>
  <c r="Y22" i="3"/>
  <c r="Y115" i="3"/>
  <c r="Y114" i="3"/>
  <c r="Y16" i="3"/>
  <c r="Y94" i="3"/>
  <c r="Y25" i="3"/>
  <c r="Y174" i="3"/>
  <c r="Y130" i="3"/>
  <c r="Y52" i="3"/>
  <c r="Y212" i="3"/>
  <c r="Y29" i="3"/>
  <c r="Y197" i="3"/>
  <c r="Y89" i="3"/>
  <c r="Y80" i="3"/>
  <c r="Y41" i="3"/>
  <c r="Y199" i="3"/>
  <c r="Y188" i="3"/>
  <c r="Y23" i="3"/>
  <c r="Y216" i="3"/>
  <c r="Y59" i="3"/>
  <c r="Y253" i="3"/>
  <c r="Y236" i="3"/>
  <c r="Y58" i="3"/>
  <c r="Y74" i="3"/>
  <c r="Y62" i="3"/>
  <c r="Y207" i="3"/>
  <c r="Y154" i="3"/>
  <c r="Y138" i="3"/>
  <c r="Y49" i="3"/>
  <c r="Y109" i="3"/>
  <c r="Y118" i="3"/>
  <c r="Y142" i="3"/>
  <c r="Y98" i="3"/>
  <c r="Y131" i="3"/>
  <c r="Y221" i="3"/>
  <c r="Y57" i="3"/>
  <c r="Y191" i="3"/>
  <c r="Y202" i="3"/>
  <c r="Y40" i="3"/>
  <c r="Y260" i="3"/>
  <c r="Y88" i="3"/>
  <c r="Y119" i="3"/>
  <c r="Y159" i="3"/>
  <c r="Y104" i="3"/>
  <c r="Y93" i="3"/>
  <c r="Y209" i="3"/>
  <c r="Y185" i="3"/>
  <c r="Y247" i="3"/>
  <c r="Y148" i="3"/>
  <c r="Y50" i="3"/>
  <c r="Y32" i="3"/>
  <c r="Y99" i="3"/>
  <c r="Y189" i="3"/>
  <c r="Y79" i="3"/>
  <c r="Y203" i="3"/>
  <c r="Y61" i="3"/>
  <c r="Y205" i="3"/>
  <c r="Y31" i="3"/>
  <c r="Y181" i="3"/>
  <c r="Y69" i="3"/>
  <c r="Y176" i="3"/>
  <c r="Y91" i="3"/>
  <c r="Y116" i="3"/>
  <c r="Y169" i="3"/>
  <c r="Y232" i="3"/>
  <c r="Y198" i="3"/>
  <c r="Y230" i="3"/>
  <c r="Y240" i="3"/>
  <c r="Y155" i="3"/>
  <c r="Y107" i="3"/>
  <c r="Y106" i="3"/>
  <c r="Y38" i="3"/>
  <c r="Y77" i="3"/>
  <c r="Y165" i="3"/>
  <c r="Y193" i="3"/>
  <c r="Y164" i="3"/>
  <c r="Y163" i="3"/>
  <c r="Y255" i="3"/>
  <c r="Y196" i="3"/>
  <c r="Y92" i="3"/>
  <c r="Y78" i="3"/>
  <c r="Y36" i="3"/>
  <c r="Y184" i="3"/>
  <c r="Y160" i="3"/>
  <c r="Y175" i="3"/>
  <c r="Y124" i="3"/>
  <c r="Y218" i="3"/>
  <c r="Y87" i="3"/>
  <c r="Y97" i="3"/>
  <c r="Y231" i="3"/>
  <c r="Y132" i="3"/>
  <c r="Y261" i="3"/>
  <c r="Y105" i="3"/>
  <c r="Y60" i="3"/>
  <c r="Y82" i="3"/>
  <c r="Y113" i="3"/>
  <c r="Y239" i="3"/>
  <c r="Y56" i="3"/>
  <c r="Y149" i="3"/>
  <c r="Y143" i="3"/>
  <c r="Y37" i="3"/>
  <c r="Y246" i="3"/>
  <c r="Y222" i="3"/>
  <c r="Y127" i="3"/>
  <c r="Y84" i="3"/>
  <c r="Y144" i="3"/>
  <c r="Y147" i="3"/>
  <c r="AD8" i="3"/>
  <c r="AD243" i="3"/>
  <c r="AD148" i="3"/>
  <c r="AD226" i="3"/>
  <c r="AE180" i="3"/>
  <c r="AD99" i="3"/>
  <c r="AE189" i="3"/>
  <c r="AD222" i="3"/>
  <c r="AD21" i="3"/>
  <c r="AE27" i="3"/>
  <c r="AE99" i="3"/>
  <c r="AD108" i="3"/>
  <c r="AD233" i="3"/>
  <c r="AE17" i="3"/>
  <c r="AE104" i="3"/>
  <c r="AE20" i="3"/>
  <c r="AD101" i="3"/>
  <c r="AE175" i="3"/>
  <c r="AD114" i="3"/>
  <c r="AD242" i="3"/>
  <c r="AE229" i="3"/>
  <c r="AE250" i="3"/>
  <c r="AE48" i="3"/>
  <c r="AD224" i="3"/>
  <c r="AE183" i="3"/>
  <c r="AD171" i="3"/>
  <c r="AE232" i="3"/>
  <c r="AD41" i="3"/>
  <c r="AE150" i="3"/>
  <c r="AE56" i="3"/>
  <c r="AD34" i="3"/>
  <c r="AE98" i="3"/>
  <c r="AE254" i="3"/>
  <c r="AD203" i="3"/>
  <c r="AD66" i="3"/>
  <c r="AD174" i="3"/>
  <c r="AE162" i="3"/>
  <c r="AD188" i="3"/>
  <c r="AE154" i="3"/>
  <c r="AD56" i="3"/>
  <c r="AE67" i="3"/>
  <c r="AD194" i="3"/>
  <c r="AE140" i="3"/>
  <c r="AE120" i="3"/>
  <c r="AD69" i="3"/>
  <c r="AE40" i="3"/>
  <c r="AE137" i="3"/>
  <c r="AE209" i="3"/>
  <c r="AE41" i="3"/>
  <c r="AE193" i="3"/>
  <c r="AE218" i="3"/>
  <c r="AE143" i="3"/>
  <c r="AE63" i="3"/>
  <c r="AE161" i="3"/>
  <c r="AE93" i="3"/>
  <c r="AE208" i="3"/>
  <c r="AD192" i="3"/>
  <c r="AD28" i="3"/>
  <c r="AE185" i="3"/>
  <c r="AE29" i="3"/>
  <c r="AE157" i="3"/>
  <c r="AE249" i="3"/>
  <c r="AE57" i="3"/>
  <c r="AD46" i="3"/>
  <c r="AD158" i="3"/>
  <c r="AD122" i="3"/>
  <c r="AD208" i="3"/>
  <c r="AE242" i="3"/>
  <c r="AD127" i="3"/>
  <c r="AD132" i="3"/>
  <c r="AE84" i="3"/>
  <c r="AE96" i="3"/>
  <c r="AE176" i="3"/>
  <c r="AD32" i="3"/>
  <c r="AD105" i="3"/>
  <c r="AE188" i="3"/>
  <c r="AD176" i="3"/>
  <c r="AE204" i="3"/>
  <c r="AE205" i="3"/>
  <c r="AD231" i="3"/>
  <c r="AE213" i="3"/>
  <c r="AE246" i="3"/>
  <c r="AD29" i="3"/>
  <c r="AD18" i="3"/>
  <c r="AD112" i="3"/>
  <c r="AD168" i="3"/>
  <c r="AE94" i="3"/>
  <c r="AE225" i="3"/>
  <c r="AD259" i="3"/>
  <c r="AE206" i="3"/>
  <c r="AD138" i="3"/>
  <c r="AE146" i="3"/>
  <c r="AD182" i="3"/>
  <c r="AD167" i="3"/>
  <c r="AE169" i="3"/>
  <c r="AD77" i="3"/>
  <c r="AD104" i="3"/>
  <c r="AD160" i="3"/>
  <c r="AE49" i="3"/>
  <c r="AE244" i="3"/>
  <c r="AE43" i="3"/>
  <c r="AE107" i="3"/>
  <c r="AD59" i="3"/>
  <c r="AD170" i="3"/>
  <c r="AD75" i="3"/>
  <c r="AE198" i="3"/>
  <c r="AD30" i="3"/>
  <c r="AE80" i="3"/>
  <c r="AE88" i="3"/>
  <c r="AE147" i="3"/>
  <c r="AE207" i="3"/>
  <c r="AE223" i="3"/>
  <c r="AD12" i="3"/>
  <c r="AD38" i="3"/>
  <c r="AE47" i="3"/>
  <c r="AE202" i="3"/>
  <c r="AD178" i="3"/>
  <c r="AD247" i="3"/>
  <c r="AD228" i="3"/>
  <c r="AE241" i="3"/>
  <c r="AE100" i="3"/>
  <c r="AD220" i="3"/>
  <c r="AE156" i="3"/>
  <c r="AE60" i="3"/>
  <c r="AE64" i="3"/>
  <c r="AE87" i="3"/>
  <c r="AD110" i="3"/>
  <c r="AD19" i="3"/>
  <c r="AD50" i="3"/>
  <c r="AD117" i="3"/>
  <c r="AE34" i="3"/>
  <c r="AE44" i="3"/>
  <c r="AD82" i="3"/>
  <c r="AE145" i="3"/>
  <c r="AE234" i="3"/>
  <c r="AE91" i="3"/>
  <c r="AE222" i="3"/>
  <c r="AD52" i="3"/>
  <c r="AD218" i="3"/>
  <c r="AE22" i="3"/>
  <c r="AE173" i="3"/>
  <c r="AD48" i="3"/>
  <c r="AD90" i="3"/>
  <c r="AE235" i="3"/>
  <c r="AD169" i="3"/>
  <c r="AE124" i="3"/>
  <c r="AE42" i="3"/>
  <c r="AD198" i="3"/>
  <c r="AD177" i="3"/>
  <c r="AD100" i="3"/>
  <c r="AD58" i="3"/>
  <c r="AD36" i="3"/>
  <c r="AD128" i="3"/>
  <c r="AD201" i="3"/>
  <c r="AE23" i="3"/>
  <c r="AE108" i="3"/>
  <c r="AE89" i="3"/>
  <c r="AD180" i="3"/>
  <c r="AD124" i="3"/>
  <c r="AE25" i="3"/>
  <c r="AD152" i="3"/>
  <c r="AE82" i="3"/>
  <c r="AE46" i="3"/>
  <c r="AE248" i="3"/>
  <c r="AE170" i="3"/>
  <c r="AD118" i="3"/>
  <c r="AD65" i="3"/>
  <c r="AE219" i="3"/>
  <c r="AE65" i="3"/>
  <c r="AE190" i="3"/>
  <c r="AD130" i="3"/>
  <c r="AD78" i="3"/>
  <c r="AE217" i="3"/>
  <c r="AE264" i="3"/>
  <c r="AE221" i="3"/>
  <c r="AD24" i="3"/>
  <c r="AE37" i="3"/>
  <c r="AD156" i="3"/>
  <c r="AE115" i="3"/>
  <c r="AD85" i="3"/>
  <c r="AD93" i="3"/>
  <c r="AD43" i="3"/>
  <c r="AE125" i="3"/>
  <c r="AD39" i="3"/>
  <c r="AD255" i="3"/>
  <c r="AD89" i="3"/>
  <c r="AE10" i="3"/>
  <c r="AD131" i="3"/>
  <c r="AE152" i="3"/>
  <c r="AD139" i="3"/>
  <c r="AD237" i="3"/>
  <c r="AD209" i="3"/>
  <c r="AD125" i="3"/>
  <c r="AE194" i="3"/>
  <c r="AE160" i="3"/>
  <c r="AD265" i="3"/>
  <c r="AD145" i="3"/>
  <c r="AE55" i="3"/>
  <c r="AE139" i="3"/>
  <c r="AD97" i="3"/>
  <c r="AE18" i="3"/>
  <c r="AE15" i="3"/>
  <c r="AE226" i="3"/>
  <c r="AE191" i="3"/>
  <c r="AD212" i="3"/>
  <c r="AD103" i="3"/>
  <c r="AE203" i="3"/>
  <c r="AE230" i="3"/>
  <c r="AD249" i="3"/>
  <c r="AE105" i="3"/>
  <c r="AE167" i="3"/>
  <c r="AD236" i="3"/>
  <c r="AE86" i="3"/>
  <c r="AE117" i="3"/>
  <c r="AD129" i="3"/>
  <c r="AE102" i="3"/>
  <c r="AE19" i="3"/>
  <c r="AD106" i="3"/>
  <c r="AE78" i="3"/>
  <c r="AE178" i="3"/>
  <c r="AD215" i="3"/>
  <c r="AE141" i="3"/>
  <c r="AD37" i="3"/>
  <c r="AE59" i="3"/>
  <c r="AE50" i="3"/>
  <c r="AE199" i="3"/>
  <c r="AD185" i="3"/>
  <c r="AD232" i="3"/>
  <c r="AE201" i="3"/>
  <c r="AD244" i="3"/>
  <c r="AE69" i="3"/>
  <c r="AD206" i="3"/>
  <c r="AE45" i="3"/>
  <c r="AE38" i="3"/>
  <c r="AE149" i="3"/>
  <c r="AD193" i="3"/>
  <c r="AE165" i="3"/>
  <c r="AD107" i="3"/>
  <c r="AD230" i="3"/>
  <c r="AD94" i="3"/>
  <c r="AD136" i="3"/>
  <c r="AE233" i="3"/>
  <c r="AD161" i="3"/>
  <c r="AE72" i="3"/>
  <c r="AD72" i="3"/>
  <c r="AE103" i="3"/>
  <c r="AD81" i="3"/>
  <c r="AE245" i="3"/>
  <c r="AE239" i="3"/>
  <c r="AE228" i="3"/>
  <c r="AE85" i="3"/>
  <c r="AD256" i="3"/>
  <c r="AD144" i="3"/>
  <c r="AE212" i="3"/>
  <c r="AE121" i="3"/>
  <c r="AE73" i="3"/>
  <c r="AD235" i="3"/>
  <c r="AD264" i="3"/>
  <c r="AE51" i="3"/>
  <c r="AE119" i="3"/>
  <c r="AD196" i="3"/>
  <c r="AE62" i="3"/>
  <c r="AE36" i="3"/>
  <c r="AE133" i="3"/>
  <c r="AD64" i="3"/>
  <c r="AD62" i="3"/>
  <c r="AD9" i="3"/>
  <c r="AE109" i="3"/>
  <c r="AD123" i="3"/>
  <c r="AD254" i="3"/>
  <c r="AD239" i="3"/>
  <c r="AD163" i="3"/>
  <c r="AE132" i="3"/>
  <c r="AE71" i="3"/>
  <c r="AE236" i="3"/>
  <c r="AE79" i="3"/>
  <c r="AE153" i="3"/>
  <c r="AD240" i="3"/>
  <c r="AE174" i="3"/>
  <c r="AE53" i="3"/>
  <c r="AD126" i="3"/>
  <c r="AE122" i="3"/>
  <c r="AD147" i="3"/>
  <c r="AE220" i="3"/>
  <c r="AD10" i="3"/>
  <c r="AD217" i="3"/>
  <c r="AD27" i="3"/>
  <c r="AE197" i="3"/>
  <c r="AE95" i="3"/>
  <c r="AE252" i="3"/>
  <c r="AD153" i="3"/>
  <c r="AD121" i="3"/>
  <c r="AD204" i="3"/>
  <c r="AE224" i="3"/>
  <c r="AD55" i="3"/>
  <c r="AE172" i="3"/>
  <c r="AE75" i="3"/>
  <c r="AE158" i="3"/>
  <c r="AD190" i="3"/>
  <c r="AD80" i="3"/>
  <c r="AE14" i="3"/>
  <c r="AE258" i="3"/>
  <c r="AE144" i="3"/>
  <c r="AD141" i="3"/>
  <c r="AE81" i="3"/>
  <c r="AE83" i="3"/>
  <c r="AD234" i="3"/>
  <c r="AE151" i="3"/>
  <c r="AD120" i="3"/>
  <c r="AE66" i="3"/>
  <c r="AD191" i="3"/>
  <c r="AD258" i="3"/>
  <c r="AE227" i="3"/>
  <c r="AD7" i="3"/>
  <c r="AD133" i="3"/>
  <c r="AD86" i="3"/>
  <c r="AE126" i="3"/>
  <c r="AD162" i="3"/>
  <c r="AD261" i="3"/>
  <c r="AD83" i="3"/>
  <c r="AD109" i="3"/>
  <c r="AE263" i="3"/>
  <c r="AD260" i="3"/>
  <c r="AD73" i="3"/>
  <c r="AE255" i="3"/>
  <c r="AD172" i="3"/>
  <c r="AD91" i="3"/>
  <c r="AE155" i="3"/>
  <c r="AD47" i="3"/>
  <c r="AE24" i="3"/>
  <c r="AE111" i="3"/>
  <c r="AD181" i="3"/>
  <c r="AE265" i="3"/>
  <c r="AD13" i="3"/>
  <c r="AD71" i="3"/>
  <c r="AE31" i="3"/>
  <c r="AE110" i="3"/>
  <c r="AE214" i="3"/>
  <c r="AD245" i="3"/>
  <c r="AE7" i="3"/>
  <c r="AD227" i="3"/>
  <c r="AD92" i="3"/>
  <c r="AE253" i="3"/>
  <c r="AE8" i="3"/>
  <c r="AD186" i="3"/>
  <c r="AD199" i="3"/>
  <c r="AE92" i="3"/>
  <c r="AD115" i="3"/>
  <c r="AD134" i="3"/>
  <c r="AD15" i="3"/>
  <c r="AE184" i="3"/>
  <c r="AE9" i="3"/>
  <c r="AE251" i="3"/>
  <c r="AD154" i="3"/>
  <c r="AE21" i="3"/>
  <c r="AE186" i="3"/>
  <c r="AD23" i="3"/>
  <c r="AE116" i="3"/>
  <c r="AD140" i="3"/>
  <c r="AD63" i="3"/>
  <c r="AE33" i="3"/>
  <c r="AD207" i="3"/>
  <c r="AD111" i="3"/>
  <c r="AD248" i="3"/>
  <c r="AE114" i="3"/>
  <c r="AE76" i="3"/>
  <c r="AE35" i="3"/>
  <c r="AE68" i="3"/>
  <c r="AD74" i="3"/>
  <c r="AD96" i="3"/>
  <c r="AD213" i="3"/>
  <c r="AD68" i="3"/>
  <c r="AE123" i="3"/>
  <c r="AD252" i="3"/>
  <c r="AD175" i="3"/>
  <c r="AE13" i="3"/>
  <c r="AE131" i="3"/>
  <c r="AD98" i="3"/>
  <c r="AD223" i="3"/>
  <c r="AD219" i="3"/>
  <c r="AD42" i="3"/>
  <c r="AD179" i="3"/>
  <c r="AD263" i="3"/>
  <c r="AD216" i="3"/>
  <c r="AD35" i="3"/>
  <c r="AE148" i="3"/>
  <c r="AE182" i="3"/>
  <c r="AD149" i="3"/>
  <c r="AE30" i="3"/>
  <c r="AE243" i="3"/>
  <c r="AE231" i="3"/>
  <c r="AD135" i="3"/>
  <c r="AD102" i="3"/>
  <c r="AE101" i="3"/>
  <c r="AE138" i="3"/>
  <c r="AD53" i="3"/>
  <c r="AD211" i="3"/>
  <c r="AD88" i="3"/>
  <c r="AD146" i="3"/>
  <c r="AD210" i="3"/>
  <c r="AE192" i="3"/>
  <c r="AE187" i="3"/>
  <c r="AE257" i="3"/>
  <c r="AD119" i="3"/>
  <c r="AD33" i="3"/>
  <c r="AD54" i="3"/>
  <c r="AD57" i="3"/>
  <c r="AD155" i="3"/>
  <c r="AD137" i="3"/>
  <c r="AD183" i="3"/>
  <c r="AE164" i="3"/>
  <c r="AE179" i="3"/>
  <c r="AE210" i="3"/>
  <c r="AE32" i="3"/>
  <c r="AE216" i="3"/>
  <c r="AE54" i="3"/>
  <c r="AE247" i="3"/>
  <c r="AD187" i="3"/>
  <c r="AD143" i="3"/>
  <c r="AE136" i="3"/>
  <c r="AE130" i="3"/>
  <c r="AD113" i="3"/>
  <c r="AE256" i="3"/>
  <c r="AE171" i="3"/>
  <c r="AD151" i="3"/>
  <c r="AD16" i="3"/>
  <c r="AD159" i="3"/>
  <c r="AD14" i="3"/>
  <c r="AD87" i="3"/>
  <c r="AD197" i="3"/>
  <c r="AD61" i="3"/>
  <c r="AD202" i="3"/>
  <c r="AE97" i="3"/>
  <c r="AD17" i="3"/>
  <c r="AE112" i="3"/>
  <c r="AD44" i="3"/>
  <c r="AD173" i="3"/>
  <c r="AD253" i="3"/>
  <c r="AE74" i="3"/>
  <c r="AE28" i="3"/>
  <c r="AE240" i="3"/>
  <c r="AD238" i="3"/>
  <c r="AD79" i="3"/>
  <c r="AE200" i="3"/>
  <c r="AD51" i="3"/>
  <c r="AD241" i="3"/>
  <c r="AD246" i="3"/>
  <c r="AD205" i="3"/>
  <c r="AD251" i="3"/>
  <c r="AE129" i="3"/>
  <c r="AD164" i="3"/>
  <c r="AD200" i="3"/>
  <c r="AD31" i="3"/>
  <c r="AD67" i="3"/>
  <c r="AE181" i="3"/>
  <c r="AD40" i="3"/>
  <c r="AD49" i="3"/>
  <c r="AD214" i="3"/>
  <c r="AE177" i="3"/>
  <c r="AE113" i="3"/>
  <c r="AE118" i="3"/>
  <c r="AE12" i="3"/>
  <c r="AD20" i="3"/>
  <c r="AE237" i="3"/>
  <c r="AE168" i="3"/>
  <c r="AD70" i="3"/>
  <c r="AD25" i="3"/>
  <c r="AE70" i="3"/>
  <c r="AE90" i="3"/>
  <c r="AE106" i="3"/>
  <c r="AD22" i="3"/>
  <c r="AD60" i="3"/>
  <c r="AD76" i="3"/>
  <c r="AE58" i="3"/>
  <c r="AE39" i="3"/>
  <c r="AE128" i="3"/>
  <c r="AE159" i="3"/>
  <c r="AE77" i="3"/>
  <c r="AE134" i="3"/>
  <c r="AE211" i="3"/>
  <c r="AD229" i="3"/>
  <c r="AE260" i="3"/>
  <c r="AE215" i="3"/>
  <c r="AE196" i="3"/>
  <c r="AE163" i="3"/>
  <c r="AD150" i="3"/>
  <c r="AD221" i="3"/>
  <c r="AD225" i="3"/>
  <c r="AD116" i="3"/>
  <c r="AD250" i="3"/>
  <c r="AE238" i="3"/>
  <c r="AD189" i="3"/>
  <c r="AE261" i="3"/>
  <c r="AE135" i="3"/>
  <c r="AD257" i="3"/>
  <c r="AE259" i="3"/>
  <c r="AD157" i="3"/>
  <c r="AD95" i="3"/>
  <c r="AD184" i="3"/>
  <c r="AE127" i="3"/>
  <c r="AD142" i="3"/>
  <c r="AE61" i="3"/>
  <c r="AD165" i="3"/>
  <c r="AE16" i="3"/>
  <c r="AE142" i="3"/>
  <c r="AD84" i="3"/>
  <c r="AD45" i="3"/>
  <c r="AE52" i="3"/>
  <c r="AB178" i="3"/>
  <c r="AB249" i="3"/>
  <c r="AB240" i="3"/>
  <c r="AB189" i="3"/>
  <c r="AB160" i="3"/>
  <c r="AB75" i="3"/>
  <c r="AB180" i="3"/>
  <c r="AB63" i="3"/>
  <c r="AB261" i="3"/>
  <c r="AB167" i="3"/>
  <c r="AB112" i="3"/>
  <c r="AB117" i="3"/>
  <c r="AB143" i="3"/>
  <c r="AB141" i="3"/>
  <c r="AB205" i="3"/>
  <c r="AB85" i="3"/>
  <c r="AB86" i="3"/>
  <c r="AB19" i="3"/>
  <c r="AB181" i="3"/>
  <c r="AB67" i="3"/>
  <c r="AB188" i="3"/>
  <c r="AB197" i="3"/>
  <c r="AB100" i="3"/>
  <c r="AB242" i="3"/>
  <c r="AB134" i="3"/>
  <c r="AB177" i="3"/>
  <c r="AB264" i="3"/>
  <c r="AB219" i="3"/>
  <c r="AB52" i="3"/>
  <c r="AB77" i="3"/>
  <c r="AB146" i="3"/>
  <c r="AB149" i="3"/>
  <c r="AB24" i="3"/>
  <c r="AB198" i="3"/>
  <c r="AB135" i="3"/>
  <c r="AB84" i="3"/>
  <c r="AB255" i="3"/>
  <c r="AB107" i="3"/>
  <c r="AB50" i="3"/>
  <c r="AB164" i="3"/>
  <c r="AB70" i="3"/>
  <c r="AB171" i="3"/>
  <c r="AB265" i="3"/>
  <c r="AB157" i="3"/>
  <c r="AB243" i="3"/>
  <c r="AB137" i="3"/>
  <c r="AB176" i="3"/>
  <c r="AB40" i="3"/>
  <c r="AB159" i="3"/>
  <c r="AB108" i="3"/>
  <c r="AB118" i="3"/>
  <c r="AB65" i="3"/>
  <c r="AB114" i="3"/>
  <c r="AB220" i="3"/>
  <c r="AB124" i="3"/>
  <c r="AB196" i="3"/>
  <c r="AB233" i="3"/>
  <c r="AB252" i="3"/>
  <c r="AB186" i="3"/>
  <c r="AB55" i="3"/>
  <c r="AB216" i="3"/>
  <c r="AB209" i="3"/>
  <c r="AB9" i="3"/>
  <c r="AB201" i="3"/>
  <c r="AB88" i="3"/>
  <c r="AB231" i="3"/>
  <c r="AB7" i="3"/>
  <c r="AB129" i="3"/>
  <c r="AB204" i="3"/>
  <c r="AB132" i="3"/>
  <c r="AB213" i="3"/>
  <c r="AB49" i="3"/>
  <c r="AB226" i="3"/>
  <c r="AB234" i="3"/>
  <c r="AB154" i="3"/>
  <c r="AB131" i="3"/>
  <c r="AB235" i="3"/>
  <c r="AB217" i="3"/>
  <c r="AB244" i="3"/>
  <c r="AB253" i="3"/>
  <c r="AB97" i="3"/>
  <c r="AB59" i="3"/>
  <c r="AB192" i="3"/>
  <c r="AB42" i="3"/>
  <c r="AB214" i="3"/>
  <c r="AB72" i="3"/>
  <c r="AB51" i="3"/>
  <c r="AB161" i="3"/>
  <c r="AB78" i="3"/>
  <c r="AB20" i="3"/>
  <c r="AB103" i="3"/>
  <c r="AB128" i="3"/>
  <c r="AB207" i="3"/>
  <c r="AB45" i="3"/>
  <c r="AB17" i="3"/>
  <c r="AB62" i="3"/>
  <c r="AB31" i="3"/>
  <c r="AB120" i="3"/>
  <c r="AB44" i="3"/>
  <c r="AB33" i="3"/>
  <c r="AB136" i="3"/>
  <c r="AB150" i="3"/>
  <c r="AB66" i="3"/>
  <c r="AB38" i="3"/>
  <c r="AB91" i="3"/>
  <c r="AB259" i="3"/>
  <c r="AB54" i="3"/>
  <c r="AB98" i="3"/>
  <c r="AB190" i="3"/>
  <c r="AB58" i="3"/>
  <c r="AB133" i="3"/>
  <c r="AB36" i="3"/>
  <c r="AB156" i="3"/>
  <c r="AB162" i="3"/>
  <c r="AB168" i="3"/>
  <c r="AB46" i="3"/>
  <c r="AB73" i="3"/>
  <c r="AB126" i="3"/>
  <c r="AB39" i="3"/>
  <c r="AB208" i="3"/>
  <c r="AB127" i="3"/>
  <c r="AB125" i="3"/>
  <c r="AB206" i="3"/>
  <c r="AB90" i="3"/>
  <c r="AB238" i="3"/>
  <c r="AB111" i="3"/>
  <c r="AB155" i="3"/>
  <c r="AB247" i="3"/>
  <c r="AB187" i="3"/>
  <c r="AB221" i="3"/>
  <c r="AB69" i="3"/>
  <c r="AB89" i="3"/>
  <c r="AB122" i="3"/>
  <c r="AB10" i="3"/>
  <c r="AB169" i="3"/>
  <c r="AB175" i="3"/>
  <c r="AB121" i="3"/>
  <c r="AB34" i="3"/>
  <c r="AB239" i="3"/>
  <c r="AB223" i="3"/>
  <c r="AB74" i="3"/>
  <c r="AB138" i="3"/>
  <c r="AB43" i="3"/>
  <c r="AB183" i="3"/>
  <c r="AB246" i="3"/>
  <c r="AB16" i="3"/>
  <c r="AB68" i="3"/>
  <c r="AB30" i="3"/>
  <c r="AB191" i="3"/>
  <c r="AB185" i="3"/>
  <c r="AB79" i="3"/>
  <c r="AB83" i="3"/>
  <c r="AB27" i="3"/>
  <c r="AB202" i="3"/>
  <c r="AB96" i="3"/>
  <c r="AB61" i="3"/>
  <c r="AB211" i="3"/>
  <c r="AB184" i="3"/>
  <c r="AB8" i="3"/>
  <c r="AB151" i="3"/>
  <c r="AB199" i="3"/>
  <c r="AB87" i="3"/>
  <c r="AB224" i="3"/>
  <c r="AB257" i="3"/>
  <c r="AB210" i="3"/>
  <c r="AB81" i="3"/>
  <c r="AB170" i="3"/>
  <c r="AB182" i="3"/>
  <c r="AB12" i="3"/>
  <c r="AB15" i="3"/>
  <c r="AB115" i="3"/>
  <c r="AB48" i="3"/>
  <c r="AB193" i="3"/>
  <c r="AB60" i="3"/>
  <c r="AB212" i="3"/>
  <c r="AB145" i="3"/>
  <c r="AB215" i="3"/>
  <c r="AB92" i="3"/>
  <c r="AB152" i="3"/>
  <c r="AB28" i="3"/>
  <c r="AB93" i="3"/>
  <c r="AB113" i="3"/>
  <c r="AB35" i="3"/>
  <c r="AB165" i="3"/>
  <c r="AB258" i="3"/>
  <c r="AB172" i="3"/>
  <c r="AB225" i="3"/>
  <c r="AB260" i="3"/>
  <c r="AB95" i="3"/>
  <c r="AB102" i="3"/>
  <c r="AB101" i="3"/>
  <c r="AB245" i="3"/>
  <c r="AB13" i="3"/>
  <c r="AB142" i="3"/>
  <c r="AB37" i="3"/>
  <c r="AB106" i="3"/>
  <c r="AB218" i="3"/>
  <c r="AB110" i="3"/>
  <c r="AB71" i="3"/>
  <c r="AB163" i="3"/>
  <c r="AB139" i="3"/>
  <c r="AB18" i="3"/>
  <c r="AB256" i="3"/>
  <c r="AB21" i="3"/>
  <c r="AB82" i="3"/>
  <c r="AB56" i="3"/>
  <c r="AB237" i="3"/>
  <c r="AB57" i="3"/>
  <c r="AB250" i="3"/>
  <c r="AB32" i="3"/>
  <c r="AB229" i="3"/>
  <c r="AB144" i="3"/>
  <c r="AB200" i="3"/>
  <c r="AB174" i="3"/>
  <c r="AB179" i="3"/>
  <c r="AB140" i="3"/>
  <c r="AB232" i="3"/>
  <c r="AB173" i="3"/>
  <c r="AB148" i="3"/>
  <c r="AB105" i="3"/>
  <c r="AB104" i="3"/>
  <c r="AB153" i="3"/>
  <c r="AB194" i="3"/>
  <c r="AB64" i="3"/>
  <c r="AB23" i="3"/>
  <c r="AB230" i="3"/>
  <c r="AB236" i="3"/>
  <c r="AB119" i="3"/>
  <c r="AB228" i="3"/>
  <c r="AB263" i="3"/>
  <c r="AB227" i="3"/>
  <c r="AB47" i="3"/>
  <c r="AB25" i="3"/>
  <c r="AB123" i="3"/>
  <c r="AB203" i="3"/>
  <c r="AB248" i="3"/>
  <c r="AB80" i="3"/>
  <c r="AB109" i="3"/>
  <c r="AB76" i="3"/>
  <c r="AB29" i="3"/>
  <c r="AB222" i="3"/>
  <c r="AB158" i="3"/>
  <c r="AB254" i="3"/>
  <c r="AB22" i="3"/>
  <c r="AB99" i="3"/>
  <c r="AB251" i="3"/>
  <c r="AB130" i="3"/>
  <c r="AB94" i="3"/>
  <c r="AB147" i="3"/>
  <c r="AB116" i="3"/>
  <c r="AB241" i="3"/>
  <c r="AB14" i="3"/>
  <c r="AB53" i="3"/>
  <c r="AB41" i="3"/>
  <c r="AC65" i="3"/>
  <c r="AC80" i="3"/>
  <c r="AC76" i="3"/>
  <c r="AC245" i="3"/>
  <c r="AC53" i="3"/>
  <c r="AC155" i="3"/>
  <c r="AC17" i="3"/>
  <c r="AC233" i="3"/>
  <c r="AC161" i="3"/>
  <c r="AC220" i="3"/>
  <c r="AC86" i="3"/>
  <c r="AC149" i="3"/>
  <c r="AC231" i="3"/>
  <c r="AC164" i="3"/>
  <c r="AC98" i="3"/>
  <c r="AC103" i="3"/>
  <c r="AC189" i="3"/>
  <c r="AC156" i="3"/>
  <c r="AC43" i="3"/>
  <c r="AC97" i="3"/>
  <c r="AC142" i="3"/>
  <c r="AC9" i="3"/>
  <c r="AC176" i="3"/>
  <c r="AC140" i="3"/>
  <c r="AC79" i="3"/>
  <c r="AC198" i="3"/>
  <c r="AC77" i="3"/>
  <c r="AC74" i="3"/>
  <c r="AC192" i="3"/>
  <c r="AC264" i="3"/>
  <c r="AC134" i="3"/>
  <c r="AC196" i="3"/>
  <c r="AC211" i="3"/>
  <c r="AC25" i="3"/>
  <c r="AC256" i="3"/>
  <c r="AC239" i="3"/>
  <c r="AC64" i="3"/>
  <c r="AC232" i="3"/>
  <c r="AC62" i="3"/>
  <c r="AC206" i="3"/>
  <c r="AC107" i="3"/>
  <c r="AC42" i="3"/>
  <c r="AC254" i="3"/>
  <c r="AC93" i="3"/>
  <c r="AC136" i="3"/>
  <c r="AC223" i="3"/>
  <c r="AC148" i="3"/>
  <c r="AC247" i="3"/>
  <c r="AC144" i="3"/>
  <c r="AC63" i="3"/>
  <c r="AC24" i="3"/>
  <c r="AC99" i="3"/>
  <c r="AC222" i="3"/>
  <c r="AC55" i="3"/>
  <c r="AC132" i="3"/>
  <c r="AC154" i="3"/>
  <c r="AC35" i="3"/>
  <c r="AC117" i="3"/>
  <c r="AC143" i="3"/>
  <c r="AC260" i="3"/>
  <c r="AC257" i="3"/>
  <c r="AC66" i="3"/>
  <c r="AC129" i="3"/>
  <c r="AC8" i="3"/>
  <c r="AC208" i="3"/>
  <c r="AC151" i="3"/>
  <c r="AC48" i="3"/>
  <c r="AC113" i="3"/>
  <c r="AC73" i="3"/>
  <c r="AC197" i="3"/>
  <c r="AC27" i="3"/>
  <c r="AC170" i="3"/>
  <c r="AC185" i="3"/>
  <c r="AC180" i="3"/>
  <c r="AC212" i="3"/>
  <c r="AC69" i="3"/>
  <c r="AC218" i="3"/>
  <c r="AC54" i="3"/>
  <c r="AC224" i="3"/>
  <c r="AC81" i="3"/>
  <c r="AC57" i="3"/>
  <c r="AC39" i="3"/>
  <c r="AC213" i="3"/>
  <c r="AC61" i="3"/>
  <c r="AC204" i="3"/>
  <c r="AC253" i="3"/>
  <c r="AC84" i="3"/>
  <c r="AC183" i="3"/>
  <c r="AC82" i="3"/>
  <c r="AC171" i="3"/>
  <c r="AC255" i="3"/>
  <c r="AC102" i="3"/>
  <c r="AC226" i="3"/>
  <c r="AC145" i="3"/>
  <c r="AC114" i="3"/>
  <c r="AC71" i="3"/>
  <c r="AC105" i="3"/>
  <c r="AC31" i="3"/>
  <c r="AC162" i="3"/>
  <c r="AC112" i="3"/>
  <c r="AC193" i="3"/>
  <c r="AC190" i="3"/>
  <c r="AC209" i="3"/>
  <c r="AC115" i="3"/>
  <c r="AC67" i="3"/>
  <c r="AC91" i="3"/>
  <c r="AC205" i="3"/>
  <c r="AC47" i="3"/>
  <c r="AC157" i="3"/>
  <c r="AC251" i="3"/>
  <c r="AC59" i="3"/>
  <c r="AC89" i="3"/>
  <c r="AC34" i="3"/>
  <c r="AC225" i="3"/>
  <c r="AC138" i="3"/>
  <c r="AC94" i="3"/>
  <c r="AC111" i="3"/>
  <c r="AC137" i="3"/>
  <c r="AC29" i="3"/>
  <c r="AC100" i="3"/>
  <c r="AC18" i="3"/>
  <c r="AC119" i="3"/>
  <c r="AC15" i="3"/>
  <c r="AC200" i="3"/>
  <c r="AC124" i="3"/>
  <c r="AC92" i="3"/>
  <c r="AC186" i="3"/>
  <c r="AC261" i="3"/>
  <c r="AC130" i="3"/>
  <c r="AC179" i="3"/>
  <c r="AC101" i="3"/>
  <c r="AC7" i="3"/>
  <c r="AC243" i="3"/>
  <c r="AC10" i="3"/>
  <c r="AC221" i="3"/>
  <c r="AC214" i="3"/>
  <c r="AC87" i="3"/>
  <c r="AC46" i="3"/>
  <c r="AC153" i="3"/>
  <c r="AC121" i="3"/>
  <c r="AC210" i="3"/>
  <c r="AC258" i="3"/>
  <c r="AC45" i="3"/>
  <c r="AC28" i="3"/>
  <c r="AC12" i="3"/>
  <c r="AC167" i="3"/>
  <c r="AC49" i="3"/>
  <c r="AC56" i="3"/>
  <c r="AC104" i="3"/>
  <c r="AC128" i="3"/>
  <c r="AC241" i="3"/>
  <c r="AC172" i="3"/>
  <c r="AC242" i="3"/>
  <c r="AC41" i="3"/>
  <c r="AC159" i="3"/>
  <c r="AC236" i="3"/>
  <c r="AC135" i="3"/>
  <c r="AC252" i="3"/>
  <c r="AC30" i="3"/>
  <c r="AC60" i="3"/>
  <c r="AC181" i="3"/>
  <c r="AC122" i="3"/>
  <c r="AC123" i="3"/>
  <c r="AC96" i="3"/>
  <c r="AC141" i="3"/>
  <c r="AC201" i="3"/>
  <c r="AC85" i="3"/>
  <c r="AC146" i="3"/>
  <c r="AC133" i="3"/>
  <c r="AC37" i="3"/>
  <c r="AC265" i="3"/>
  <c r="AC263" i="3"/>
  <c r="AC32" i="3"/>
  <c r="AC116" i="3"/>
  <c r="AC68" i="3"/>
  <c r="AC227" i="3"/>
  <c r="AC52" i="3"/>
  <c r="AC20" i="3"/>
  <c r="AC72" i="3"/>
  <c r="AC109" i="3"/>
  <c r="AC90" i="3"/>
  <c r="AC203" i="3"/>
  <c r="AC202" i="3"/>
  <c r="AC108" i="3"/>
  <c r="AC259" i="3"/>
  <c r="AC246" i="3"/>
  <c r="AC188" i="3"/>
  <c r="AC244" i="3"/>
  <c r="AC219" i="3"/>
  <c r="AC78" i="3"/>
  <c r="AC21" i="3"/>
  <c r="AC217" i="3"/>
  <c r="AC158" i="3"/>
  <c r="AC95" i="3"/>
  <c r="AC250" i="3"/>
  <c r="AC184" i="3"/>
  <c r="AC229" i="3"/>
  <c r="AC235" i="3"/>
  <c r="AC150" i="3"/>
  <c r="AC147" i="3"/>
  <c r="AC131" i="3"/>
  <c r="AC75" i="3"/>
  <c r="AC50" i="3"/>
  <c r="AC207" i="3"/>
  <c r="AC44" i="3"/>
  <c r="AC175" i="3"/>
  <c r="AC22" i="3"/>
  <c r="AC230" i="3"/>
  <c r="AC36" i="3"/>
  <c r="AC23" i="3"/>
  <c r="AC110" i="3"/>
  <c r="AC165" i="3"/>
  <c r="AC215" i="3"/>
  <c r="AC106" i="3"/>
  <c r="AC174" i="3"/>
  <c r="AC228" i="3"/>
  <c r="AC70" i="3"/>
  <c r="AC125" i="3"/>
  <c r="AC199" i="3"/>
  <c r="AC58" i="3"/>
  <c r="AC19" i="3"/>
  <c r="AC13" i="3"/>
  <c r="AC194" i="3"/>
  <c r="AC177" i="3"/>
  <c r="AC234" i="3"/>
  <c r="AC169" i="3"/>
  <c r="AC33" i="3"/>
  <c r="AC163" i="3"/>
  <c r="AC216" i="3"/>
  <c r="AC139" i="3"/>
  <c r="AC118" i="3"/>
  <c r="AC238" i="3"/>
  <c r="AC178" i="3"/>
  <c r="AC16" i="3"/>
  <c r="AC248" i="3"/>
  <c r="AC160" i="3"/>
  <c r="AC14" i="3"/>
  <c r="AC182" i="3"/>
  <c r="AC168" i="3"/>
  <c r="AC126" i="3"/>
  <c r="AC88" i="3"/>
  <c r="AC152" i="3"/>
  <c r="AC249" i="3"/>
  <c r="AC187" i="3"/>
  <c r="AC240" i="3"/>
  <c r="AC51" i="3"/>
  <c r="AC40" i="3"/>
  <c r="AC120" i="3"/>
  <c r="AC38" i="3"/>
  <c r="AC237" i="3"/>
  <c r="AC83" i="3"/>
  <c r="AC173" i="3"/>
  <c r="AC127" i="3"/>
  <c r="AC191" i="3"/>
  <c r="AH15" i="14"/>
  <c r="AG16" i="14"/>
  <c r="AG64" i="14"/>
  <c r="AH63" i="14"/>
  <c r="AH237" i="14"/>
  <c r="AG238" i="14"/>
  <c r="AH258" i="14"/>
  <c r="AG259" i="14"/>
  <c r="AH47" i="14"/>
  <c r="AG48" i="14"/>
  <c r="Y258" i="14"/>
  <c r="AH27" i="3" s="1"/>
  <c r="X259" i="14"/>
  <c r="X66" i="14"/>
  <c r="Y65" i="14"/>
  <c r="AH41" i="3" s="1"/>
  <c r="Y238" i="14"/>
  <c r="X239" i="14"/>
  <c r="Y19" i="14"/>
  <c r="AH122" i="3" s="1"/>
  <c r="X20" i="14"/>
  <c r="AF53" i="3"/>
  <c r="AF186" i="3"/>
  <c r="AF28" i="3"/>
  <c r="AF208" i="3"/>
  <c r="AF77" i="3"/>
  <c r="AF108" i="3"/>
  <c r="W166" i="3"/>
  <c r="Y225" i="3"/>
  <c r="Q166" i="3"/>
  <c r="K166" i="3"/>
  <c r="AE166" i="3"/>
  <c r="AC166" i="3"/>
  <c r="V4" i="3"/>
  <c r="J4" i="3"/>
  <c r="P4" i="3"/>
  <c r="AI30" i="3" l="1"/>
  <c r="AI27" i="3"/>
  <c r="AH38" i="3"/>
  <c r="AH189" i="3"/>
  <c r="AG165" i="3"/>
  <c r="AG216" i="3"/>
  <c r="G121" i="14"/>
  <c r="F122" i="14"/>
  <c r="G159" i="14"/>
  <c r="F160" i="14"/>
  <c r="G83" i="14"/>
  <c r="F84" i="14"/>
  <c r="AF183" i="3"/>
  <c r="AF244" i="3"/>
  <c r="Y208" i="14"/>
  <c r="X209" i="14"/>
  <c r="AI168" i="3"/>
  <c r="AI90" i="3"/>
  <c r="AI186" i="3"/>
  <c r="AI152" i="3"/>
  <c r="AH230" i="14"/>
  <c r="AI250" i="3" s="1"/>
  <c r="AG231" i="14"/>
  <c r="AH209" i="14"/>
  <c r="AI194" i="3" s="1"/>
  <c r="AG210" i="14"/>
  <c r="AH40" i="14"/>
  <c r="AI234" i="3" s="1"/>
  <c r="AG41" i="14"/>
  <c r="AH259" i="14"/>
  <c r="AG260" i="14"/>
  <c r="AH260" i="14" s="1"/>
  <c r="AI265" i="3" s="1"/>
  <c r="Y228" i="14"/>
  <c r="X229" i="14"/>
  <c r="Y259" i="14"/>
  <c r="X260" i="14"/>
  <c r="Y260" i="14" s="1"/>
  <c r="AG223" i="3"/>
  <c r="O212" i="14"/>
  <c r="AG90" i="3"/>
  <c r="O40" i="14"/>
  <c r="AG205" i="3"/>
  <c r="AG152" i="3"/>
  <c r="AG40" i="3"/>
  <c r="O159" i="14"/>
  <c r="AG232" i="3"/>
  <c r="AG27" i="3"/>
  <c r="AF132" i="3"/>
  <c r="AH48" i="14"/>
  <c r="AI133" i="3" s="1"/>
  <c r="AG49" i="14"/>
  <c r="AH49" i="14" s="1"/>
  <c r="AI147" i="3" s="1"/>
  <c r="AH238" i="14"/>
  <c r="AG239" i="14"/>
  <c r="AH64" i="14"/>
  <c r="AG65" i="14"/>
  <c r="AH16" i="14"/>
  <c r="AG17" i="14"/>
  <c r="Y20" i="14"/>
  <c r="X21" i="14"/>
  <c r="Y239" i="14"/>
  <c r="X240" i="14"/>
  <c r="Y66" i="14"/>
  <c r="AH36" i="3" s="1"/>
  <c r="X67" i="14"/>
  <c r="AG53" i="3"/>
  <c r="AF29" i="3"/>
  <c r="AF196" i="3"/>
  <c r="AF146" i="3"/>
  <c r="AF91" i="3"/>
  <c r="AF43" i="3"/>
  <c r="AF41" i="3"/>
  <c r="AI252" i="3" l="1"/>
  <c r="AI29" i="3"/>
  <c r="AH175" i="3"/>
  <c r="AH157" i="3"/>
  <c r="AH226" i="3"/>
  <c r="AH265" i="3"/>
  <c r="AH24" i="3"/>
  <c r="AH238" i="3"/>
  <c r="AH252" i="3"/>
  <c r="AH29" i="3"/>
  <c r="AH43" i="3"/>
  <c r="AH96" i="3"/>
  <c r="AH143" i="3"/>
  <c r="G84" i="14"/>
  <c r="F85" i="14"/>
  <c r="G160" i="14"/>
  <c r="AF164" i="3" s="1"/>
  <c r="F161" i="14"/>
  <c r="G122" i="14"/>
  <c r="F123" i="14"/>
  <c r="AF33" i="3"/>
  <c r="AF170" i="3"/>
  <c r="Y209" i="14"/>
  <c r="X210" i="14"/>
  <c r="AI262" i="3"/>
  <c r="AI96" i="3"/>
  <c r="AI223" i="3"/>
  <c r="AI253" i="3"/>
  <c r="AH231" i="14"/>
  <c r="AG232" i="14"/>
  <c r="AI189" i="3"/>
  <c r="AH41" i="14"/>
  <c r="AI112" i="3" s="1"/>
  <c r="AG42" i="14"/>
  <c r="AG211" i="14"/>
  <c r="AH210" i="14"/>
  <c r="Y229" i="14"/>
  <c r="X230" i="14"/>
  <c r="AG170" i="3"/>
  <c r="O41" i="14"/>
  <c r="AG135" i="3"/>
  <c r="AG25" i="3"/>
  <c r="AG29" i="3"/>
  <c r="O213" i="14"/>
  <c r="AG196" i="3"/>
  <c r="O160" i="14"/>
  <c r="AG175" i="3"/>
  <c r="AH17" i="14"/>
  <c r="AG18" i="14"/>
  <c r="AH65" i="14"/>
  <c r="AG66" i="14"/>
  <c r="AG240" i="14"/>
  <c r="AH239" i="14"/>
  <c r="Y67" i="14"/>
  <c r="X68" i="14"/>
  <c r="Y21" i="14"/>
  <c r="X22" i="14"/>
  <c r="Y240" i="14"/>
  <c r="AH77" i="3" s="1"/>
  <c r="X241" i="14"/>
  <c r="AG68" i="3"/>
  <c r="AG226" i="3"/>
  <c r="AF217" i="3"/>
  <c r="AF8" i="3"/>
  <c r="AF35" i="3"/>
  <c r="AF30" i="3"/>
  <c r="AF45" i="3"/>
  <c r="AF83" i="3"/>
  <c r="AF230" i="3"/>
  <c r="AF40" i="3"/>
  <c r="X166" i="3"/>
  <c r="AD166" i="3" s="1"/>
  <c r="AH222" i="3" l="1"/>
  <c r="AH241" i="3"/>
  <c r="G161" i="14"/>
  <c r="AF97" i="3" s="1"/>
  <c r="F162" i="14"/>
  <c r="G123" i="14"/>
  <c r="F124" i="14"/>
  <c r="G85" i="14"/>
  <c r="F86" i="14"/>
  <c r="AF185" i="3"/>
  <c r="AF168" i="3"/>
  <c r="Y210" i="14"/>
  <c r="X211" i="14"/>
  <c r="AI240" i="3"/>
  <c r="AH232" i="14"/>
  <c r="AI24" i="3" s="1"/>
  <c r="AG233" i="14"/>
  <c r="AH233" i="14" s="1"/>
  <c r="AI238" i="3" s="1"/>
  <c r="AI216" i="3"/>
  <c r="AI25" i="3"/>
  <c r="AI31" i="3"/>
  <c r="AG43" i="14"/>
  <c r="AH43" i="14" s="1"/>
  <c r="AI207" i="3" s="1"/>
  <c r="AH42" i="14"/>
  <c r="AH211" i="14"/>
  <c r="AG212" i="14"/>
  <c r="Y230" i="14"/>
  <c r="X231" i="14"/>
  <c r="O161" i="14"/>
  <c r="O214" i="14"/>
  <c r="AG244" i="3"/>
  <c r="AG43" i="3"/>
  <c r="O42" i="14"/>
  <c r="AG168" i="3"/>
  <c r="AG49" i="3"/>
  <c r="AH66" i="14"/>
  <c r="AI37" i="3" s="1"/>
  <c r="AG67" i="14"/>
  <c r="AH240" i="14"/>
  <c r="AI65" i="3" s="1"/>
  <c r="AG241" i="14"/>
  <c r="AH18" i="14"/>
  <c r="AG19" i="14"/>
  <c r="X242" i="14"/>
  <c r="Y241" i="14"/>
  <c r="Y22" i="14"/>
  <c r="X23" i="14"/>
  <c r="Y68" i="14"/>
  <c r="X69" i="14"/>
  <c r="AG215" i="3"/>
  <c r="AG74" i="3"/>
  <c r="AF47" i="3"/>
  <c r="AF69" i="3"/>
  <c r="AF176" i="3"/>
  <c r="AF188" i="3"/>
  <c r="AF139" i="3"/>
  <c r="AI11" i="3" l="1"/>
  <c r="AI243" i="3"/>
  <c r="AH40" i="3"/>
  <c r="AH53" i="3"/>
  <c r="AH152" i="3"/>
  <c r="AH253" i="3"/>
  <c r="G86" i="14"/>
  <c r="F87" i="14"/>
  <c r="G124" i="14"/>
  <c r="F125" i="14"/>
  <c r="G162" i="14"/>
  <c r="AF60" i="3" s="1"/>
  <c r="F163" i="14"/>
  <c r="AF236" i="3"/>
  <c r="X212" i="14"/>
  <c r="Y211" i="14"/>
  <c r="AI232" i="3"/>
  <c r="AI231" i="3"/>
  <c r="AI105" i="3"/>
  <c r="AH212" i="14"/>
  <c r="AG213" i="14"/>
  <c r="Y231" i="14"/>
  <c r="X232" i="14"/>
  <c r="O43" i="14"/>
  <c r="AG249" i="3"/>
  <c r="AG236" i="3"/>
  <c r="AG36" i="3"/>
  <c r="O215" i="14"/>
  <c r="O162" i="14"/>
  <c r="AG100" i="3"/>
  <c r="AH19" i="14"/>
  <c r="AG20" i="14"/>
  <c r="AH241" i="14"/>
  <c r="AG242" i="14"/>
  <c r="AH67" i="14"/>
  <c r="AG68" i="14"/>
  <c r="Y69" i="14"/>
  <c r="X70" i="14"/>
  <c r="Y23" i="14"/>
  <c r="X24" i="14"/>
  <c r="Y242" i="14"/>
  <c r="X243" i="14"/>
  <c r="AG213" i="3"/>
  <c r="AF95" i="3"/>
  <c r="AF94" i="3"/>
  <c r="AF258" i="3"/>
  <c r="AF118" i="3"/>
  <c r="AF24" i="3"/>
  <c r="AH249" i="3" l="1"/>
  <c r="AH25" i="3"/>
  <c r="AH250" i="3"/>
  <c r="AG263" i="3"/>
  <c r="AG154" i="3"/>
  <c r="G163" i="14"/>
  <c r="AF256" i="3" s="1"/>
  <c r="F164" i="14"/>
  <c r="G125" i="14"/>
  <c r="F126" i="14"/>
  <c r="G87" i="14"/>
  <c r="F88" i="14"/>
  <c r="AF265" i="3"/>
  <c r="AF252" i="3"/>
  <c r="Y212" i="14"/>
  <c r="X213" i="14"/>
  <c r="AI40" i="3"/>
  <c r="AI161" i="3"/>
  <c r="AH213" i="14"/>
  <c r="AG214" i="14"/>
  <c r="Y232" i="14"/>
  <c r="X233" i="14"/>
  <c r="Y233" i="14" s="1"/>
  <c r="AH232" i="3" s="1"/>
  <c r="O163" i="14"/>
  <c r="O216" i="14"/>
  <c r="AG239" i="3" s="1"/>
  <c r="O44" i="14"/>
  <c r="O45" i="14" s="1"/>
  <c r="AG111" i="3"/>
  <c r="AG11" i="3"/>
  <c r="AG254" i="3"/>
  <c r="AG38" i="3"/>
  <c r="AF222" i="3"/>
  <c r="AH68" i="14"/>
  <c r="AG69" i="14"/>
  <c r="AH242" i="14"/>
  <c r="AI74" i="3" s="1"/>
  <c r="AG243" i="14"/>
  <c r="AH20" i="14"/>
  <c r="AG21" i="14"/>
  <c r="Y243" i="14"/>
  <c r="X244" i="14"/>
  <c r="Y24" i="14"/>
  <c r="AH176" i="3" s="1"/>
  <c r="X25" i="14"/>
  <c r="Y70" i="14"/>
  <c r="X71" i="14"/>
  <c r="AF54" i="3"/>
  <c r="AF39" i="3"/>
  <c r="AF157" i="3"/>
  <c r="AF116" i="3"/>
  <c r="AF195" i="3"/>
  <c r="AH45" i="3" l="1"/>
  <c r="AH48" i="3"/>
  <c r="AH74" i="3"/>
  <c r="AH68" i="3"/>
  <c r="AH168" i="3"/>
  <c r="AH194" i="3"/>
  <c r="AH231" i="3"/>
  <c r="AH195" i="3"/>
  <c r="AG151" i="3"/>
  <c r="AG65" i="3"/>
  <c r="G88" i="14"/>
  <c r="F89" i="14"/>
  <c r="G126" i="14"/>
  <c r="F127" i="14"/>
  <c r="G164" i="14"/>
  <c r="AF128" i="3" s="1"/>
  <c r="F165" i="14"/>
  <c r="Y213" i="14"/>
  <c r="X214" i="14"/>
  <c r="AI176" i="3"/>
  <c r="AI69" i="3"/>
  <c r="AI229" i="3"/>
  <c r="AH214" i="14"/>
  <c r="AI244" i="3" s="1"/>
  <c r="AG215" i="14"/>
  <c r="O46" i="14"/>
  <c r="AG178" i="3"/>
  <c r="AG222" i="3"/>
  <c r="O164" i="14"/>
  <c r="AG243" i="3"/>
  <c r="AG207" i="3"/>
  <c r="AG76" i="3"/>
  <c r="AG124" i="3"/>
  <c r="AF124" i="3"/>
  <c r="AG149" i="3"/>
  <c r="AG174" i="14"/>
  <c r="AH21" i="14"/>
  <c r="AG22" i="14"/>
  <c r="AH243" i="14"/>
  <c r="AI77" i="3" s="1"/>
  <c r="AG244" i="14"/>
  <c r="AH69" i="14"/>
  <c r="AG70" i="14"/>
  <c r="Y71" i="14"/>
  <c r="X72" i="14"/>
  <c r="X26" i="14"/>
  <c r="Y25" i="14"/>
  <c r="Y244" i="14"/>
  <c r="X245" i="14"/>
  <c r="AG77" i="3"/>
  <c r="AF151" i="3"/>
  <c r="AF52" i="3"/>
  <c r="AF219" i="3"/>
  <c r="AF253" i="3"/>
  <c r="AF104" i="3"/>
  <c r="AH65" i="3" l="1"/>
  <c r="AH258" i="3"/>
  <c r="AH263" i="3"/>
  <c r="AH229" i="3"/>
  <c r="AH254" i="3"/>
  <c r="G127" i="14"/>
  <c r="F128" i="14"/>
  <c r="G165" i="14"/>
  <c r="AF142" i="3" s="1"/>
  <c r="F166" i="14"/>
  <c r="G89" i="14"/>
  <c r="F90" i="14"/>
  <c r="AF26" i="3"/>
  <c r="X215" i="14"/>
  <c r="Y214" i="14"/>
  <c r="AH236" i="3" s="1"/>
  <c r="AI32" i="3"/>
  <c r="AI222" i="3"/>
  <c r="AI236" i="3"/>
  <c r="AI64" i="3"/>
  <c r="AH215" i="14"/>
  <c r="AI249" i="3" s="1"/>
  <c r="AG216" i="14"/>
  <c r="AH216" i="14" s="1"/>
  <c r="AG176" i="3"/>
  <c r="O165" i="14"/>
  <c r="AG84" i="3"/>
  <c r="AG240" i="3"/>
  <c r="AG71" i="3"/>
  <c r="AG105" i="3"/>
  <c r="AG202" i="3"/>
  <c r="O47" i="14"/>
  <c r="AF231" i="3"/>
  <c r="AH244" i="14"/>
  <c r="AG245" i="14"/>
  <c r="AH174" i="14"/>
  <c r="AG175" i="14"/>
  <c r="AH70" i="14"/>
  <c r="AG71" i="14"/>
  <c r="AH22" i="14"/>
  <c r="AG23" i="14"/>
  <c r="Y72" i="14"/>
  <c r="X73" i="14"/>
  <c r="Y245" i="14"/>
  <c r="X246" i="14"/>
  <c r="Y26" i="14"/>
  <c r="X27" i="14"/>
  <c r="AG265" i="3"/>
  <c r="AF42" i="3"/>
  <c r="AF213" i="3"/>
  <c r="AF184" i="3"/>
  <c r="AI124" i="3" l="1"/>
  <c r="AI254" i="3"/>
  <c r="AI255" i="3"/>
  <c r="AH219" i="3"/>
  <c r="AH251" i="3"/>
  <c r="AH39" i="3"/>
  <c r="AH202" i="3"/>
  <c r="AG258" i="3"/>
  <c r="AG157" i="3"/>
  <c r="G166" i="14"/>
  <c r="AF261" i="3" s="1"/>
  <c r="F167" i="14"/>
  <c r="G90" i="14"/>
  <c r="F91" i="14"/>
  <c r="G128" i="14"/>
  <c r="F129" i="14"/>
  <c r="AF228" i="3"/>
  <c r="Y215" i="14"/>
  <c r="X216" i="14"/>
  <c r="Y216" i="14" s="1"/>
  <c r="AI154" i="3"/>
  <c r="AI239" i="3"/>
  <c r="AI174" i="3"/>
  <c r="AI68" i="3"/>
  <c r="Y27" i="14"/>
  <c r="X28" i="14"/>
  <c r="Y246" i="14"/>
  <c r="X247" i="14"/>
  <c r="O48" i="14"/>
  <c r="AG189" i="3"/>
  <c r="AG133" i="3"/>
  <c r="AG229" i="3"/>
  <c r="AG228" i="3"/>
  <c r="O166" i="14"/>
  <c r="AG174" i="3"/>
  <c r="AG26" i="3"/>
  <c r="AG58" i="3"/>
  <c r="AF223" i="3"/>
  <c r="AG176" i="14"/>
  <c r="AH175" i="14"/>
  <c r="AH245" i="14"/>
  <c r="AG246" i="14"/>
  <c r="AG24" i="14"/>
  <c r="AH23" i="14"/>
  <c r="AI230" i="3" s="1"/>
  <c r="AG72" i="14"/>
  <c r="AH71" i="14"/>
  <c r="X74" i="14"/>
  <c r="Y73" i="14"/>
  <c r="AF251" i="3"/>
  <c r="AF65" i="3"/>
  <c r="AF109" i="3"/>
  <c r="AI14" i="3" l="1"/>
  <c r="AH124" i="3"/>
  <c r="AH239" i="3"/>
  <c r="AH49" i="3"/>
  <c r="AH64" i="3"/>
  <c r="AH174" i="3"/>
  <c r="AH244" i="3"/>
  <c r="AH26" i="3"/>
  <c r="AH151" i="3"/>
  <c r="AH8" i="3"/>
  <c r="AG245" i="3"/>
  <c r="G91" i="14"/>
  <c r="F92" i="14"/>
  <c r="G167" i="14"/>
  <c r="AF248" i="3" s="1"/>
  <c r="F168" i="14"/>
  <c r="G129" i="14"/>
  <c r="F130" i="14"/>
  <c r="AI41" i="3"/>
  <c r="AI157" i="3"/>
  <c r="AI43" i="3"/>
  <c r="AI151" i="3"/>
  <c r="AH246" i="14"/>
  <c r="AG247" i="14"/>
  <c r="Y247" i="14"/>
  <c r="AH228" i="3" s="1"/>
  <c r="X248" i="14"/>
  <c r="Y248" i="14" s="1"/>
  <c r="AH129" i="3" s="1"/>
  <c r="Y28" i="14"/>
  <c r="X29" i="14"/>
  <c r="O167" i="14"/>
  <c r="AG234" i="3"/>
  <c r="AG94" i="3"/>
  <c r="O49" i="14"/>
  <c r="AG262" i="3"/>
  <c r="AG48" i="3"/>
  <c r="AG219" i="3"/>
  <c r="AF232" i="3"/>
  <c r="AH176" i="14"/>
  <c r="AG177" i="14"/>
  <c r="AH72" i="14"/>
  <c r="AG73" i="14"/>
  <c r="AH24" i="14"/>
  <c r="AG25" i="14"/>
  <c r="Y74" i="14"/>
  <c r="AH118" i="3" s="1"/>
  <c r="X75" i="14"/>
  <c r="AF12" i="3"/>
  <c r="AF264" i="3"/>
  <c r="AF202" i="3"/>
  <c r="AI53" i="3" l="1"/>
  <c r="AI202" i="3"/>
  <c r="AH217" i="3"/>
  <c r="AH245" i="3"/>
  <c r="AG251" i="3"/>
  <c r="G130" i="14"/>
  <c r="AF113" i="3" s="1"/>
  <c r="F131" i="14"/>
  <c r="G168" i="14"/>
  <c r="AF187" i="3" s="1"/>
  <c r="F169" i="14"/>
  <c r="G92" i="14"/>
  <c r="F93" i="14"/>
  <c r="AF245" i="3"/>
  <c r="AF242" i="3"/>
  <c r="AF182" i="3"/>
  <c r="AF129" i="3"/>
  <c r="AI219" i="3"/>
  <c r="AG248" i="14"/>
  <c r="AH248" i="14" s="1"/>
  <c r="AH247" i="14"/>
  <c r="Y29" i="14"/>
  <c r="X30" i="14"/>
  <c r="AG89" i="3"/>
  <c r="O168" i="14"/>
  <c r="AG8" i="3"/>
  <c r="AH177" i="14"/>
  <c r="AI46" i="3" s="1"/>
  <c r="AG178" i="14"/>
  <c r="AH25" i="14"/>
  <c r="AI245" i="3" s="1"/>
  <c r="AG26" i="14"/>
  <c r="AH73" i="14"/>
  <c r="AG74" i="14"/>
  <c r="Y75" i="14"/>
  <c r="AH84" i="3" s="1"/>
  <c r="X76" i="14"/>
  <c r="AF64" i="3"/>
  <c r="AF10" i="3"/>
  <c r="AF173" i="3"/>
  <c r="AI129" i="3" l="1"/>
  <c r="AI26" i="3"/>
  <c r="AI15" i="3"/>
  <c r="AH206" i="3"/>
  <c r="AH9" i="3"/>
  <c r="G169" i="14"/>
  <c r="AF179" i="3" s="1"/>
  <c r="F170" i="14"/>
  <c r="G93" i="14"/>
  <c r="F94" i="14"/>
  <c r="G94" i="14" s="1"/>
  <c r="G131" i="14"/>
  <c r="AF110" i="3" s="1"/>
  <c r="F132" i="14"/>
  <c r="AI84" i="3"/>
  <c r="AI206" i="3"/>
  <c r="AI242" i="3"/>
  <c r="AI39" i="3"/>
  <c r="AI228" i="3"/>
  <c r="Y30" i="14"/>
  <c r="X31" i="14"/>
  <c r="AG92" i="3"/>
  <c r="O169" i="14"/>
  <c r="AG230" i="3"/>
  <c r="AG242" i="3"/>
  <c r="AG9" i="3"/>
  <c r="AH74" i="14"/>
  <c r="AG75" i="14"/>
  <c r="AH26" i="14"/>
  <c r="AG27" i="14"/>
  <c r="AH178" i="14"/>
  <c r="AG179" i="14"/>
  <c r="Y76" i="14"/>
  <c r="X77" i="14"/>
  <c r="AG30" i="3"/>
  <c r="AF71" i="3"/>
  <c r="AF56" i="3"/>
  <c r="AF105" i="3"/>
  <c r="AF263" i="3"/>
  <c r="AF127" i="3"/>
  <c r="AH264" i="3" l="1"/>
  <c r="AH230" i="3"/>
  <c r="AH156" i="3"/>
  <c r="G132" i="14"/>
  <c r="F133" i="14"/>
  <c r="G170" i="14"/>
  <c r="AF137" i="3" s="1"/>
  <c r="F171" i="14"/>
  <c r="AF162" i="3"/>
  <c r="AI217" i="3"/>
  <c r="AH27" i="14"/>
  <c r="AI251" i="3" s="1"/>
  <c r="AG28" i="14"/>
  <c r="Y31" i="14"/>
  <c r="X32" i="14"/>
  <c r="Y32" i="14" s="1"/>
  <c r="AH149" i="3" s="1"/>
  <c r="AG10" i="3"/>
  <c r="AG206" i="3"/>
  <c r="AG128" i="3"/>
  <c r="AG137" i="3"/>
  <c r="O170" i="14"/>
  <c r="AG264" i="3"/>
  <c r="AG217" i="3"/>
  <c r="AG115" i="3"/>
  <c r="AH179" i="14"/>
  <c r="AG180" i="14"/>
  <c r="AH75" i="14"/>
  <c r="AI92" i="3" s="1"/>
  <c r="AG76" i="14"/>
  <c r="X174" i="14"/>
  <c r="Y77" i="14"/>
  <c r="AH92" i="3" s="1"/>
  <c r="X78" i="14"/>
  <c r="AF87" i="3"/>
  <c r="AF99" i="3"/>
  <c r="AF175" i="3"/>
  <c r="AF85" i="3"/>
  <c r="AI140" i="3" l="1"/>
  <c r="AH10" i="3"/>
  <c r="AH242" i="3"/>
  <c r="G171" i="14"/>
  <c r="AF224" i="3" s="1"/>
  <c r="F172" i="14"/>
  <c r="G133" i="14"/>
  <c r="AF141" i="3" s="1"/>
  <c r="F134" i="14"/>
  <c r="G134" i="14" s="1"/>
  <c r="AF115" i="3" s="1"/>
  <c r="AI36" i="3"/>
  <c r="AI264" i="3"/>
  <c r="AH28" i="14"/>
  <c r="AI258" i="3" s="1"/>
  <c r="AG29" i="14"/>
  <c r="AG45" i="3"/>
  <c r="AG120" i="3"/>
  <c r="AG101" i="3"/>
  <c r="O171" i="14"/>
  <c r="AH76" i="14"/>
  <c r="AI100" i="3" s="1"/>
  <c r="AG77" i="14"/>
  <c r="AH180" i="14"/>
  <c r="AG181" i="14"/>
  <c r="Y78" i="14"/>
  <c r="AH100" i="3" s="1"/>
  <c r="X79" i="14"/>
  <c r="Y174" i="14"/>
  <c r="X175" i="14"/>
  <c r="AG252" i="3"/>
  <c r="AF36" i="3"/>
  <c r="AF122" i="3"/>
  <c r="AF14" i="3"/>
  <c r="AF72" i="3"/>
  <c r="G172" i="14" l="1"/>
  <c r="AF155" i="3" s="1"/>
  <c r="F173" i="14"/>
  <c r="G173" i="14" s="1"/>
  <c r="AF218" i="3" s="1"/>
  <c r="AF255" i="3"/>
  <c r="AH29" i="14"/>
  <c r="AG30" i="14"/>
  <c r="O172" i="14"/>
  <c r="AG99" i="3"/>
  <c r="AG78" i="3"/>
  <c r="AH181" i="14"/>
  <c r="AG182" i="14"/>
  <c r="AH77" i="14"/>
  <c r="AI61" i="3" s="1"/>
  <c r="AG78" i="14"/>
  <c r="Y175" i="14"/>
  <c r="X176" i="14"/>
  <c r="Y79" i="14"/>
  <c r="X80" i="14"/>
  <c r="AG28" i="3"/>
  <c r="AF207" i="3"/>
  <c r="AF149" i="3"/>
  <c r="AF70" i="3"/>
  <c r="AF100" i="3"/>
  <c r="AH78" i="3" l="1"/>
  <c r="AH127" i="3"/>
  <c r="AH255" i="3"/>
  <c r="AG86" i="3"/>
  <c r="AI263" i="3"/>
  <c r="AH30" i="14"/>
  <c r="AI9" i="3" s="1"/>
  <c r="AG31" i="14"/>
  <c r="AG98" i="3"/>
  <c r="O173" i="14"/>
  <c r="AG187" i="3"/>
  <c r="AH78" i="14"/>
  <c r="AI99" i="3" s="1"/>
  <c r="AG79" i="14"/>
  <c r="AG135" i="14"/>
  <c r="AH182" i="14"/>
  <c r="AI73" i="3" s="1"/>
  <c r="AG183" i="14"/>
  <c r="Y80" i="14"/>
  <c r="X81" i="14"/>
  <c r="Y176" i="14"/>
  <c r="AH14" i="3" s="1"/>
  <c r="X177" i="14"/>
  <c r="AF159" i="3"/>
  <c r="AF234" i="3"/>
  <c r="AF106" i="3"/>
  <c r="AH99" i="3" l="1"/>
  <c r="AF15" i="3"/>
  <c r="AI130" i="3"/>
  <c r="AI175" i="3"/>
  <c r="AG32" i="14"/>
  <c r="AH32" i="14" s="1"/>
  <c r="AH31" i="14"/>
  <c r="AG41" i="3"/>
  <c r="O174" i="14"/>
  <c r="O175" i="14" s="1"/>
  <c r="AG167" i="3"/>
  <c r="AG117" i="3"/>
  <c r="AG75" i="3"/>
  <c r="AG70" i="3"/>
  <c r="AH183" i="14"/>
  <c r="AG184" i="14"/>
  <c r="AH79" i="14"/>
  <c r="AG80" i="14"/>
  <c r="AG136" i="14"/>
  <c r="AH135" i="14"/>
  <c r="X82" i="14"/>
  <c r="Y81" i="14"/>
  <c r="AH58" i="3" s="1"/>
  <c r="X178" i="14"/>
  <c r="Y177" i="14"/>
  <c r="AF233" i="3"/>
  <c r="AF243" i="3"/>
  <c r="AF82" i="3"/>
  <c r="AI197" i="3" l="1"/>
  <c r="AI259" i="3"/>
  <c r="AI196" i="3"/>
  <c r="AI8" i="3"/>
  <c r="AI149" i="3"/>
  <c r="AI10" i="3"/>
  <c r="AH46" i="3"/>
  <c r="AH15" i="3"/>
  <c r="AH86" i="3"/>
  <c r="AF46" i="3"/>
  <c r="AI122" i="3"/>
  <c r="O176" i="14"/>
  <c r="AG158" i="3"/>
  <c r="AH136" i="14"/>
  <c r="AG137" i="14"/>
  <c r="AH80" i="14"/>
  <c r="AG81" i="14"/>
  <c r="AH184" i="14"/>
  <c r="AG185" i="14"/>
  <c r="Y178" i="14"/>
  <c r="X179" i="14"/>
  <c r="Y82" i="14"/>
  <c r="X83" i="14"/>
  <c r="AF147" i="3"/>
  <c r="AF90" i="3"/>
  <c r="AF203" i="3"/>
  <c r="AI17" i="3" l="1"/>
  <c r="AI16" i="3"/>
  <c r="AF140" i="3"/>
  <c r="AI106" i="3"/>
  <c r="AG121" i="3"/>
  <c r="AG95" i="3"/>
  <c r="O177" i="14"/>
  <c r="AG156" i="3"/>
  <c r="AG134" i="3"/>
  <c r="AH185" i="14"/>
  <c r="AI163" i="3" s="1"/>
  <c r="AG186" i="14"/>
  <c r="AH81" i="14"/>
  <c r="AI127" i="3" s="1"/>
  <c r="AG82" i="14"/>
  <c r="AH137" i="14"/>
  <c r="AG138" i="14"/>
  <c r="Y83" i="14"/>
  <c r="X84" i="14"/>
  <c r="Y179" i="14"/>
  <c r="AH130" i="3" s="1"/>
  <c r="X180" i="14"/>
  <c r="AF229" i="3"/>
  <c r="AF189" i="3"/>
  <c r="AF200" i="3"/>
  <c r="AH106" i="3" l="1"/>
  <c r="AH203" i="3"/>
  <c r="AG15" i="3"/>
  <c r="AG255" i="3"/>
  <c r="AF73" i="3"/>
  <c r="O178" i="14"/>
  <c r="O179" i="14" s="1"/>
  <c r="AH138" i="14"/>
  <c r="AG139" i="14"/>
  <c r="AH82" i="14"/>
  <c r="AI148" i="3" s="1"/>
  <c r="AG83" i="14"/>
  <c r="AH186" i="14"/>
  <c r="AG187" i="14"/>
  <c r="Y180" i="14"/>
  <c r="X181" i="14"/>
  <c r="Y84" i="14"/>
  <c r="X85" i="14"/>
  <c r="AF136" i="3"/>
  <c r="AF16" i="3"/>
  <c r="AF240" i="3"/>
  <c r="AF84" i="3"/>
  <c r="AH210" i="3" l="1"/>
  <c r="AH140" i="3"/>
  <c r="AF259" i="3"/>
  <c r="AI144" i="3"/>
  <c r="AG173" i="3"/>
  <c r="AG211" i="3"/>
  <c r="AG46" i="3"/>
  <c r="O180" i="14"/>
  <c r="AH83" i="14"/>
  <c r="AG84" i="14"/>
  <c r="AH139" i="14"/>
  <c r="AG140" i="14"/>
  <c r="AH187" i="14"/>
  <c r="AG188" i="14"/>
  <c r="Y85" i="14"/>
  <c r="AH131" i="3" s="1"/>
  <c r="X86" i="14"/>
  <c r="Y181" i="14"/>
  <c r="AH73" i="3" s="1"/>
  <c r="X182" i="14"/>
  <c r="AF174" i="3"/>
  <c r="AF11" i="3"/>
  <c r="AF204" i="3"/>
  <c r="AH144" i="3" l="1"/>
  <c r="AG172" i="3"/>
  <c r="AI48" i="3"/>
  <c r="AI131" i="3"/>
  <c r="O181" i="14"/>
  <c r="AG199" i="3"/>
  <c r="AG73" i="3"/>
  <c r="AG83" i="3"/>
  <c r="AG212" i="3"/>
  <c r="AH84" i="14"/>
  <c r="AI156" i="3" s="1"/>
  <c r="AG85" i="14"/>
  <c r="AH188" i="14"/>
  <c r="AG189" i="14"/>
  <c r="AH140" i="14"/>
  <c r="AG141" i="14"/>
  <c r="Y182" i="14"/>
  <c r="AH259" i="3" s="1"/>
  <c r="X183" i="14"/>
  <c r="Y86" i="14"/>
  <c r="X87" i="14"/>
  <c r="X135" i="14"/>
  <c r="AF241" i="3"/>
  <c r="AF262" i="3"/>
  <c r="AF66" i="3"/>
  <c r="AH148" i="3" l="1"/>
  <c r="AI160" i="3"/>
  <c r="AG159" i="3"/>
  <c r="AG130" i="3"/>
  <c r="O182" i="14"/>
  <c r="AG140" i="3"/>
  <c r="AG64" i="3"/>
  <c r="AG59" i="3"/>
  <c r="AH85" i="14"/>
  <c r="AG86" i="14"/>
  <c r="AH141" i="14"/>
  <c r="AG142" i="14"/>
  <c r="AH189" i="14"/>
  <c r="AG190" i="14"/>
  <c r="Y87" i="14"/>
  <c r="AH184" i="3" s="1"/>
  <c r="X88" i="14"/>
  <c r="Y135" i="14"/>
  <c r="X136" i="14"/>
  <c r="Y183" i="14"/>
  <c r="AH197" i="3" s="1"/>
  <c r="X184" i="14"/>
  <c r="AF211" i="3"/>
  <c r="AF198" i="3"/>
  <c r="AF103" i="3"/>
  <c r="AF197" i="3" l="1"/>
  <c r="AI49" i="3"/>
  <c r="AG148" i="3"/>
  <c r="AG155" i="3"/>
  <c r="AG259" i="3"/>
  <c r="O183" i="14"/>
  <c r="AG160" i="3"/>
  <c r="AH190" i="14"/>
  <c r="AI235" i="3" s="1"/>
  <c r="AG191" i="14"/>
  <c r="AH142" i="14"/>
  <c r="AG143" i="14"/>
  <c r="AH86" i="14"/>
  <c r="AG87" i="14"/>
  <c r="Y184" i="14"/>
  <c r="X185" i="14"/>
  <c r="Y136" i="14"/>
  <c r="X137" i="14"/>
  <c r="Y88" i="14"/>
  <c r="X89" i="14"/>
  <c r="AF216" i="3"/>
  <c r="AF17" i="3"/>
  <c r="AF177" i="3"/>
  <c r="AF212" i="3"/>
  <c r="AH61" i="3" l="1"/>
  <c r="AH212" i="3"/>
  <c r="AH17" i="3"/>
  <c r="AH16" i="3"/>
  <c r="AG127" i="3"/>
  <c r="AF163" i="3"/>
  <c r="AI58" i="3"/>
  <c r="AI20" i="3"/>
  <c r="AI145" i="3"/>
  <c r="AG248" i="3"/>
  <c r="AG16" i="3"/>
  <c r="O184" i="14"/>
  <c r="AG233" i="3"/>
  <c r="AG141" i="3"/>
  <c r="AH87" i="14"/>
  <c r="AI184" i="3" s="1"/>
  <c r="AG88" i="14"/>
  <c r="AG144" i="14"/>
  <c r="AH143" i="14"/>
  <c r="AI79" i="3" s="1"/>
  <c r="AH191" i="14"/>
  <c r="AG192" i="14"/>
  <c r="X90" i="14"/>
  <c r="Y89" i="14"/>
  <c r="X138" i="14"/>
  <c r="Y137" i="14"/>
  <c r="AH56" i="3" s="1"/>
  <c r="X186" i="14"/>
  <c r="Y185" i="14"/>
  <c r="AH163" i="3" s="1"/>
  <c r="AF225" i="3"/>
  <c r="AF191" i="3"/>
  <c r="AF111" i="3"/>
  <c r="AH172" i="3" l="1"/>
  <c r="AI86" i="3"/>
  <c r="AI114" i="3"/>
  <c r="AI18" i="3"/>
  <c r="AG113" i="3"/>
  <c r="AG138" i="3"/>
  <c r="AG197" i="3"/>
  <c r="O185" i="14"/>
  <c r="AG61" i="3"/>
  <c r="AH192" i="14"/>
  <c r="AG193" i="14"/>
  <c r="AH144" i="14"/>
  <c r="AI80" i="3" s="1"/>
  <c r="AG145" i="14"/>
  <c r="AH88" i="14"/>
  <c r="AG89" i="14"/>
  <c r="Y186" i="14"/>
  <c r="X187" i="14"/>
  <c r="Y138" i="14"/>
  <c r="X139" i="14"/>
  <c r="Y90" i="14"/>
  <c r="X91" i="14"/>
  <c r="AF172" i="3"/>
  <c r="AF138" i="3"/>
  <c r="AF81" i="3"/>
  <c r="AH114" i="3" l="1"/>
  <c r="AH70" i="3"/>
  <c r="AH160" i="3"/>
  <c r="AG60" i="3"/>
  <c r="AF20" i="3"/>
  <c r="AI19" i="3"/>
  <c r="O186" i="14"/>
  <c r="O187" i="14" s="1"/>
  <c r="AG164" i="3"/>
  <c r="AG17" i="3"/>
  <c r="AH145" i="14"/>
  <c r="AG146" i="14"/>
  <c r="AH193" i="14"/>
  <c r="AI220" i="3" s="1"/>
  <c r="AG194" i="14"/>
  <c r="AH89" i="14"/>
  <c r="AI203" i="3" s="1"/>
  <c r="AG90" i="14"/>
  <c r="Y91" i="14"/>
  <c r="AH237" i="3" s="1"/>
  <c r="X92" i="14"/>
  <c r="Y139" i="14"/>
  <c r="AH50" i="3" s="1"/>
  <c r="X140" i="14"/>
  <c r="Y187" i="14"/>
  <c r="X188" i="14"/>
  <c r="AF161" i="3"/>
  <c r="AF199" i="3"/>
  <c r="AF114" i="3"/>
  <c r="AF123" i="3"/>
  <c r="AG144" i="3" l="1"/>
  <c r="AG131" i="3"/>
  <c r="AI78" i="3"/>
  <c r="AI70" i="3"/>
  <c r="AI201" i="3"/>
  <c r="AG169" i="3"/>
  <c r="AG224" i="3"/>
  <c r="AG163" i="3"/>
  <c r="O188" i="14"/>
  <c r="AG114" i="3"/>
  <c r="AG56" i="3"/>
  <c r="AH146" i="14"/>
  <c r="AI50" i="3" s="1"/>
  <c r="AG147" i="14"/>
  <c r="AH90" i="14"/>
  <c r="AI210" i="3" s="1"/>
  <c r="AG91" i="14"/>
  <c r="AH194" i="14"/>
  <c r="AI21" i="3" s="1"/>
  <c r="AG195" i="14"/>
  <c r="Y140" i="14"/>
  <c r="X141" i="14"/>
  <c r="Y188" i="14"/>
  <c r="X189" i="14"/>
  <c r="Y92" i="14"/>
  <c r="AH88" i="3" s="1"/>
  <c r="X93" i="14"/>
  <c r="AF89" i="3"/>
  <c r="AF125" i="3"/>
  <c r="AF235" i="3"/>
  <c r="AG184" i="3" l="1"/>
  <c r="AG237" i="3"/>
  <c r="O189" i="14"/>
  <c r="AG162" i="3"/>
  <c r="AG214" i="3"/>
  <c r="AH195" i="14"/>
  <c r="AI22" i="3" s="1"/>
  <c r="AG196" i="14"/>
  <c r="AH91" i="14"/>
  <c r="AI212" i="3" s="1"/>
  <c r="AG92" i="14"/>
  <c r="AH147" i="14"/>
  <c r="AG148" i="14"/>
  <c r="Y189" i="14"/>
  <c r="X190" i="14"/>
  <c r="Y93" i="14"/>
  <c r="X94" i="14"/>
  <c r="Y141" i="14"/>
  <c r="AH42" i="3" s="1"/>
  <c r="X142" i="14"/>
  <c r="AF25" i="3"/>
  <c r="AF220" i="3"/>
  <c r="AF221" i="3"/>
  <c r="AF209" i="3"/>
  <c r="AH193" i="3" l="1"/>
  <c r="AH12" i="3"/>
  <c r="AH20" i="3"/>
  <c r="AH235" i="3"/>
  <c r="AF167" i="3"/>
  <c r="AF150" i="3"/>
  <c r="AI38" i="3"/>
  <c r="AI118" i="3"/>
  <c r="AG210" i="3"/>
  <c r="AG118" i="3"/>
  <c r="AG247" i="3"/>
  <c r="AG126" i="3"/>
  <c r="AG246" i="3"/>
  <c r="AG20" i="3"/>
  <c r="O190" i="14"/>
  <c r="AG106" i="3"/>
  <c r="AH196" i="14"/>
  <c r="AI23" i="3" s="1"/>
  <c r="AG197" i="14"/>
  <c r="AH148" i="14"/>
  <c r="AG149" i="14"/>
  <c r="AH92" i="14"/>
  <c r="AI237" i="3" s="1"/>
  <c r="AG93" i="14"/>
  <c r="Y190" i="14"/>
  <c r="AH145" i="3" s="1"/>
  <c r="X191" i="14"/>
  <c r="Y142" i="14"/>
  <c r="X143" i="14"/>
  <c r="Y94" i="14"/>
  <c r="X95" i="14"/>
  <c r="AF152" i="3"/>
  <c r="AF165" i="3"/>
  <c r="AF79" i="3"/>
  <c r="AH85" i="3" l="1"/>
  <c r="AH257" i="3"/>
  <c r="AI88" i="3"/>
  <c r="AI60" i="3"/>
  <c r="AH197" i="14"/>
  <c r="AI260" i="3" s="1"/>
  <c r="AG198" i="14"/>
  <c r="AH198" i="14" s="1"/>
  <c r="AI190" i="3" s="1"/>
  <c r="AG204" i="3"/>
  <c r="AG145" i="3"/>
  <c r="O191" i="14"/>
  <c r="AG88" i="3"/>
  <c r="AG107" i="3"/>
  <c r="AH93" i="14"/>
  <c r="AI257" i="3" s="1"/>
  <c r="AG94" i="14"/>
  <c r="AH149" i="14"/>
  <c r="AG150" i="14"/>
  <c r="Y95" i="14"/>
  <c r="X96" i="14"/>
  <c r="Y143" i="14"/>
  <c r="X144" i="14"/>
  <c r="Y191" i="14"/>
  <c r="X192" i="14"/>
  <c r="AF78" i="3"/>
  <c r="AF144" i="3"/>
  <c r="AF76" i="3"/>
  <c r="AF18" i="3" l="1"/>
  <c r="AI172" i="3"/>
  <c r="AI193" i="3"/>
  <c r="AG221" i="3"/>
  <c r="AG18" i="3"/>
  <c r="AG150" i="3"/>
  <c r="O192" i="14"/>
  <c r="AG220" i="3"/>
  <c r="AG79" i="3"/>
  <c r="AH150" i="14"/>
  <c r="AG151" i="14"/>
  <c r="AH94" i="14"/>
  <c r="AI12" i="3" s="1"/>
  <c r="AG95" i="14"/>
  <c r="Y192" i="14"/>
  <c r="AH19" i="3" s="1"/>
  <c r="X193" i="14"/>
  <c r="Y144" i="14"/>
  <c r="X145" i="14"/>
  <c r="Y96" i="14"/>
  <c r="X97" i="14"/>
  <c r="AF171" i="3"/>
  <c r="AF257" i="3"/>
  <c r="AF145" i="3"/>
  <c r="AF112" i="3"/>
  <c r="AF126" i="3" l="1"/>
  <c r="AF51" i="3"/>
  <c r="AI56" i="3"/>
  <c r="AI72" i="3"/>
  <c r="AI45" i="3"/>
  <c r="AI85" i="3"/>
  <c r="AH151" i="14"/>
  <c r="AG152" i="14"/>
  <c r="AG185" i="3"/>
  <c r="AG50" i="3"/>
  <c r="O193" i="14"/>
  <c r="AG19" i="3"/>
  <c r="AG235" i="3"/>
  <c r="AG191" i="3"/>
  <c r="AG85" i="3"/>
  <c r="AH95" i="14"/>
  <c r="AG96" i="14"/>
  <c r="Y193" i="14"/>
  <c r="X194" i="14"/>
  <c r="X98" i="14"/>
  <c r="Y97" i="14"/>
  <c r="X146" i="14"/>
  <c r="Y145" i="14"/>
  <c r="AF158" i="3"/>
  <c r="AF19" i="3"/>
  <c r="AF86" i="3"/>
  <c r="AF23" i="3"/>
  <c r="AH62" i="3" l="1"/>
  <c r="AH109" i="3"/>
  <c r="AH35" i="3"/>
  <c r="AH220" i="3"/>
  <c r="AG110" i="3"/>
  <c r="AG62" i="3"/>
  <c r="AG33" i="3"/>
  <c r="AH152" i="14"/>
  <c r="AG153" i="14"/>
  <c r="O194" i="14"/>
  <c r="AG209" i="3"/>
  <c r="AH96" i="14"/>
  <c r="AG97" i="14"/>
  <c r="Y194" i="14"/>
  <c r="X195" i="14"/>
  <c r="Y146" i="14"/>
  <c r="X147" i="14"/>
  <c r="Y98" i="14"/>
  <c r="X99" i="14"/>
  <c r="AF121" i="3"/>
  <c r="AF61" i="3"/>
  <c r="AF247" i="3"/>
  <c r="AH80" i="3" l="1"/>
  <c r="AH18" i="3"/>
  <c r="AF201" i="3"/>
  <c r="AH153" i="14"/>
  <c r="AG154" i="14"/>
  <c r="AG227" i="3"/>
  <c r="AG72" i="3"/>
  <c r="AG193" i="3"/>
  <c r="AG261" i="3"/>
  <c r="AG201" i="3"/>
  <c r="AG256" i="3"/>
  <c r="O195" i="14"/>
  <c r="AG34" i="3"/>
  <c r="AH97" i="14"/>
  <c r="AI35" i="3" s="1"/>
  <c r="AG98" i="14"/>
  <c r="Y99" i="14"/>
  <c r="X100" i="14"/>
  <c r="Y147" i="14"/>
  <c r="X148" i="14"/>
  <c r="Y195" i="14"/>
  <c r="X196" i="14"/>
  <c r="AF250" i="3"/>
  <c r="AF148" i="3"/>
  <c r="AF107" i="3"/>
  <c r="AH22" i="3" l="1"/>
  <c r="AH201" i="3"/>
  <c r="AG42" i="3"/>
  <c r="AG97" i="3"/>
  <c r="AF21" i="3"/>
  <c r="AH154" i="14"/>
  <c r="AG155" i="14"/>
  <c r="AG171" i="3"/>
  <c r="AG21" i="3"/>
  <c r="AG12" i="3"/>
  <c r="AG35" i="3"/>
  <c r="O196" i="14"/>
  <c r="AG47" i="3"/>
  <c r="AH98" i="14"/>
  <c r="AG99" i="14"/>
  <c r="Y196" i="14"/>
  <c r="X197" i="14"/>
  <c r="Y148" i="14"/>
  <c r="AH79" i="3" s="1"/>
  <c r="X149" i="14"/>
  <c r="Y100" i="14"/>
  <c r="X101" i="14"/>
  <c r="AF49" i="3"/>
  <c r="AF237" i="3"/>
  <c r="AF169" i="3"/>
  <c r="AH54" i="3" l="1"/>
  <c r="AH23" i="3"/>
  <c r="AH21" i="3"/>
  <c r="AF22" i="3"/>
  <c r="AI126" i="3"/>
  <c r="AI153" i="3"/>
  <c r="AH155" i="14"/>
  <c r="AG156" i="14"/>
  <c r="Y197" i="14"/>
  <c r="AH260" i="3" s="1"/>
  <c r="X198" i="14"/>
  <c r="Y198" i="14" s="1"/>
  <c r="AH190" i="3" s="1"/>
  <c r="AG22" i="3"/>
  <c r="O197" i="14"/>
  <c r="O198" i="14" s="1"/>
  <c r="AG190" i="3" s="1"/>
  <c r="AG257" i="3"/>
  <c r="AG67" i="3"/>
  <c r="AG13" i="3"/>
  <c r="AG51" i="3"/>
  <c r="AG102" i="3"/>
  <c r="AG54" i="3"/>
  <c r="AH99" i="14"/>
  <c r="AG100" i="14"/>
  <c r="Y149" i="14"/>
  <c r="X150" i="14"/>
  <c r="Y101" i="14"/>
  <c r="X102" i="14"/>
  <c r="AF134" i="3"/>
  <c r="AF88" i="3"/>
  <c r="AF135" i="3"/>
  <c r="AH156" i="14" l="1"/>
  <c r="AI42" i="3" s="1"/>
  <c r="AG157" i="14"/>
  <c r="Y102" i="14"/>
  <c r="X103" i="14"/>
  <c r="AG153" i="3"/>
  <c r="AG23" i="3"/>
  <c r="AG14" i="3"/>
  <c r="AG260" i="3"/>
  <c r="AG203" i="3"/>
  <c r="AG181" i="3"/>
  <c r="AG218" i="3"/>
  <c r="AG44" i="3"/>
  <c r="AF193" i="3"/>
  <c r="AH100" i="14"/>
  <c r="AG101" i="14"/>
  <c r="Y150" i="14"/>
  <c r="X151" i="14"/>
  <c r="AF194" i="3"/>
  <c r="AF101" i="3"/>
  <c r="AF156" i="3"/>
  <c r="AH102" i="3" l="1"/>
  <c r="AF260" i="3"/>
  <c r="AF190" i="3"/>
  <c r="AH157" i="14"/>
  <c r="AG158" i="14"/>
  <c r="Y151" i="14"/>
  <c r="X152" i="14"/>
  <c r="Y103" i="14"/>
  <c r="X104" i="14"/>
  <c r="AG198" i="3"/>
  <c r="AG91" i="3"/>
  <c r="AG200" i="3"/>
  <c r="AG139" i="3"/>
  <c r="AG142" i="3"/>
  <c r="AG57" i="3"/>
  <c r="AH101" i="14"/>
  <c r="AG102" i="14"/>
  <c r="AF154" i="3"/>
  <c r="AF131" i="3"/>
  <c r="AH51" i="3" l="1"/>
  <c r="AH107" i="3"/>
  <c r="AG63" i="3"/>
  <c r="AG87" i="3"/>
  <c r="AI139" i="3"/>
  <c r="AI81" i="3"/>
  <c r="AH102" i="14"/>
  <c r="AG103" i="14"/>
  <c r="AH158" i="14"/>
  <c r="AG159" i="14"/>
  <c r="Y104" i="14"/>
  <c r="X105" i="14"/>
  <c r="Y152" i="14"/>
  <c r="X153" i="14"/>
  <c r="AG146" i="3"/>
  <c r="AG109" i="3"/>
  <c r="AG177" i="3"/>
  <c r="AG93" i="3"/>
  <c r="AG116" i="3"/>
  <c r="AH139" i="3" l="1"/>
  <c r="AG81" i="3"/>
  <c r="AG80" i="3"/>
  <c r="AH159" i="14"/>
  <c r="AG160" i="14"/>
  <c r="AG104" i="14"/>
  <c r="AH103" i="14"/>
  <c r="Y153" i="14"/>
  <c r="X154" i="14"/>
  <c r="X106" i="14"/>
  <c r="Y105" i="14"/>
  <c r="AG183" i="3"/>
  <c r="AG179" i="3"/>
  <c r="AH57" i="3" l="1"/>
  <c r="AI116" i="3"/>
  <c r="AH160" i="14"/>
  <c r="AG161" i="14"/>
  <c r="AH104" i="14"/>
  <c r="AG105" i="14"/>
  <c r="Y106" i="14"/>
  <c r="X107" i="14"/>
  <c r="Y154" i="14"/>
  <c r="AH72" i="3" s="1"/>
  <c r="X155" i="14"/>
  <c r="AH34" i="3" l="1"/>
  <c r="AH67" i="3"/>
  <c r="AI97" i="3"/>
  <c r="AH105" i="14"/>
  <c r="AG106" i="14"/>
  <c r="AG162" i="14"/>
  <c r="AH161" i="14"/>
  <c r="X156" i="14"/>
  <c r="Y155" i="14"/>
  <c r="Y107" i="14"/>
  <c r="X108" i="14"/>
  <c r="AI128" i="3" l="1"/>
  <c r="AH162" i="14"/>
  <c r="AG163" i="14"/>
  <c r="AH106" i="14"/>
  <c r="AI54" i="3" s="1"/>
  <c r="AG107" i="14"/>
  <c r="Y108" i="14"/>
  <c r="AH47" i="3" s="1"/>
  <c r="X109" i="14"/>
  <c r="Y156" i="14"/>
  <c r="AH116" i="3" s="1"/>
  <c r="X157" i="14"/>
  <c r="AI159" i="3" l="1"/>
  <c r="AH163" i="14"/>
  <c r="AG164" i="14"/>
  <c r="AH107" i="14"/>
  <c r="AG108" i="14"/>
  <c r="X158" i="14"/>
  <c r="Y157" i="14"/>
  <c r="AH81" i="3" s="1"/>
  <c r="X110" i="14"/>
  <c r="Y109" i="14"/>
  <c r="AI142" i="3" l="1"/>
  <c r="AH164" i="14"/>
  <c r="AI187" i="3" s="1"/>
  <c r="AG165" i="14"/>
  <c r="AH108" i="14"/>
  <c r="AG109" i="14"/>
  <c r="Y110" i="14"/>
  <c r="X111" i="14"/>
  <c r="X159" i="14"/>
  <c r="Y158" i="14"/>
  <c r="AH60" i="3" l="1"/>
  <c r="AH126" i="3"/>
  <c r="AH75" i="3"/>
  <c r="AI51" i="3"/>
  <c r="AH109" i="14"/>
  <c r="AG110" i="14"/>
  <c r="AH165" i="14"/>
  <c r="AG166" i="14"/>
  <c r="Y159" i="14"/>
  <c r="X160" i="14"/>
  <c r="Y111" i="14"/>
  <c r="X112" i="14"/>
  <c r="AH91" i="3" l="1"/>
  <c r="AH153" i="3"/>
  <c r="AH159" i="3"/>
  <c r="AI211" i="3"/>
  <c r="AH110" i="14"/>
  <c r="AG111" i="14"/>
  <c r="AH166" i="14"/>
  <c r="AI204" i="3" s="1"/>
  <c r="AG167" i="14"/>
  <c r="Y112" i="14"/>
  <c r="AH44" i="3" s="1"/>
  <c r="X113" i="14"/>
  <c r="Y160" i="14"/>
  <c r="X161" i="14"/>
  <c r="AH142" i="3" l="1"/>
  <c r="AH150" i="3"/>
  <c r="AI102" i="3"/>
  <c r="AI167" i="3"/>
  <c r="AG112" i="14"/>
  <c r="AH111" i="14"/>
  <c r="AH167" i="14"/>
  <c r="AG168" i="14"/>
  <c r="Y161" i="14"/>
  <c r="AH97" i="3" s="1"/>
  <c r="X162" i="14"/>
  <c r="X114" i="14"/>
  <c r="Y113" i="14"/>
  <c r="AH89" i="3" s="1"/>
  <c r="AI150" i="3" l="1"/>
  <c r="AI179" i="3"/>
  <c r="AI44" i="3"/>
  <c r="AG169" i="14"/>
  <c r="AH168" i="14"/>
  <c r="AI209" i="3" s="1"/>
  <c r="AH112" i="14"/>
  <c r="AG113" i="14"/>
  <c r="Y114" i="14"/>
  <c r="AH93" i="3" s="1"/>
  <c r="X115" i="14"/>
  <c r="Y162" i="14"/>
  <c r="X163" i="14"/>
  <c r="AH128" i="3" l="1"/>
  <c r="AH211" i="3"/>
  <c r="AI109" i="3"/>
  <c r="AI137" i="3"/>
  <c r="AG114" i="14"/>
  <c r="AH113" i="14"/>
  <c r="AH169" i="14"/>
  <c r="AI224" i="3" s="1"/>
  <c r="AG170" i="14"/>
  <c r="X164" i="14"/>
  <c r="Y163" i="14"/>
  <c r="X116" i="14"/>
  <c r="Y115" i="14"/>
  <c r="AH209" i="3" l="1"/>
  <c r="AH173" i="3"/>
  <c r="AI62" i="3"/>
  <c r="AI158" i="3"/>
  <c r="AG171" i="14"/>
  <c r="AH170" i="14"/>
  <c r="AI248" i="3" s="1"/>
  <c r="AG115" i="14"/>
  <c r="AH114" i="14"/>
  <c r="AI91" i="3" s="1"/>
  <c r="Y116" i="14"/>
  <c r="AH33" i="3" s="1"/>
  <c r="X117" i="14"/>
  <c r="X165" i="14"/>
  <c r="Y164" i="14"/>
  <c r="AH167" i="3" s="1"/>
  <c r="AH261" i="3" l="1"/>
  <c r="AI171" i="3"/>
  <c r="AH115" i="14"/>
  <c r="AG116" i="14"/>
  <c r="AG172" i="14"/>
  <c r="AH171" i="14"/>
  <c r="AI246" i="3" s="1"/>
  <c r="X166" i="14"/>
  <c r="Y165" i="14"/>
  <c r="Y117" i="14"/>
  <c r="X118" i="14"/>
  <c r="AH224" i="3" l="1"/>
  <c r="AH117" i="3"/>
  <c r="AH181" i="3"/>
  <c r="AI107" i="3"/>
  <c r="AH172" i="14"/>
  <c r="AG173" i="14"/>
  <c r="AH173" i="14" s="1"/>
  <c r="AH116" i="14"/>
  <c r="AG117" i="14"/>
  <c r="Y118" i="14"/>
  <c r="X119" i="14"/>
  <c r="Y166" i="14"/>
  <c r="X167" i="14"/>
  <c r="AI218" i="3" l="1"/>
  <c r="AI261" i="3"/>
  <c r="AI155" i="3"/>
  <c r="AI256" i="3"/>
  <c r="AH120" i="3"/>
  <c r="AI164" i="3"/>
  <c r="AH117" i="14"/>
  <c r="AG118" i="14"/>
  <c r="X168" i="14"/>
  <c r="Y167" i="14"/>
  <c r="X120" i="14"/>
  <c r="Y119" i="14"/>
  <c r="AH101" i="3" s="1"/>
  <c r="AI110" i="3" l="1"/>
  <c r="AH248" i="3"/>
  <c r="AH118" i="14"/>
  <c r="AG119" i="14"/>
  <c r="Y120" i="14"/>
  <c r="X121" i="14"/>
  <c r="Y168" i="14"/>
  <c r="X169" i="14"/>
  <c r="AH137" i="3" l="1"/>
  <c r="AH187" i="3"/>
  <c r="AH63" i="3"/>
  <c r="AH59" i="3"/>
  <c r="AI101" i="3"/>
  <c r="AG120" i="14"/>
  <c r="AH119" i="14"/>
  <c r="AI117" i="3" s="1"/>
  <c r="X170" i="14"/>
  <c r="Y169" i="14"/>
  <c r="AH158" i="3" s="1"/>
  <c r="X122" i="14"/>
  <c r="Y121" i="14"/>
  <c r="AH82" i="3" s="1"/>
  <c r="AI75" i="3" l="1"/>
  <c r="AH120" i="14"/>
  <c r="AI120" i="3" s="1"/>
  <c r="AG121" i="14"/>
  <c r="Y122" i="14"/>
  <c r="AH87" i="3" s="1"/>
  <c r="X123" i="14"/>
  <c r="Y170" i="14"/>
  <c r="X171" i="14"/>
  <c r="AH171" i="3" l="1"/>
  <c r="AH246" i="3"/>
  <c r="AI63" i="3"/>
  <c r="AI98" i="3"/>
  <c r="AH121" i="14"/>
  <c r="AG122" i="14"/>
  <c r="X172" i="14"/>
  <c r="Y171" i="14"/>
  <c r="Y123" i="14"/>
  <c r="X124" i="14"/>
  <c r="AH113" i="3" l="1"/>
  <c r="AH110" i="3"/>
  <c r="AH155" i="3"/>
  <c r="AH204" i="3"/>
  <c r="AI67" i="3"/>
  <c r="AH122" i="14"/>
  <c r="AG123" i="14"/>
  <c r="Y124" i="14"/>
  <c r="X125" i="14"/>
  <c r="Y172" i="14"/>
  <c r="X173" i="14"/>
  <c r="Y173" i="14" s="1"/>
  <c r="AH164" i="3" l="1"/>
  <c r="AH256" i="3"/>
  <c r="AH169" i="3"/>
  <c r="AH218" i="3"/>
  <c r="AH179" i="3"/>
  <c r="AI113" i="3"/>
  <c r="AH123" i="14"/>
  <c r="AI146" i="3" s="1"/>
  <c r="AG124" i="14"/>
  <c r="Y125" i="14"/>
  <c r="X126" i="14"/>
  <c r="AH98" i="3" l="1"/>
  <c r="AH146" i="3"/>
  <c r="AI89" i="3"/>
  <c r="AI82" i="3"/>
  <c r="AH124" i="14"/>
  <c r="AG125" i="14"/>
  <c r="Y126" i="14"/>
  <c r="X127" i="14"/>
  <c r="AH83" i="3" l="1"/>
  <c r="AH185" i="3"/>
  <c r="AI34" i="3"/>
  <c r="AI121" i="3"/>
  <c r="AH125" i="14"/>
  <c r="AG126" i="14"/>
  <c r="Y127" i="14"/>
  <c r="X128" i="14"/>
  <c r="AI169" i="3" l="1"/>
  <c r="AH200" i="3"/>
  <c r="AH126" i="14"/>
  <c r="AG127" i="14"/>
  <c r="X129" i="14"/>
  <c r="Y128" i="14"/>
  <c r="AH95" i="3" s="1"/>
  <c r="AI87" i="3" l="1"/>
  <c r="AG128" i="14"/>
  <c r="AH127" i="14"/>
  <c r="AI181" i="3" s="1"/>
  <c r="X130" i="14"/>
  <c r="Y129" i="14"/>
  <c r="AH121" i="3" s="1"/>
  <c r="AI57" i="3" l="1"/>
  <c r="AI183" i="3"/>
  <c r="AH128" i="14"/>
  <c r="AG129" i="14"/>
  <c r="Y130" i="14"/>
  <c r="X131" i="14"/>
  <c r="AH134" i="3" l="1"/>
  <c r="AH227" i="3"/>
  <c r="AI173" i="3"/>
  <c r="AI95" i="3"/>
  <c r="AH129" i="14"/>
  <c r="AI185" i="3" s="1"/>
  <c r="AG130" i="14"/>
  <c r="Y131" i="14"/>
  <c r="X132" i="14"/>
  <c r="AH162" i="3" l="1"/>
  <c r="AH13" i="3"/>
  <c r="AI47" i="3"/>
  <c r="AI134" i="3"/>
  <c r="AH130" i="14"/>
  <c r="AI200" i="3" s="1"/>
  <c r="AG131" i="14"/>
  <c r="X133" i="14"/>
  <c r="Y132" i="14"/>
  <c r="AH233" i="3" l="1"/>
  <c r="AI59" i="3"/>
  <c r="AI93" i="3"/>
  <c r="AH131" i="14"/>
  <c r="AI227" i="3" s="1"/>
  <c r="AG132" i="14"/>
  <c r="Y133" i="14"/>
  <c r="X134" i="14"/>
  <c r="Y134" i="14" s="1"/>
  <c r="AH115" i="3" s="1"/>
  <c r="AH141" i="3" l="1"/>
  <c r="AH183" i="3"/>
  <c r="AH247" i="3"/>
  <c r="AI162" i="3"/>
  <c r="AG133" i="14"/>
  <c r="AH132" i="14"/>
  <c r="AI83" i="3" l="1"/>
  <c r="AH133" i="14"/>
  <c r="AI247" i="3" s="1"/>
  <c r="AG134" i="14"/>
  <c r="AH134" i="14" s="1"/>
  <c r="AI33" i="3" l="1"/>
  <c r="AI13" i="3"/>
  <c r="AI115" i="3"/>
  <c r="AI233" i="3"/>
  <c r="AI141" i="3"/>
</calcChain>
</file>

<file path=xl/connections.xml><?xml version="1.0" encoding="utf-8"?>
<connections xmlns="http://schemas.openxmlformats.org/spreadsheetml/2006/main">
  <connection id="1" keepAlive="1" name="intrep BI15 Sales" type="5" refreshedVersion="6" background="1" saveData="1">
    <dbPr connection="Provider=MSOLAP.5;Integrated Security=SSPI;Persist Security Info=True;Initial Catalog=BI15;Data Source=biprod;MDX Compatibility=1;Safety Options=2;MDX Missing Member Mode=Error;Update Isolation Level=2" command="Sal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intrep BI15 Sales"/>
    <s v="{[Dim Clearance Date].[Year].[All]}"/>
    <s v="{[Dim TMC].[TMC_KPI].[All]}"/>
    <s v="{[Dim Market For Strategic].[Market For Strategic ID].&amp;[2]}"/>
    <s v="{[Dim Clearance Date].[Month].&amp;[2025-01-01T00:00:00],[Dim Clearance Date].[Month].&amp;[2025-02-01T00:00:00],[Dim Clearance Date].[Month].&amp;[2025-03-01T00:00:00],[Dim Clearance Date].[Month].&amp;[2025-04-01T00:00:00],[Dim Clearance Date].[Month].&amp;[2025-05-01T00:00:00],[Dim Clearance Date].[Month].&amp;[2025-06-01T00:00:00]}"/>
    <s v="{[Dim Clearance Date].[Month].&amp;[2023-07-01T00:00:00],[Dim Clearance Date].[Month].&amp;[2023-08-01T00:00:00],[Dim Clearance Date].[Month].&amp;[2023-09-01T00:00:00],[Dim Clearance Date].[Month].&amp;[2023-10-01T00:00:00],[Dim Clearance Date].[Month].&amp;[2023-11-01T00:00:00],[Dim Clearance Date].[Month].&amp;[2023-12-01T00:00:00]}"/>
    <s v="{[Dim Clearance Date].[Month].&amp;[2024-01-01T00:00:00],[Dim Clearance Date].[Month].&amp;[2024-02-01T00:00:00],[Dim Clearance Date].[Month].&amp;[2024-03-01T00:00:00],[Dim Clearance Date].[Month].&amp;[2024-04-01T00:00:00],[Dim Clearance Date].[Month].&amp;[2024-05-01T00:00:00],[Dim Clearance Date].[Month].&amp;[2024-06-01T00:00:00]}"/>
    <s v="{[Dim Clearance Date].[Month].&amp;[2024-07-01T00:00:00],[Dim Clearance Date].[Month].&amp;[2024-08-01T00:00:00],[Dim Clearance Date].[Month].&amp;[2024-09-01T00:00:00],[Dim Clearance Date].[Month].&amp;[2024-10-01T00:00:00],[Dim Clearance Date].[Month].&amp;[2024-11-01T00:00:00],[Dim Clearance Date].[Month].&amp;[2024-12-01T00:00:00]}"/>
    <s v="{[Dim TMC].[TMC Line Model].[All]}"/>
    <s v="{[Dim Market For Strategic].[Market For Strategic ID].&amp;[6],[Dim Market For Strategic].[Market For Strategic ID].&amp;[7]}"/>
    <s v="{[Dim CFO Simple].[CFOID].[All]}"/>
    <s v="{[Dim Clearance Date].[Month].&amp;[2024-10-01T00:00:00],[Dim Clearance Date].[Month].&amp;[2024-11-01T00:00:00],[Dim Clearance Date].[Month].&amp;[2024-12-01T00:00:00]}"/>
    <s v="{[Dim Clearance Date].[Month].&amp;[2025-04-01T00:00:00],[Dim Clearance Date].[Month].&amp;[2025-05-01T00:00:00],[Dim Clearance Date].[Month].&amp;[2025-06-01T00:00:00]}"/>
    <s v="{[Dim Clearance Date].[Month].&amp;[2025-07-01T00:00:00],[Dim Clearance Date].[Month].&amp;[2025-08-01T00:00:00],[Dim Clearance Date].[Month].&amp;[2025-09-01T00:00:00]}"/>
    <s v="{[Dim Clearance Date].[Month].&amp;[2025-10-01T00:00:00],[Dim Clearance Date].[Month].&amp;[2025-11-01T00:00:00],[Dim Clearance Date].[Month].&amp;[2025-12-01T00:00:00]}"/>
  </metadataStrings>
  <mdxMetadata count="14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</mdx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<sst xmlns="http://schemas.openxmlformats.org/spreadsheetml/2006/main" count="4143" uniqueCount="505">
  <si>
    <t>All</t>
  </si>
  <si>
    <t>Дата ГТД.Год</t>
  </si>
  <si>
    <t>Тип ТМЦ для KPI</t>
  </si>
  <si>
    <t>Названия строк</t>
  </si>
  <si>
    <t>Общий итог</t>
  </si>
  <si>
    <t>Дата ГТД.Месяц</t>
  </si>
  <si>
    <t>(несколько элементов)</t>
  </si>
  <si>
    <t>ALFA</t>
  </si>
  <si>
    <t>AMELY</t>
  </si>
  <si>
    <t>ARGENTO</t>
  </si>
  <si>
    <t>ASCONA</t>
  </si>
  <si>
    <t>ATLANT</t>
  </si>
  <si>
    <t>BAMBO</t>
  </si>
  <si>
    <t>BC-11</t>
  </si>
  <si>
    <t>BETTA</t>
  </si>
  <si>
    <t>MALTA</t>
  </si>
  <si>
    <t>BONN</t>
  </si>
  <si>
    <t>BOOM</t>
  </si>
  <si>
    <t>BOSS</t>
  </si>
  <si>
    <t>CADDY</t>
  </si>
  <si>
    <t>CALIFORNIA</t>
  </si>
  <si>
    <t>CAMILLA</t>
  </si>
  <si>
    <t>CHESTER</t>
  </si>
  <si>
    <t>CHICO</t>
  </si>
  <si>
    <t>CLASSIC</t>
  </si>
  <si>
    <t>CLUB</t>
  </si>
  <si>
    <t>COMFORT</t>
  </si>
  <si>
    <t>CUBA</t>
  </si>
  <si>
    <t>CUBIC</t>
  </si>
  <si>
    <t>DAKAR</t>
  </si>
  <si>
    <t>DESILVA</t>
  </si>
  <si>
    <t>DIPLOMAT</t>
  </si>
  <si>
    <t>ERA</t>
  </si>
  <si>
    <t>EVOLUTION</t>
  </si>
  <si>
    <t>EXPERT</t>
  </si>
  <si>
    <t>FACTOR</t>
  </si>
  <si>
    <t>FARAON</t>
  </si>
  <si>
    <t>FIDEL</t>
  </si>
  <si>
    <t>FLORIDA</t>
  </si>
  <si>
    <t>FLORINO</t>
  </si>
  <si>
    <t>FOREX</t>
  </si>
  <si>
    <t>FORSAGE</t>
  </si>
  <si>
    <t>FOX</t>
  </si>
  <si>
    <t>GALANT</t>
  </si>
  <si>
    <t>GALAXY</t>
  </si>
  <si>
    <t>GERMES</t>
  </si>
  <si>
    <t>HIP-HOP</t>
  </si>
  <si>
    <t>INCANTO</t>
  </si>
  <si>
    <t>INTER</t>
  </si>
  <si>
    <t>IRIS</t>
  </si>
  <si>
    <t>ISIT</t>
  </si>
  <si>
    <t>ISO</t>
  </si>
  <si>
    <t>ISO GTP</t>
  </si>
  <si>
    <t>ISO GTS</t>
  </si>
  <si>
    <t>JACK</t>
  </si>
  <si>
    <t>JOLA</t>
  </si>
  <si>
    <t>JUPITER</t>
  </si>
  <si>
    <t>KING</t>
  </si>
  <si>
    <t>LATINA</t>
  </si>
  <si>
    <t>LOGICA</t>
  </si>
  <si>
    <t>MANAGER</t>
  </si>
  <si>
    <t>MARCO</t>
  </si>
  <si>
    <t>MARINO</t>
  </si>
  <si>
    <t>MARTIN</t>
  </si>
  <si>
    <t>MASTER</t>
  </si>
  <si>
    <t>MINISTER</t>
  </si>
  <si>
    <t>MINISTYLE</t>
  </si>
  <si>
    <t>MODUS</t>
  </si>
  <si>
    <t>NADIR</t>
  </si>
  <si>
    <t>NERON</t>
  </si>
  <si>
    <t>NETWORK</t>
  </si>
  <si>
    <t>NOVA</t>
  </si>
  <si>
    <t>OFFIX</t>
  </si>
  <si>
    <t>OLIVIA</t>
  </si>
  <si>
    <t>ORION</t>
  </si>
  <si>
    <t>ORMAN</t>
  </si>
  <si>
    <t>PRESTIGE</t>
  </si>
  <si>
    <t>RALPH</t>
  </si>
  <si>
    <t>REGAL</t>
  </si>
  <si>
    <t>RIGA</t>
  </si>
  <si>
    <t>ROSE</t>
  </si>
  <si>
    <t>SAMBA</t>
  </si>
  <si>
    <t>SAMBA GTP</t>
  </si>
  <si>
    <t>SEVEN</t>
  </si>
  <si>
    <t>SOFI</t>
  </si>
  <si>
    <t>SOLO</t>
  </si>
  <si>
    <t>STAFF</t>
  </si>
  <si>
    <t>STAR</t>
  </si>
  <si>
    <t>STOOL</t>
  </si>
  <si>
    <t>SYLWIA</t>
  </si>
  <si>
    <t>TAILER</t>
  </si>
  <si>
    <t>TASK</t>
  </si>
  <si>
    <t>TEDDY</t>
  </si>
  <si>
    <t>TIZIANO</t>
  </si>
  <si>
    <t>TULIPAN</t>
  </si>
  <si>
    <t>TUTTI</t>
  </si>
  <si>
    <t>VENUS</t>
  </si>
  <si>
    <t>VERONA</t>
  </si>
  <si>
    <t>VIOLA</t>
  </si>
  <si>
    <t>VISITOR</t>
  </si>
  <si>
    <t>VULKANO</t>
  </si>
  <si>
    <t>WAIT</t>
  </si>
  <si>
    <t>ZETA</t>
  </si>
  <si>
    <t>OFFICE</t>
  </si>
  <si>
    <t>ARIZONA</t>
  </si>
  <si>
    <t>CACTUS</t>
  </si>
  <si>
    <t>VENEZIA</t>
  </si>
  <si>
    <t>KAJA</t>
  </si>
  <si>
    <t>KARINA</t>
  </si>
  <si>
    <t>ROZANA</t>
  </si>
  <si>
    <t>SONIA</t>
  </si>
  <si>
    <t>TETRA</t>
  </si>
  <si>
    <t>TIRAMISU</t>
  </si>
  <si>
    <t>TRACY</t>
  </si>
  <si>
    <t>Столешницы барного стола</t>
  </si>
  <si>
    <t>КАТЕГОРИЯ</t>
  </si>
  <si>
    <t>КРЕСЛА ОПЕРАТОРСКИЕ</t>
  </si>
  <si>
    <t>Рост Дохода</t>
  </si>
  <si>
    <t>Темная лошадка</t>
  </si>
  <si>
    <t>Звезда</t>
  </si>
  <si>
    <t>Корова</t>
  </si>
  <si>
    <t>Собака</t>
  </si>
  <si>
    <t>Группа по BCG</t>
  </si>
  <si>
    <t>ЦФО без иерархии</t>
  </si>
  <si>
    <t>Рынок под стратегические цели</t>
  </si>
  <si>
    <t>Рынок Украина</t>
  </si>
  <si>
    <t>BOOSTER</t>
  </si>
  <si>
    <t>BOSTON</t>
  </si>
  <si>
    <t>CREDO</t>
  </si>
  <si>
    <t>GEFEST</t>
  </si>
  <si>
    <t>MEXICO</t>
  </si>
  <si>
    <t>OSTIN</t>
  </si>
  <si>
    <t>TALIO</t>
  </si>
  <si>
    <t>TRADE</t>
  </si>
  <si>
    <t>ABSOLUTE</t>
  </si>
  <si>
    <t>AIR</t>
  </si>
  <si>
    <t>ALI</t>
  </si>
  <si>
    <t>ALIYA</t>
  </si>
  <si>
    <t>ALLER</t>
  </si>
  <si>
    <t>ANGLE</t>
  </si>
  <si>
    <t>AQUA</t>
  </si>
  <si>
    <t>BADEN</t>
  </si>
  <si>
    <t>BERN</t>
  </si>
  <si>
    <t>BLITZ</t>
  </si>
  <si>
    <t>BRAVOS</t>
  </si>
  <si>
    <t>BRUNO</t>
  </si>
  <si>
    <t>BUROKRAT</t>
  </si>
  <si>
    <t>CASEY</t>
  </si>
  <si>
    <t>DELTA</t>
  </si>
  <si>
    <t>DOLCE</t>
  </si>
  <si>
    <t>ELLY</t>
  </si>
  <si>
    <t>ERA GTP</t>
  </si>
  <si>
    <t>FALCON</t>
  </si>
  <si>
    <t>FLY</t>
  </si>
  <si>
    <t>FLY HB</t>
  </si>
  <si>
    <t>GAMER</t>
  </si>
  <si>
    <t>GLORY</t>
  </si>
  <si>
    <t>GLORY KIDS</t>
  </si>
  <si>
    <t>HEXTER ML</t>
  </si>
  <si>
    <t>HEXTER XL</t>
  </si>
  <si>
    <t>HEXTER XR</t>
  </si>
  <si>
    <t>ISO NET</t>
  </si>
  <si>
    <t>JUNIOR</t>
  </si>
  <si>
    <t>KAJA EXT</t>
  </si>
  <si>
    <t>LABORANT</t>
  </si>
  <si>
    <t>LEAVES</t>
  </si>
  <si>
    <t>LIBERTY</t>
  </si>
  <si>
    <t>LIYA</t>
  </si>
  <si>
    <t>LIYA GTS</t>
  </si>
  <si>
    <t>MATRIX</t>
  </si>
  <si>
    <t>MEDICO</t>
  </si>
  <si>
    <t>MILANA</t>
  </si>
  <si>
    <t>MILANA GTS</t>
  </si>
  <si>
    <t>MODERN</t>
  </si>
  <si>
    <t>MORFEO</t>
  </si>
  <si>
    <t>NAVIGO</t>
  </si>
  <si>
    <t>NETWORK CF</t>
  </si>
  <si>
    <t>NICOLE</t>
  </si>
  <si>
    <t>NIK</t>
  </si>
  <si>
    <t>N-JOY</t>
  </si>
  <si>
    <t>PIKE</t>
  </si>
  <si>
    <t>POLLY</t>
  </si>
  <si>
    <t>RALPH GTP</t>
  </si>
  <si>
    <t>RALPH HOKER</t>
  </si>
  <si>
    <t>RAY</t>
  </si>
  <si>
    <t>SHELLI</t>
  </si>
  <si>
    <t>SLIM</t>
  </si>
  <si>
    <t>SPRINT</t>
  </si>
  <si>
    <t>STANDART</t>
  </si>
  <si>
    <t>STILO</t>
  </si>
  <si>
    <t>TAKTIK</t>
  </si>
  <si>
    <t>TASK GTP</t>
  </si>
  <si>
    <t>TELA</t>
  </si>
  <si>
    <t>TOKYO</t>
  </si>
  <si>
    <t>VENSAN</t>
  </si>
  <si>
    <t>VENTA</t>
  </si>
  <si>
    <t>VISION</t>
  </si>
  <si>
    <t>WAIT GTP</t>
  </si>
  <si>
    <t>WEBSTAR</t>
  </si>
  <si>
    <t>WESTER</t>
  </si>
  <si>
    <t>WESTER GTP</t>
  </si>
  <si>
    <t>WINNER</t>
  </si>
  <si>
    <t>XEON</t>
  </si>
  <si>
    <t>YAPPI</t>
  </si>
  <si>
    <t>ZENITH</t>
  </si>
  <si>
    <t>РАМА 4L</t>
  </si>
  <si>
    <t>РАМА 4LХ</t>
  </si>
  <si>
    <t>РАМА CF</t>
  </si>
  <si>
    <t>РАМА CFS</t>
  </si>
  <si>
    <t>РАМА HANNA</t>
  </si>
  <si>
    <t>РАМА WOOD</t>
  </si>
  <si>
    <t>СИДЕНЬЕ D34</t>
  </si>
  <si>
    <t>СИДЕНЬЕ D38</t>
  </si>
  <si>
    <t>СИДЕНЬЕ D40</t>
  </si>
  <si>
    <t>СТОЛ ДЛЯ СТОЛОВОЙ E-561</t>
  </si>
  <si>
    <t>СТОЛ КОНФЕРЕНЦ. E-301</t>
  </si>
  <si>
    <t>СТОЛ УЧЕН. E-161</t>
  </si>
  <si>
    <t>СТОЛ УЧЕН. E-162</t>
  </si>
  <si>
    <t>СТОЛ УЧЕН. E-163</t>
  </si>
  <si>
    <t>СТОЛ УЧЕН. E-174</t>
  </si>
  <si>
    <t>СТОЛ УЧЕН. E-178</t>
  </si>
  <si>
    <t>СТУЛ УЧЕН. E-261</t>
  </si>
  <si>
    <t>СТУЛ УЧЕН. E-263</t>
  </si>
  <si>
    <t>СТУЛ УЧЕН. E-266</t>
  </si>
  <si>
    <t>СТУЛ УЧЕН. E-273</t>
  </si>
  <si>
    <t>СТУЛ УЧЕН. E-274</t>
  </si>
  <si>
    <t>_Линия модели не задана</t>
  </si>
  <si>
    <t>BANDI</t>
  </si>
  <si>
    <t>NICOLE GTS</t>
  </si>
  <si>
    <t>NICOLE HOKER</t>
  </si>
  <si>
    <t>N-OFFICE</t>
  </si>
  <si>
    <t>RAY HOKER</t>
  </si>
  <si>
    <t>TWINKS</t>
  </si>
  <si>
    <t>Бюджет Lite</t>
  </si>
  <si>
    <t>РАМА FOXY</t>
  </si>
  <si>
    <t>СТОЛ УЧЕН. E-172</t>
  </si>
  <si>
    <t>СТОЛ УЧЕН. E-176</t>
  </si>
  <si>
    <t>СТОЛ УЧЕН. E-179</t>
  </si>
  <si>
    <t>СТУЛ УЧЕН. E-276</t>
  </si>
  <si>
    <t>FINE</t>
  </si>
  <si>
    <t>FORWARD</t>
  </si>
  <si>
    <t>JANE</t>
  </si>
  <si>
    <t>LIRA</t>
  </si>
  <si>
    <t>OXFORD</t>
  </si>
  <si>
    <t>ROCKY</t>
  </si>
  <si>
    <t>ULTRA</t>
  </si>
  <si>
    <t>ВЕШАЛКИ НАПОЛЬНЫЕ</t>
  </si>
  <si>
    <t>КОМПЛЕКТУЮЩИЕ СТОЛОВ, КРЕСЕЛ И СТУЛЬЕВ ОБЕДЕННЫХ</t>
  </si>
  <si>
    <t>КРЕСЛА ГЕЙМЕРСКИЕ</t>
  </si>
  <si>
    <t>КРЕСЛА ДЕТСКИЕ</t>
  </si>
  <si>
    <t>КРЕСЛА И СТУЛЬЯ СПЕЦИАЛЬНЫЕ</t>
  </si>
  <si>
    <t>КРЕСЛА РУКОВОДИТЕЛЯ</t>
  </si>
  <si>
    <t>КРЕСЛА/СТУЛЬЯ ОБЕДЕННЫЕ</t>
  </si>
  <si>
    <t>МЯГКАЯ МЕБЕЛЬ</t>
  </si>
  <si>
    <t>ПАРТЫ УЧЕНИЧЕСКИЕ</t>
  </si>
  <si>
    <t>СТОЛИКИ ЖУРНАЛЬНЫЕ</t>
  </si>
  <si>
    <t>СТОЛЫ ОБЕДЕННЫЕ</t>
  </si>
  <si>
    <t>СТОЛЫ ОФИСНЫЕ/КОМПЬЮТЕРНЫЕ</t>
  </si>
  <si>
    <t>СТУЛЬЯ БАРНЫЕ</t>
  </si>
  <si>
    <t>СТУЛЬЯ ПОСЕТИТЕЛЬСКИЕ</t>
  </si>
  <si>
    <t>СТУЛЬЯ УЧЕНИЧЕСКИЕ</t>
  </si>
  <si>
    <t>Категория</t>
  </si>
  <si>
    <t>Линия модели</t>
  </si>
  <si>
    <t>FRAME</t>
  </si>
  <si>
    <t>медиана</t>
  </si>
  <si>
    <t>SMART</t>
  </si>
  <si>
    <t>LIPS</t>
  </si>
  <si>
    <t>FORM</t>
  </si>
  <si>
    <t>Ф_Кол-во</t>
  </si>
  <si>
    <t>REWIND</t>
  </si>
  <si>
    <t>СТОЛ УЧЕН. E-177</t>
  </si>
  <si>
    <t>ДИВАНЫ НЕРАСКЛАДНЫЕ, ПУФЫ</t>
  </si>
  <si>
    <t>КРЕСЛА МЯГКИЕ ЛАУНЖ</t>
  </si>
  <si>
    <t>СКАМЬЯ E-661</t>
  </si>
  <si>
    <t>VENSAN GTP</t>
  </si>
  <si>
    <t>СТУЛ УЧЕН. E-279</t>
  </si>
  <si>
    <t>NICE</t>
  </si>
  <si>
    <t>PEONY</t>
  </si>
  <si>
    <t>VERONIKA</t>
  </si>
  <si>
    <t>BESTA</t>
  </si>
  <si>
    <t>FRANK</t>
  </si>
  <si>
    <t>ASTI</t>
  </si>
  <si>
    <t>СТОЛ УЧЕН. E-175</t>
  </si>
  <si>
    <t>СТУЛ УЧЕН. E-275</t>
  </si>
  <si>
    <t>ARGON</t>
  </si>
  <si>
    <t>FIXY</t>
  </si>
  <si>
    <t>TACO</t>
  </si>
  <si>
    <t>КОМПЛЕКТ НА РОЛИКАХ</t>
  </si>
  <si>
    <t>ПРОЧЕЕ</t>
  </si>
  <si>
    <t>Комплектующие и механизмы</t>
  </si>
  <si>
    <t>НЕСЕРИЯ</t>
  </si>
  <si>
    <t>Меган</t>
  </si>
  <si>
    <t>Мега</t>
  </si>
  <si>
    <t>СТУЛ УЧЕН. E-278</t>
  </si>
  <si>
    <t>СТУЛ УЧЕН. E-264</t>
  </si>
  <si>
    <t>СТУЛ УЧЕН. E-265</t>
  </si>
  <si>
    <t>ROUND</t>
  </si>
  <si>
    <t>SIMPLE</t>
  </si>
  <si>
    <t>Премьера</t>
  </si>
  <si>
    <t>Верона</t>
  </si>
  <si>
    <t>Флекс</t>
  </si>
  <si>
    <t>Сплит</t>
  </si>
  <si>
    <t>ТКАНЬ</t>
  </si>
  <si>
    <t>CALIPSO</t>
  </si>
  <si>
    <t>03_НСУ_Відділ продажів_НСУ</t>
  </si>
  <si>
    <t>FORM GTS</t>
  </si>
  <si>
    <t>VERONIKA GTS</t>
  </si>
  <si>
    <t>ASTI GTS</t>
  </si>
  <si>
    <t>MAGRO</t>
  </si>
  <si>
    <t>DISCRETO</t>
  </si>
  <si>
    <t>FRIDAY</t>
  </si>
  <si>
    <t>LUCKY</t>
  </si>
  <si>
    <t>LENARD</t>
  </si>
  <si>
    <t>LIPS HOKER</t>
  </si>
  <si>
    <t>FORM HOKER</t>
  </si>
  <si>
    <t>BOSS KD</t>
  </si>
  <si>
    <t>РАМА NX</t>
  </si>
  <si>
    <t>теряют популярность, но приносят прибыль</t>
  </si>
  <si>
    <t>прибыльны и продолжают захватывать рынок</t>
  </si>
  <si>
    <t>не интересны потребителю и плохо продаются</t>
  </si>
  <si>
    <t>пользуются спросом, но еще слабо представлены на рынке</t>
  </si>
  <si>
    <t>DASTER</t>
  </si>
  <si>
    <t>GRAND</t>
  </si>
  <si>
    <t>Октябрь 2024</t>
  </si>
  <si>
    <t>Ноябрь 2024</t>
  </si>
  <si>
    <t>Декабрь 2024</t>
  </si>
  <si>
    <t>РАМА NXL</t>
  </si>
  <si>
    <t>DIRECTOR</t>
  </si>
  <si>
    <t>RUNN</t>
  </si>
  <si>
    <t>КРЕСЛА НА РОЛИКАХ</t>
  </si>
  <si>
    <t>июль-декабрь 2024</t>
  </si>
  <si>
    <t>Апрель 2025</t>
  </si>
  <si>
    <t>Май 2025</t>
  </si>
  <si>
    <t>Июнь 2025</t>
  </si>
  <si>
    <t>июль-декабрь 2023</t>
  </si>
  <si>
    <t>Медиана</t>
  </si>
  <si>
    <t>KONSUL</t>
  </si>
  <si>
    <t>рост доли в доходах ниже предыдущего периода, а доля в доходах ниже медианы</t>
  </si>
  <si>
    <t>рост доли в доходах выше предыдущего периода, а доля в доходах выше медианы</t>
  </si>
  <si>
    <t>рост доли в доходах ниже предыдущего периода, а доля в доходах выше медианы</t>
  </si>
  <si>
    <t>рост доли в доходах выше предыдущего периода, а доля в доходах ниже медианы</t>
  </si>
  <si>
    <t>DASTER GTP</t>
  </si>
  <si>
    <t>IRON</t>
  </si>
  <si>
    <t>Периоды отчета</t>
  </si>
  <si>
    <t>03_НСУ_Відділ проектних продажів_НСУ</t>
  </si>
  <si>
    <t>03_НСУ_Відділ експортного продажу_НСУ</t>
  </si>
  <si>
    <t>03_СКФ_Відділ з реалізації непродовольчих товарів на замовлення зразків_СКФ</t>
  </si>
  <si>
    <t>03_НСУ_Відділ продажів e-commerce_НСУ</t>
  </si>
  <si>
    <t>03_НСУ_Відділ тендерних продажів_НСУ</t>
  </si>
  <si>
    <t>03_ЕКТ_Відділ по роботі з торгівельними мережами_ЕКТ</t>
  </si>
  <si>
    <t>03_ЕКТ_Відділ проектних продажів_ЕКТ</t>
  </si>
  <si>
    <t>03_ЕКТ_Відділ тендерних продажів_ЕКТ</t>
  </si>
  <si>
    <t>Ф_UCH_Доход</t>
  </si>
  <si>
    <t>Доля Ф_UCH_Доход %</t>
  </si>
  <si>
    <t>Ф_UCH_М2</t>
  </si>
  <si>
    <t>Рост Дохода к аналогич. периоду</t>
  </si>
  <si>
    <t>ЛИНИЯ МОДЕЛИ</t>
  </si>
  <si>
    <t>МАТРАСЫ</t>
  </si>
  <si>
    <t>VERONIKA HOKER</t>
  </si>
  <si>
    <t>WEENY</t>
  </si>
  <si>
    <t>Инфо</t>
  </si>
  <si>
    <t xml:space="preserve">Продажи за июль-декабрь 2023, шт </t>
  </si>
  <si>
    <t xml:space="preserve">Доход за июль-декабрь 2023, грн. </t>
  </si>
  <si>
    <t xml:space="preserve">Продажи за январь - июнь 2024, шт </t>
  </si>
  <si>
    <t xml:space="preserve">Доход за январь - июнь 2024, грн. </t>
  </si>
  <si>
    <t xml:space="preserve">Продажи за июль-декабрь 2024, шт. </t>
  </si>
  <si>
    <t xml:space="preserve"> Доход за июль-декабрь 2024, грн. </t>
  </si>
  <si>
    <t xml:space="preserve">Продажи за январь - июнь 2025, шт </t>
  </si>
  <si>
    <t xml:space="preserve">Доход за январь - июнь 2025, грн </t>
  </si>
  <si>
    <t xml:space="preserve">Доля в доходах за январь - июнь 2025 </t>
  </si>
  <si>
    <t>Доля в категории</t>
  </si>
  <si>
    <t>Доп</t>
  </si>
  <si>
    <t>Анализ январь - июнь 2024</t>
  </si>
  <si>
    <t>Анализ июль-декабрь 2024</t>
  </si>
  <si>
    <t>Анализ январь - июнь 2025</t>
  </si>
  <si>
    <t>ABC анализ</t>
  </si>
  <si>
    <t xml:space="preserve">Маржа за июль-декабрь 2023, грн. </t>
  </si>
  <si>
    <t xml:space="preserve">Маржа за январь - июнь 2024, грн. </t>
  </si>
  <si>
    <t xml:space="preserve">Маржа за июль-декабрь 2024, грн. </t>
  </si>
  <si>
    <t xml:space="preserve">Маржа за январь - июнь 2025, грн </t>
  </si>
  <si>
    <t>Изменение 01-06.2024 к 07-12.2023</t>
  </si>
  <si>
    <t>Изменение 07-12.2024 к 01-06.2024</t>
  </si>
  <si>
    <t>Изменение 01-06.2025 к 07-12.2024</t>
  </si>
  <si>
    <t>01-06.2024 к 07-12.2023</t>
  </si>
  <si>
    <t>07-12.2024 к 01-06.2024</t>
  </si>
  <si>
    <t>01-06.2025 к 07-12.2024</t>
  </si>
  <si>
    <t>За счет стола 176 и стула и стула 279 в октябре</t>
  </si>
  <si>
    <t>За счет столов Modern, argon, aqua, talio, calipso, casey</t>
  </si>
  <si>
    <t>МЕБЕЛЬ КОРПУСНАЯ</t>
  </si>
  <si>
    <t>КРОВАТИ И МАТРАСЫ</t>
  </si>
  <si>
    <t>ШКОЛЬНАЯ МЕБЕЛЬ</t>
  </si>
  <si>
    <t>Общий итог, млн. грн.</t>
  </si>
  <si>
    <t>январь-июнь 2024</t>
  </si>
  <si>
    <t>январь-июнь 2025</t>
  </si>
  <si>
    <t>I 2024 к II 2023</t>
  </si>
  <si>
    <t>II 2024 к I 2024</t>
  </si>
  <si>
    <t>I 2025 к II 2024</t>
  </si>
  <si>
    <t>I 2025 к I 2024</t>
  </si>
  <si>
    <t>Прочие</t>
  </si>
  <si>
    <t>Изменение 01-06.2025 к 01-06.2024</t>
  </si>
  <si>
    <t>Общая динамика</t>
  </si>
  <si>
    <t>сравниваем 1 полугодие 2025 с 1 полугодием 2024 и со втормым полугодием 2024</t>
  </si>
  <si>
    <t>внести новое и удалить выведенные</t>
  </si>
  <si>
    <t>апрель - июнь 2025</t>
  </si>
  <si>
    <t>июль - сентябрь 2025</t>
  </si>
  <si>
    <t>октябрь - декабрь 2025</t>
  </si>
  <si>
    <t>октябрь - декабрь 2024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</si>
  <si>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</si>
  <si>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</si>
  <si>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</si>
  <si>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</si>
  <si>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</si>
  <si>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</si>
  <si>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октябрь - декабрь 2024 (IV кв 2024)</t>
  </si>
  <si>
    <t>апрель - июнь 2025  (II кв 2025)</t>
  </si>
  <si>
    <t>июль - сентябрь 2025  (III кв 2025)</t>
  </si>
  <si>
    <t>октябрь - декабрь 2025 (IV кв 2025)</t>
  </si>
  <si>
    <t>BETA</t>
  </si>
  <si>
    <t>STRONGMAN</t>
  </si>
  <si>
    <t>PEGASO</t>
  </si>
  <si>
    <t>NEAT</t>
  </si>
  <si>
    <t>ALEX</t>
  </si>
  <si>
    <t>SENIOR</t>
  </si>
  <si>
    <t>Продажи за октябрь - декабрь 2024 (IV кв 2024), шт</t>
  </si>
  <si>
    <t>Доход за октябрь - декабрь 2024 (IV кв 2024), грн.</t>
  </si>
  <si>
    <t>Маржа за октябрь - декабрь 2024 (IV кв 2024), грн.</t>
  </si>
  <si>
    <t>Доля в доходах за октябрь - декабрь 2024 (IV кв 2024)</t>
  </si>
  <si>
    <t>Продажи за апрель - июнь 2025  (II кв 2025), шт</t>
  </si>
  <si>
    <t>Доход за апрель - июнь 2025  (II кв 2025), грн.</t>
  </si>
  <si>
    <t>Маржа за апрель - июнь 2025  (II кв 2025), грн.</t>
  </si>
  <si>
    <t>Доля в доходах за апрель - июнь 2025  (II кв 2025)</t>
  </si>
  <si>
    <t>РОСТ доходах апрель - июнь 2025  (II кв 2025)</t>
  </si>
  <si>
    <t>РОСТ доли в доходах апрель - июнь 2025  (II кв 2025)</t>
  </si>
  <si>
    <t>Продажи за июль - сентябрь 2025  (III кв 2025), шт.</t>
  </si>
  <si>
    <t>Доход за июль - сентябрь 2025  (III кв 2025), грн.</t>
  </si>
  <si>
    <t>Маржа за июль - сентябрь 2025  (III кв 2025), грн.</t>
  </si>
  <si>
    <t>Доля в доходах за июль - сентябрь 2025  (III кв 2025)</t>
  </si>
  <si>
    <t>РОСТ доходах июль - сентябрь 2025  (III кв 2025)</t>
  </si>
  <si>
    <t>РОСТ доли в доходах июль - сентябрь 2025  (III кв 2025)</t>
  </si>
  <si>
    <t>Продажи за октябрь - декабрь 2025 (IV кв 2025), шт</t>
  </si>
  <si>
    <t>Доход за октябрь - декабрь 2025 (IV кв 2025), грн</t>
  </si>
  <si>
    <t>Маржа за октябрь - декабрь 2025 (IV кв 2025), грн</t>
  </si>
  <si>
    <t>Доля в доходах за октябрь - декабрь 2025 (IV кв 2025)</t>
  </si>
  <si>
    <t>РОСТ доходах октябрь - декабрь 2025 (IV кв 2025)</t>
  </si>
  <si>
    <t>РОСТ доли в доходах октябрь - декабрь 2025 (IV кв 2025)</t>
  </si>
  <si>
    <t>РОСТ доходов за IV кв 2025 к III кв 2025</t>
  </si>
  <si>
    <t>РОСТ доли доходов за IV кв 2025 кIV кв 2024</t>
  </si>
  <si>
    <t>выводится</t>
  </si>
  <si>
    <t>MINISIT</t>
  </si>
  <si>
    <t>Новинка</t>
  </si>
  <si>
    <t>Анализ октябрь - декабрь 2024 (IV кв 2024)</t>
  </si>
  <si>
    <t>PROMO old</t>
  </si>
  <si>
    <t>PROMO</t>
  </si>
  <si>
    <t>Плюс GAMER</t>
  </si>
  <si>
    <t>PROMO new</t>
  </si>
  <si>
    <t>Есть продажи по ГП</t>
  </si>
  <si>
    <t>(IV кв 2024)</t>
  </si>
  <si>
    <t>(II кв 2025)</t>
  </si>
  <si>
    <t>(III кв 2025)</t>
  </si>
  <si>
    <t>(IV кв 2025)</t>
  </si>
  <si>
    <t>SATURN</t>
  </si>
  <si>
    <t>ТРУБА</t>
  </si>
  <si>
    <t>RACER</t>
  </si>
  <si>
    <t>ПОРОЛОН 22</t>
  </si>
  <si>
    <t>SONATA</t>
  </si>
  <si>
    <t>ПОРОЛОН 28</t>
  </si>
  <si>
    <t>LILI</t>
  </si>
  <si>
    <t>MASTER NET</t>
  </si>
  <si>
    <t>GEMINA</t>
  </si>
  <si>
    <t>WIKTOR</t>
  </si>
  <si>
    <t>GOSU</t>
  </si>
  <si>
    <t>COMBO</t>
  </si>
  <si>
    <t>ORLY</t>
  </si>
  <si>
    <t>EASY</t>
  </si>
  <si>
    <t>MELANIA</t>
  </si>
  <si>
    <t>HELLO</t>
  </si>
  <si>
    <t>SYLWIA LUX</t>
  </si>
  <si>
    <t>LUIS</t>
  </si>
  <si>
    <t>GAMER TABLE</t>
  </si>
  <si>
    <t>REAL</t>
  </si>
  <si>
    <t>HELIOS</t>
  </si>
  <si>
    <t>RECORD</t>
  </si>
  <si>
    <t>РАМА  SUNNY</t>
  </si>
  <si>
    <t>MADAME</t>
  </si>
  <si>
    <t>VINNY</t>
  </si>
  <si>
    <t>PINACOLADA</t>
  </si>
  <si>
    <t>CHAMPION</t>
  </si>
  <si>
    <t>SPLIT</t>
  </si>
  <si>
    <t>PRINCESS</t>
  </si>
  <si>
    <t>GEOS</t>
  </si>
  <si>
    <t>ALICE</t>
  </si>
  <si>
    <t>AURA</t>
  </si>
  <si>
    <t>SALSA</t>
  </si>
  <si>
    <t>SUCCESS</t>
  </si>
  <si>
    <t>Мебель корпусная закупная</t>
  </si>
  <si>
    <t>KENDI</t>
  </si>
  <si>
    <t>РАМА LOFT</t>
  </si>
  <si>
    <t>Кресла и стулья закупные</t>
  </si>
  <si>
    <t>CLEO</t>
  </si>
  <si>
    <t>PERFECT</t>
  </si>
  <si>
    <t>OXY</t>
  </si>
  <si>
    <t>4U</t>
  </si>
  <si>
    <t>CAMPARI</t>
  </si>
  <si>
    <t>ORLANDO</t>
  </si>
  <si>
    <t>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</si>
</sst>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00%"/>
    <numFmt numFmtId="165" formatCode="_-* #,##0_-;\-* #,##0_-;_-* &quot;-&quot;??_-;_-@_-"/>
    <numFmt numFmtId="166" formatCode="0.0%"/>
    <numFmt numFmtId="167" formatCode="_-* #,##0\ _₽_-;\-* #,##0\ _₽_-;_-* &quot;-&quot;\ _₽_-;_-@_-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0" tint="-0.49998474074526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i/>
      <u/>
      <sz val="14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3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9" fontId="0" fillId="0" borderId="0" xfId="1" applyFont="1"/>
    <xf numFmtId="10" fontId="0" fillId="0" borderId="1" xfId="1" applyNumberFormat="1" applyFont="1" applyBorder="1"/>
    <xf numFmtId="10" fontId="0" fillId="0" borderId="0" xfId="0" applyNumberFormat="1"/>
    <xf numFmtId="10" fontId="2" fillId="0" borderId="0" xfId="0" applyNumberFormat="1" applyFont="1"/>
    <xf numFmtId="0" fontId="0" fillId="7" borderId="1" xfId="0" applyFill="1" applyBorder="1"/>
    <xf numFmtId="0" fontId="0" fillId="5" borderId="0" xfId="0" applyFill="1"/>
    <xf numFmtId="0" fontId="0" fillId="7" borderId="0" xfId="0" applyFill="1"/>
    <xf numFmtId="0" fontId="0" fillId="4" borderId="0" xfId="0" applyFill="1"/>
    <xf numFmtId="0" fontId="0" fillId="6" borderId="0" xfId="0" applyFill="1"/>
    <xf numFmtId="3" fontId="0" fillId="0" borderId="0" xfId="0" applyNumberFormat="1"/>
    <xf numFmtId="3" fontId="0" fillId="0" borderId="1" xfId="0" applyNumberFormat="1" applyBorder="1"/>
    <xf numFmtId="0" fontId="2" fillId="0" borderId="0" xfId="0" applyFont="1"/>
    <xf numFmtId="0" fontId="2" fillId="7" borderId="1" xfId="0" applyFont="1" applyFill="1" applyBorder="1"/>
    <xf numFmtId="0" fontId="0" fillId="0" borderId="1" xfId="0" applyFill="1" applyBorder="1"/>
    <xf numFmtId="0" fontId="3" fillId="0" borderId="1" xfId="0" applyFont="1" applyBorder="1"/>
    <xf numFmtId="0" fontId="3" fillId="0" borderId="1" xfId="0" applyFont="1" applyFill="1" applyBorder="1"/>
    <xf numFmtId="0" fontId="4" fillId="0" borderId="0" xfId="0" applyFont="1"/>
    <xf numFmtId="0" fontId="0" fillId="0" borderId="0" xfId="0" applyBorder="1"/>
    <xf numFmtId="43" fontId="0" fillId="0" borderId="0" xfId="2" applyNumberFormat="1" applyFont="1"/>
    <xf numFmtId="10" fontId="3" fillId="0" borderId="1" xfId="1" applyNumberFormat="1" applyFont="1" applyBorder="1"/>
    <xf numFmtId="0" fontId="0" fillId="0" borderId="0" xfId="0" applyNumberFormat="1"/>
    <xf numFmtId="0" fontId="6" fillId="0" borderId="0" xfId="0" applyFont="1"/>
    <xf numFmtId="0" fontId="3" fillId="0" borderId="0" xfId="0" applyFont="1"/>
    <xf numFmtId="3" fontId="2" fillId="0" borderId="0" xfId="0" applyNumberFormat="1" applyFont="1"/>
    <xf numFmtId="10" fontId="2" fillId="0" borderId="0" xfId="1" applyNumberFormat="1" applyFont="1"/>
    <xf numFmtId="164" fontId="2" fillId="0" borderId="0" xfId="1" applyNumberFormat="1" applyFont="1"/>
    <xf numFmtId="0" fontId="8" fillId="0" borderId="0" xfId="0" applyFont="1"/>
    <xf numFmtId="164" fontId="2" fillId="0" borderId="0" xfId="0" applyNumberFormat="1" applyFont="1"/>
    <xf numFmtId="0" fontId="2" fillId="0" borderId="1" xfId="0" applyFont="1" applyBorder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9" fontId="0" fillId="0" borderId="0" xfId="1" applyFont="1" applyFill="1"/>
    <xf numFmtId="0" fontId="2" fillId="10" borderId="2" xfId="0" applyFont="1" applyFill="1" applyBorder="1" applyAlignment="1">
      <alignment horizontal="center" vertical="center" wrapText="1"/>
    </xf>
    <xf numFmtId="9" fontId="8" fillId="0" borderId="0" xfId="1" applyFont="1"/>
    <xf numFmtId="9" fontId="0" fillId="0" borderId="1" xfId="1" applyFont="1" applyBorder="1"/>
    <xf numFmtId="165" fontId="0" fillId="0" borderId="0" xfId="2" applyNumberFormat="1" applyFont="1"/>
    <xf numFmtId="165" fontId="2" fillId="0" borderId="0" xfId="2" applyNumberFormat="1" applyFont="1"/>
    <xf numFmtId="165" fontId="3" fillId="0" borderId="1" xfId="2" applyNumberFormat="1" applyFont="1" applyBorder="1"/>
    <xf numFmtId="165" fontId="0" fillId="0" borderId="1" xfId="2" applyNumberFormat="1" applyFont="1" applyBorder="1"/>
    <xf numFmtId="0" fontId="4" fillId="0" borderId="1" xfId="0" applyFont="1" applyFill="1" applyBorder="1"/>
    <xf numFmtId="0" fontId="3" fillId="9" borderId="1" xfId="0" applyFont="1" applyFill="1" applyBorder="1"/>
    <xf numFmtId="0" fontId="10" fillId="0" borderId="1" xfId="0" applyFont="1" applyFill="1" applyBorder="1"/>
    <xf numFmtId="0" fontId="10" fillId="0" borderId="0" xfId="0" applyFont="1"/>
    <xf numFmtId="0" fontId="3" fillId="0" borderId="0" xfId="0" applyFont="1" applyFill="1" applyBorder="1"/>
    <xf numFmtId="0" fontId="0" fillId="0" borderId="1" xfId="0" applyBorder="1" applyAlignment="1">
      <alignment horizontal="left"/>
    </xf>
    <xf numFmtId="166" fontId="0" fillId="0" borderId="0" xfId="0" applyNumberFormat="1"/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5" fontId="2" fillId="3" borderId="1" xfId="2" applyNumberFormat="1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3" fillId="9" borderId="5" xfId="0" applyFont="1" applyFill="1" applyBorder="1"/>
    <xf numFmtId="0" fontId="0" fillId="0" borderId="5" xfId="0" applyBorder="1" applyAlignment="1">
      <alignment horizontal="left"/>
    </xf>
    <xf numFmtId="0" fontId="3" fillId="0" borderId="5" xfId="0" applyFont="1" applyBorder="1"/>
    <xf numFmtId="43" fontId="2" fillId="5" borderId="1" xfId="2" applyFont="1" applyFill="1" applyBorder="1" applyAlignment="1">
      <alignment vertical="center" wrapText="1"/>
    </xf>
    <xf numFmtId="43" fontId="0" fillId="0" borderId="0" xfId="2" applyFont="1"/>
    <xf numFmtId="165" fontId="2" fillId="5" borderId="1" xfId="2" applyNumberFormat="1" applyFont="1" applyFill="1" applyBorder="1" applyAlignment="1">
      <alignment vertical="center" wrapText="1"/>
    </xf>
    <xf numFmtId="43" fontId="2" fillId="4" borderId="1" xfId="2" applyFont="1" applyFill="1" applyBorder="1" applyAlignment="1">
      <alignment vertical="center" wrapText="1"/>
    </xf>
    <xf numFmtId="43" fontId="0" fillId="0" borderId="1" xfId="2" applyFont="1" applyBorder="1"/>
    <xf numFmtId="0" fontId="9" fillId="0" borderId="6" xfId="0" applyFont="1" applyBorder="1" applyAlignment="1">
      <alignment vertical="center" wrapText="1"/>
    </xf>
    <xf numFmtId="43" fontId="2" fillId="6" borderId="1" xfId="2" applyFont="1" applyFill="1" applyBorder="1" applyAlignment="1">
      <alignment horizontal="center" vertical="center" wrapText="1"/>
    </xf>
    <xf numFmtId="9" fontId="9" fillId="9" borderId="1" xfId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67" fontId="2" fillId="0" borderId="1" xfId="0" applyNumberFormat="1" applyFont="1" applyBorder="1"/>
    <xf numFmtId="0" fontId="2" fillId="12" borderId="1" xfId="0" applyFont="1" applyFill="1" applyBorder="1" applyAlignment="1">
      <alignment horizontal="left"/>
    </xf>
    <xf numFmtId="167" fontId="2" fillId="12" borderId="1" xfId="0" applyNumberFormat="1" applyFont="1" applyFill="1" applyBorder="1"/>
    <xf numFmtId="0" fontId="2" fillId="11" borderId="7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9" fontId="0" fillId="0" borderId="0" xfId="1" applyFont="1" applyBorder="1"/>
    <xf numFmtId="0" fontId="2" fillId="11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166" fontId="2" fillId="0" borderId="2" xfId="0" applyNumberFormat="1" applyFont="1" applyBorder="1"/>
    <xf numFmtId="0" fontId="2" fillId="12" borderId="8" xfId="0" applyFont="1" applyFill="1" applyBorder="1" applyAlignment="1">
      <alignment horizontal="left"/>
    </xf>
    <xf numFmtId="166" fontId="2" fillId="12" borderId="8" xfId="0" applyNumberFormat="1" applyFont="1" applyFill="1" applyBorder="1"/>
    <xf numFmtId="0" fontId="2" fillId="12" borderId="2" xfId="0" applyFont="1" applyFill="1" applyBorder="1" applyAlignment="1">
      <alignment horizontal="center" vertical="center" wrapText="1"/>
    </xf>
    <xf numFmtId="165" fontId="2" fillId="0" borderId="1" xfId="2" applyNumberFormat="1" applyFont="1" applyBorder="1"/>
    <xf numFmtId="0" fontId="2" fillId="0" borderId="0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 wrapText="1"/>
    </xf>
    <xf numFmtId="0" fontId="11" fillId="0" borderId="0" xfId="0" applyFont="1"/>
    <xf numFmtId="0" fontId="5" fillId="2" borderId="0" xfId="0" applyFont="1" applyFill="1" applyBorder="1" applyAlignment="1">
      <alignment vertical="center" wrapText="1"/>
    </xf>
    <xf numFmtId="0" fontId="7" fillId="0" borderId="0" xfId="0" applyFont="1"/>
    <xf numFmtId="0" fontId="7" fillId="0" borderId="0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9" fontId="5" fillId="5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5" fillId="4" borderId="1" xfId="1" applyFont="1" applyFill="1" applyBorder="1" applyAlignment="1">
      <alignment horizontal="center" vertical="center" wrapText="1"/>
    </xf>
    <xf numFmtId="165" fontId="5" fillId="3" borderId="1" xfId="2" applyNumberFormat="1" applyFont="1" applyFill="1" applyBorder="1" applyAlignment="1">
      <alignment horizontal="center" vertical="center" wrapText="1"/>
    </xf>
    <xf numFmtId="165" fontId="5" fillId="4" borderId="1" xfId="2" applyNumberFormat="1" applyFont="1" applyFill="1" applyBorder="1" applyAlignment="1">
      <alignment horizontal="center" vertical="center" wrapText="1"/>
    </xf>
    <xf numFmtId="165" fontId="5" fillId="5" borderId="1" xfId="2" applyNumberFormat="1" applyFont="1" applyFill="1" applyBorder="1" applyAlignment="1">
      <alignment horizontal="center" vertical="center" wrapText="1"/>
    </xf>
    <xf numFmtId="0" fontId="10" fillId="0" borderId="0" xfId="0" applyFont="1" applyFill="1" applyBorder="1"/>
  </cellXfs>
  <cellStyles count="3">
    <cellStyle name="Обычный" xfId="0" builtinId="0"/>
    <cellStyle name="Процентный" xfId="1" builtinId="5"/>
    <cellStyle name="Финансовый" xfId="2" builtinId="3"/>
  </cellStyles>
  <dxfs count="75">
    <dxf>
      <alignment wrapText="1" readingOrder="0"/>
    </dxf>
    <dxf>
      <alignment wrapText="1" readingOrder="0"/>
    </dxf>
    <dxf>
      <numFmt numFmtId="5" formatCode="#,##0;\-#,##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alignment wrapText="1" readingOrder="0"/>
    </dxf>
    <dxf>
      <alignment wrapText="1" readingOrder="0"/>
    </dxf>
    <dxf>
      <numFmt numFmtId="5" formatCode="#,##0;\-#,##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alignment wrapText="1" readingOrder="0"/>
    </dxf>
    <dxf>
      <alignment wrapText="1" readingOrder="0"/>
    </dxf>
    <dxf>
      <numFmt numFmtId="5" formatCode="#,##0;\-#,##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alignment wrapText="1" readingOrder="0"/>
    </dxf>
    <dxf>
      <alignment wrapText="1" readingOrder="0"/>
    </dxf>
    <dxf>
      <numFmt numFmtId="5" formatCode="#,##0;\-#,##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alignment wrapText="1" readingOrder="0"/>
    </dxf>
    <dxf>
      <alignment wrapText="1" readingOrder="0"/>
    </dxf>
    <dxf>
      <numFmt numFmtId="5" formatCode="#,##0;\-#,##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alignment wrapText="1" readingOrder="0"/>
    </dxf>
    <dxf>
      <alignment wrapText="1" readingOrder="0"/>
    </dxf>
    <dxf>
      <numFmt numFmtId="5" formatCode="#,##0;\-#,##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alignment wrapText="1" readingOrder="0"/>
    </dxf>
    <dxf>
      <alignment wrapText="1" readingOrder="0"/>
    </dxf>
    <dxf>
      <numFmt numFmtId="5" formatCode="#,##0;\-#,##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alignment wrapText="1" readingOrder="0"/>
    </dxf>
    <dxf>
      <alignment wrapText="1" readingOrder="0"/>
    </dxf>
    <dxf>
      <numFmt numFmtId="5" formatCode="#,##0;\-#,##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alignment wrapText="1" readingOrder="0"/>
    </dxf>
    <dxf>
      <alignment wrapText="1" readingOrder="0"/>
    </dxf>
    <dxf>
      <numFmt numFmtId="5" formatCode="#,##0;\-#,##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(2)'!$A$2</c:f>
              <c:strCache>
                <c:ptCount val="1"/>
                <c:pt idx="0">
                  <c:v>Категория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ED-44B8-8FBA-731122A8D45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ED-44B8-8FBA-731122A8D4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(2)'!$H$2:$I$2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(2)'!$H$18:$I$18</c:f>
              <c:numCache>
                <c:formatCode>0%</c:formatCode>
                <c:ptCount val="2"/>
                <c:pt idx="0">
                  <c:v>0.10623972727826136</c:v>
                </c:pt>
                <c:pt idx="1">
                  <c:v>-0.1132830417004167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ED-44B8-8FBA-731122A8D4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доходов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(2)'!$A$2</c:f>
              <c:strCache>
                <c:ptCount val="1"/>
                <c:pt idx="0">
                  <c:v>Категория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2-421F-9AE4-79ABC697CC5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2-421F-9AE4-79ABC697CC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(2)'!$P$2:$Q$2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(2)'!$P$18:$Q$18</c:f>
              <c:numCache>
                <c:formatCode>0%</c:formatCode>
                <c:ptCount val="2"/>
                <c:pt idx="0">
                  <c:v>0.29331798968745759</c:v>
                </c:pt>
                <c:pt idx="1">
                  <c:v>-6.3082097083222766E-2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62-421F-9AE4-79ABC697C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маржи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(2)'!$A$2</c:f>
              <c:strCache>
                <c:ptCount val="1"/>
                <c:pt idx="0">
                  <c:v>Категория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9A-4B89-B58F-E93DF08861D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9A-4B89-B58F-E93DF08861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(2)'!$X$2:$Y$2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(2)'!$X$18:$Y$18</c:f>
              <c:numCache>
                <c:formatCode>0%</c:formatCode>
                <c:ptCount val="2"/>
                <c:pt idx="0">
                  <c:v>0.45229209395409531</c:v>
                </c:pt>
                <c:pt idx="1">
                  <c:v>0.1206632609467384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9A-4B89-B58F-E93DF08861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(2)'!$A$3</c:f>
              <c:strCache>
                <c:ptCount val="1"/>
                <c:pt idx="0">
                  <c:v>КРЕСЛА РУКОВОДИТЕЛЯ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F6-44EB-ABAB-87DF675107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(2)'!$H$2:$I$2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(2)'!$H$3:$I$3</c:f>
              <c:numCache>
                <c:formatCode>0%</c:formatCode>
                <c:ptCount val="2"/>
                <c:pt idx="0">
                  <c:v>0.48735457764289336</c:v>
                </c:pt>
                <c:pt idx="1">
                  <c:v>-8.0471152342732055E-2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F6-44EB-ABAB-87DF675107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доходов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(2)'!$A$3</c:f>
              <c:strCache>
                <c:ptCount val="1"/>
                <c:pt idx="0">
                  <c:v>КРЕСЛА РУКОВОДИТЕЛЯ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(2)'!$P$2:$Q$2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(2)'!$P$3:$Q$3</c:f>
              <c:numCache>
                <c:formatCode>0%</c:formatCode>
                <c:ptCount val="2"/>
                <c:pt idx="0">
                  <c:v>0.6495116880641727</c:v>
                </c:pt>
                <c:pt idx="1">
                  <c:v>5.9319619016640068E-2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DC-46F1-84EE-F29417EFB9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маржи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(2)'!$A$3</c:f>
              <c:strCache>
                <c:ptCount val="1"/>
                <c:pt idx="0">
                  <c:v>КРЕСЛА РУКОВОДИТЕЛЯ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(2)'!$X$2:$Y$2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(2)'!$X$3:$Y$3</c:f>
              <c:numCache>
                <c:formatCode>0%</c:formatCode>
                <c:ptCount val="2"/>
                <c:pt idx="0">
                  <c:v>0.78983702510279197</c:v>
                </c:pt>
                <c:pt idx="1">
                  <c:v>0.27203020374260234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7-4100-96E6-2B4A606AB1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(2)'!$A$4</c:f>
              <c:strCache>
                <c:ptCount val="1"/>
                <c:pt idx="0">
                  <c:v>КРЕСЛА ОПЕРАТОРСКИЕ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75-4581-95D7-9FFE2E905A4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75-4581-95D7-9FFE2E905A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(2)'!$H$2:$I$2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(2)'!$H$4:$I$4</c:f>
              <c:numCache>
                <c:formatCode>0%</c:formatCode>
                <c:ptCount val="2"/>
                <c:pt idx="0">
                  <c:v>0.11690686637349246</c:v>
                </c:pt>
                <c:pt idx="1">
                  <c:v>-0.18042109971564591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75-4581-95D7-9FFE2E905A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доходов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(2)'!$A$4</c:f>
              <c:strCache>
                <c:ptCount val="1"/>
                <c:pt idx="0">
                  <c:v>КРЕСЛА ОПЕРАТОРСКИЕ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1F-4158-906A-56ED5798D69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1F-4158-906A-56ED5798D6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(2)'!$P$2:$Q$2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(2)'!$P$4:$Q$4</c:f>
              <c:numCache>
                <c:formatCode>0%</c:formatCode>
                <c:ptCount val="2"/>
                <c:pt idx="0">
                  <c:v>0.19258203875496527</c:v>
                </c:pt>
                <c:pt idx="1">
                  <c:v>-0.12944153232180733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1F-4158-906A-56ED5798D6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маржи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(2)'!$A$4</c:f>
              <c:strCache>
                <c:ptCount val="1"/>
                <c:pt idx="0">
                  <c:v>КРЕСЛА ОПЕРАТОРСКИЕ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(2)'!$X$2:$Y$2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(2)'!$X$4:$Y$4</c:f>
              <c:numCache>
                <c:formatCode>0%</c:formatCode>
                <c:ptCount val="2"/>
                <c:pt idx="0">
                  <c:v>0.34484019222487339</c:v>
                </c:pt>
                <c:pt idx="1">
                  <c:v>5.8233566621794575E-2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85-41F5-8084-03A5C731A8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(2)'!$A$5</c:f>
              <c:strCache>
                <c:ptCount val="1"/>
                <c:pt idx="0">
                  <c:v>СТУЛЬЯ ПОСЕТИТЕЛЬСКИЕ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(2)'!$H$2:$I$2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(2)'!$H$5:$I$5</c:f>
              <c:numCache>
                <c:formatCode>0%</c:formatCode>
                <c:ptCount val="2"/>
                <c:pt idx="0">
                  <c:v>0.15050373517922</c:v>
                </c:pt>
                <c:pt idx="1">
                  <c:v>4.5007470119521997E-2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CE-46A8-8E9C-13FCC1A40D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доходов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(2)'!$A$5</c:f>
              <c:strCache>
                <c:ptCount val="1"/>
                <c:pt idx="0">
                  <c:v>СТУЛЬЯ ПОСЕТИТЕЛЬСКИЕ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(2)'!$P$2:$Q$2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(2)'!$P$5:$Q$5</c:f>
              <c:numCache>
                <c:formatCode>0%</c:formatCode>
                <c:ptCount val="2"/>
                <c:pt idx="0">
                  <c:v>0.16154161008357115</c:v>
                </c:pt>
                <c:pt idx="1">
                  <c:v>4.9684536388738376E-2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AF-48C6-8A35-898F2E6A51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маржи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(2)'!$A$5</c:f>
              <c:strCache>
                <c:ptCount val="1"/>
                <c:pt idx="0">
                  <c:v>СТУЛЬЯ ПОСЕТИТЕЛЬСКИЕ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(2)'!$X$2:$Y$2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(2)'!$X$5:$Y$5</c:f>
              <c:numCache>
                <c:formatCode>0%</c:formatCode>
                <c:ptCount val="2"/>
                <c:pt idx="0">
                  <c:v>0.28059152062671289</c:v>
                </c:pt>
                <c:pt idx="1">
                  <c:v>0.15762788535333772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99-4C10-8DE0-9951147860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(2)'!$A$6</c:f>
              <c:strCache>
                <c:ptCount val="1"/>
                <c:pt idx="0">
                  <c:v>КРЕСЛА/СТУЛЬЯ ОБЕДЕННЫЕ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E8-41BF-9299-3AEA1218874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E8-41BF-9299-3AEA121887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(2)'!$H$2:$I$2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(2)'!$H$6:$I$6</c:f>
              <c:numCache>
                <c:formatCode>0%</c:formatCode>
                <c:ptCount val="2"/>
                <c:pt idx="0">
                  <c:v>0.18373343958561605</c:v>
                </c:pt>
                <c:pt idx="1">
                  <c:v>-0.19386076486051051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E8-41BF-9299-3AEA121887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доходов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(2)'!$A$6</c:f>
              <c:strCache>
                <c:ptCount val="1"/>
                <c:pt idx="0">
                  <c:v>КРЕСЛА/СТУЛЬЯ ОБЕДЕННЫЕ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57-4C6F-9E26-16CD9DD3D113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57-4C6F-9E26-16CD9DD3D1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(2)'!$P$2:$Q$2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(2)'!$P$6:$Q$6</c:f>
              <c:numCache>
                <c:formatCode>0%</c:formatCode>
                <c:ptCount val="2"/>
                <c:pt idx="0">
                  <c:v>0.54786014861874399</c:v>
                </c:pt>
                <c:pt idx="1">
                  <c:v>-0.1214858609458882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57-4C6F-9E26-16CD9DD3D1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маржи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(2)'!$A$6</c:f>
              <c:strCache>
                <c:ptCount val="1"/>
                <c:pt idx="0">
                  <c:v>КРЕСЛА/СТУЛЬЯ ОБЕДЕННЫЕ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(2)'!$X$2:$Y$2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(2)'!$X$6:$Y$6</c:f>
              <c:numCache>
                <c:formatCode>0%</c:formatCode>
                <c:ptCount val="2"/>
                <c:pt idx="0">
                  <c:v>0.80045036657431612</c:v>
                </c:pt>
                <c:pt idx="1">
                  <c:v>8.7840877941519402E-2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E2-4A2E-B8AE-4286A4FB64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(2)'!$A$10</c:f>
              <c:strCache>
                <c:ptCount val="1"/>
                <c:pt idx="0">
                  <c:v>ШКОЛЬНАЯ МЕБЕЛЬ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37-4A99-A474-3F2859F2E42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37-4A99-A474-3F2859F2E4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(2)'!$H$2:$I$2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(2)'!$H$10:$I$10</c:f>
              <c:numCache>
                <c:formatCode>0%</c:formatCode>
                <c:ptCount val="2"/>
                <c:pt idx="0">
                  <c:v>-0.73221854049472146</c:v>
                </c:pt>
                <c:pt idx="1">
                  <c:v>0.81272822117892551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37-4A99-A474-3F2859F2E42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доходов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(2)'!$A$10</c:f>
              <c:strCache>
                <c:ptCount val="1"/>
                <c:pt idx="0">
                  <c:v>ШКОЛЬНАЯ МЕБЕЛЬ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7B-471B-A1BD-3FFE9A6980E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7B-471B-A1BD-3FFE9A6980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(2)'!$P$2:$Q$2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(2)'!$P$10:$Q$10</c:f>
              <c:numCache>
                <c:formatCode>0%</c:formatCode>
                <c:ptCount val="2"/>
                <c:pt idx="0">
                  <c:v>-0.73669322370443391</c:v>
                </c:pt>
                <c:pt idx="1">
                  <c:v>0.59009190066580386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7B-471B-A1BD-3FFE9A6980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маржи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(2)'!$A$10</c:f>
              <c:strCache>
                <c:ptCount val="1"/>
                <c:pt idx="0">
                  <c:v>ШКОЛЬНАЯ МЕБЕЛЬ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F5-421B-9E74-E37F228BBBE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F5-421B-9E74-E37F228BB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 (2)'!$X$2:$Y$2</c:f>
              <c:strCache>
                <c:ptCount val="2"/>
                <c:pt idx="0">
                  <c:v>I 2025 к II 2024</c:v>
                </c:pt>
                <c:pt idx="1">
                  <c:v>I 2025 к I 2024</c:v>
                </c:pt>
              </c:strCache>
            </c:strRef>
          </c:cat>
          <c:val>
            <c:numRef>
              <c:f>'Слайд 1 тренды категорий (2)'!$X$10:$Y$10</c:f>
              <c:numCache>
                <c:formatCode>0%</c:formatCode>
                <c:ptCount val="2"/>
                <c:pt idx="0">
                  <c:v>-0.67641535096888838</c:v>
                </c:pt>
                <c:pt idx="1">
                  <c:v>0.40251777204645078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F5-421B-9E74-E37F228BBB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Доходы</a:t>
            </a:r>
            <a:r>
              <a:rPr lang="ru-RU" baseline="0"/>
              <a:t> за </a:t>
            </a:r>
            <a:r>
              <a:rPr lang="ru-RU"/>
              <a:t>январь-июнь 2025, грн.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 (2)'!$M$2</c:f>
              <c:strCache>
                <c:ptCount val="1"/>
                <c:pt idx="0">
                  <c:v>январь-июнь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46A-4420-8A47-7B3865390756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6A-4420-8A47-7B3865390756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46A-4420-8A47-7B3865390756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46A-4420-8A47-7B3865390756}"/>
              </c:ext>
            </c:extLst>
          </c:dPt>
          <c:cat>
            <c:strRef>
              <c:f>'Слайд 1 тренды категорий (2)'!$A$3:$A$17</c:f>
              <c:strCache>
                <c:ptCount val="15"/>
                <c:pt idx="0">
                  <c:v>КРЕСЛА РУКОВОДИТЕЛЯ</c:v>
                </c:pt>
                <c:pt idx="1">
                  <c:v>КРЕСЛА ОПЕРАТОРСКИЕ</c:v>
                </c:pt>
                <c:pt idx="2">
                  <c:v>СТУЛЬЯ ПОСЕТИТЕЛЬСКИЕ</c:v>
                </c:pt>
                <c:pt idx="3">
                  <c:v>КРЕСЛА/СТУЛЬЯ ОБЕДЕННЫЕ</c:v>
                </c:pt>
                <c:pt idx="4">
                  <c:v>СТОЛЫ ОБЕДЕННЫЕ</c:v>
                </c:pt>
                <c:pt idx="5">
                  <c:v>МЕБЕЛЬ КОРПУСНАЯ</c:v>
                </c:pt>
                <c:pt idx="6">
                  <c:v>КРЕСЛА ДЕТСКИЕ</c:v>
                </c:pt>
                <c:pt idx="7">
                  <c:v>ШКОЛЬНАЯ МЕБЕЛЬ</c:v>
                </c:pt>
                <c:pt idx="8">
                  <c:v>КРЕСЛА И СТУЛЬЯ СПЕЦИАЛЬНЫЕ</c:v>
                </c:pt>
                <c:pt idx="9">
                  <c:v>КОМПЛЕКТУЮЩИЕ СТОЛОВ, КРЕСЕЛ И СТУЛЬЕВ ОБЕДЕННЫХ</c:v>
                </c:pt>
                <c:pt idx="10">
                  <c:v>СТУЛЬЯ БАРНЫЕ</c:v>
                </c:pt>
                <c:pt idx="11">
                  <c:v>МЯГКАЯ МЕБЕЛЬ</c:v>
                </c:pt>
                <c:pt idx="12">
                  <c:v>КРЕСЛА ГЕЙМЕРСКИЕ</c:v>
                </c:pt>
                <c:pt idx="13">
                  <c:v>ВЕШАЛКИ НАПОЛЬНЫЕ</c:v>
                </c:pt>
                <c:pt idx="14">
                  <c:v>КРОВАТИ И МАТРАСЫ</c:v>
                </c:pt>
              </c:strCache>
            </c:strRef>
          </c:cat>
          <c:val>
            <c:numRef>
              <c:f>'Слайд 1 тренды категорий (2)'!$M$3:$M$17</c:f>
              <c:numCache>
                <c:formatCode>_-* #\ ##0_-;\-* #\ ##0_-;_-* "-"??_-;_-@_-</c:formatCode>
                <c:ptCount val="15"/>
                <c:pt idx="0">
                  <c:v>80667044.841199979</c:v>
                </c:pt>
                <c:pt idx="1">
                  <c:v>55936401.206600003</c:v>
                </c:pt>
                <c:pt idx="2">
                  <c:v>54214244.376900002</c:v>
                </c:pt>
                <c:pt idx="3">
                  <c:v>43255800.353399999</c:v>
                </c:pt>
                <c:pt idx="4">
                  <c:v>11801728.290000007</c:v>
                </c:pt>
                <c:pt idx="5">
                  <c:v>4877919.25</c:v>
                </c:pt>
                <c:pt idx="6">
                  <c:v>4709913.2866000002</c:v>
                </c:pt>
                <c:pt idx="7">
                  <c:v>3111446.45</c:v>
                </c:pt>
                <c:pt idx="8">
                  <c:v>2953695.9899999998</c:v>
                </c:pt>
                <c:pt idx="9">
                  <c:v>2445724.9700000007</c:v>
                </c:pt>
                <c:pt idx="10">
                  <c:v>2434195.8533999999</c:v>
                </c:pt>
                <c:pt idx="11">
                  <c:v>2066375.6800000004</c:v>
                </c:pt>
                <c:pt idx="12">
                  <c:v>1957770.2799999998</c:v>
                </c:pt>
                <c:pt idx="13">
                  <c:v>1506205.4167000004</c:v>
                </c:pt>
                <c:pt idx="14">
                  <c:v>40821.199999999997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A-4420-8A47-7B3865390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-27"/>
        <c:axId val="1507335480"/>
        <c:axId val="1507334168"/>
      </c:barChart>
      <c:catAx>
        <c:axId val="150733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7334168"/>
        <c:crosses val="autoZero"/>
        <c:auto val="1"/>
        <c:lblAlgn val="ctr"/>
        <c:lblOffset val="100"/>
        <c:noMultiLvlLbl val="0"/>
      </c:catAx>
      <c:valAx>
        <c:axId val="150733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7335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0" i="0" baseline="0">
                <a:effectLst/>
              </a:rPr>
              <a:t>Маржа </a:t>
            </a:r>
            <a:r>
              <a:rPr lang="ru-RU" b="0" i="0" u="none" strike="noStrike" baseline="0">
                <a:effectLst/>
              </a:rPr>
              <a:t>по полугодиям</a:t>
            </a:r>
            <a:r>
              <a:rPr lang="ru-RU" b="0" i="0" baseline="0">
                <a:effectLst/>
              </a:rPr>
              <a:t>, млн. грн.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категорий'!$A$63</c:f>
              <c:strCache>
                <c:ptCount val="1"/>
                <c:pt idx="0">
                  <c:v>Общий итог, млн. грн.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категорий'!$R$46:$U$46</c:f>
              <c:strCache>
                <c:ptCount val="4"/>
                <c:pt idx="0">
                  <c:v>июль-декабрь 2023</c:v>
                </c:pt>
                <c:pt idx="1">
                  <c:v>январь-июнь 2024</c:v>
                </c:pt>
                <c:pt idx="2">
                  <c:v>июль-декабрь 2024</c:v>
                </c:pt>
                <c:pt idx="3">
                  <c:v>январь-июнь 2025</c:v>
                </c:pt>
              </c:strCache>
            </c:strRef>
          </c:cat>
          <c:val>
            <c:numRef>
              <c:f>'Слайд 1 тренды категорий'!$R$63:$U$63</c:f>
              <c:numCache>
                <c:formatCode>_-* #\ ##0_-;\-* #\ ##0_-;_-* "-"??_-;_-@_-</c:formatCode>
                <c:ptCount val="4"/>
                <c:pt idx="0">
                  <c:v>162</c:v>
                </c:pt>
                <c:pt idx="1">
                  <c:v>110</c:v>
                </c:pt>
                <c:pt idx="2">
                  <c:v>85</c:v>
                </c:pt>
                <c:pt idx="3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A-4AA3-A81F-839CB8BD0F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37797624"/>
        <c:axId val="437793032"/>
      </c:barChart>
      <c:catAx>
        <c:axId val="43779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7793032"/>
        <c:crosses val="autoZero"/>
        <c:auto val="1"/>
        <c:lblAlgn val="ctr"/>
        <c:lblOffset val="100"/>
        <c:noMultiLvlLbl val="0"/>
      </c:catAx>
      <c:valAx>
        <c:axId val="437793032"/>
        <c:scaling>
          <c:orientation val="minMax"/>
        </c:scaling>
        <c:delete val="1"/>
        <c:axPos val="l"/>
        <c:numFmt formatCode="_-* #\ ##0_-;\-* #\ ##0_-;_-* &quot;-&quot;??_-;_-@_-" sourceLinked="1"/>
        <c:majorTickMark val="none"/>
        <c:minorTickMark val="none"/>
        <c:tickLblPos val="nextTo"/>
        <c:crossAx val="43779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Доход</a:t>
            </a:r>
            <a:r>
              <a:rPr lang="ru-RU" baseline="0"/>
              <a:t> </a:t>
            </a:r>
            <a:r>
              <a:rPr lang="ru-RU" b="0" i="0" u="none" strike="noStrike" baseline="0">
                <a:effectLst/>
              </a:rPr>
              <a:t>по полугодиям</a:t>
            </a:r>
            <a:r>
              <a:rPr lang="ru-RU"/>
              <a:t>, млн. грн.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категорий'!$A$63</c:f>
              <c:strCache>
                <c:ptCount val="1"/>
                <c:pt idx="0">
                  <c:v>Общий итог, млн. грн.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категорий'!$J$46:$M$46</c:f>
              <c:strCache>
                <c:ptCount val="4"/>
                <c:pt idx="0">
                  <c:v>июль-декабрь 2023</c:v>
                </c:pt>
                <c:pt idx="1">
                  <c:v>январь-июнь 2024</c:v>
                </c:pt>
                <c:pt idx="2">
                  <c:v>июль-декабрь 2024</c:v>
                </c:pt>
                <c:pt idx="3">
                  <c:v>январь-июнь 2025</c:v>
                </c:pt>
              </c:strCache>
            </c:strRef>
          </c:cat>
          <c:val>
            <c:numRef>
              <c:f>'Слайд 1 тренды категорий'!$J$63:$M$63</c:f>
              <c:numCache>
                <c:formatCode>_-* #\ ##0_-;\-* #\ ##0_-;_-* "-"??_-;_-@_-</c:formatCode>
                <c:ptCount val="4"/>
                <c:pt idx="0">
                  <c:v>417</c:v>
                </c:pt>
                <c:pt idx="1">
                  <c:v>290</c:v>
                </c:pt>
                <c:pt idx="2">
                  <c:v>210</c:v>
                </c:pt>
                <c:pt idx="3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B-4348-806F-9768A97E43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37797624"/>
        <c:axId val="437793032"/>
      </c:barChart>
      <c:catAx>
        <c:axId val="43779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7793032"/>
        <c:crosses val="autoZero"/>
        <c:auto val="1"/>
        <c:lblAlgn val="ctr"/>
        <c:lblOffset val="100"/>
        <c:noMultiLvlLbl val="0"/>
      </c:catAx>
      <c:valAx>
        <c:axId val="437793032"/>
        <c:scaling>
          <c:orientation val="minMax"/>
        </c:scaling>
        <c:delete val="1"/>
        <c:axPos val="l"/>
        <c:numFmt formatCode="_-* #\ ##0_-;\-* #\ ##0_-;_-* &quot;-&quot;??_-;_-@_-" sourceLinked="1"/>
        <c:majorTickMark val="none"/>
        <c:minorTickMark val="none"/>
        <c:tickLblPos val="nextTo"/>
        <c:crossAx val="43779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Продажи по полугодиям, шт.</a:t>
            </a:r>
          </a:p>
        </c:rich>
      </c:tx>
      <c:layout>
        <c:manualLayout>
          <c:xMode val="edge"/>
          <c:yMode val="edge"/>
          <c:x val="0.21776377952755904"/>
          <c:y val="4.9490578279871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категорий'!$A$62</c:f>
              <c:strCache>
                <c:ptCount val="1"/>
                <c:pt idx="0">
                  <c:v>Общий итог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категорий'!$B$46:$E$46</c:f>
              <c:strCache>
                <c:ptCount val="4"/>
                <c:pt idx="0">
                  <c:v>июль-декабрь 2023</c:v>
                </c:pt>
                <c:pt idx="1">
                  <c:v>январь-июнь 2024</c:v>
                </c:pt>
                <c:pt idx="2">
                  <c:v>июль-декабрь 2024</c:v>
                </c:pt>
                <c:pt idx="3">
                  <c:v>январь-июнь 2025</c:v>
                </c:pt>
              </c:strCache>
            </c:strRef>
          </c:cat>
          <c:val>
            <c:numRef>
              <c:f>'Слайд 1 тренды категорий'!$B$62:$E$62</c:f>
              <c:numCache>
                <c:formatCode>_-* #\ ##0_-;\-* #\ ##0_-;_-* "-"??_-;_-@_-</c:formatCode>
                <c:ptCount val="4"/>
                <c:pt idx="0">
                  <c:v>315257.5</c:v>
                </c:pt>
                <c:pt idx="1">
                  <c:v>204938</c:v>
                </c:pt>
                <c:pt idx="2">
                  <c:v>164270</c:v>
                </c:pt>
                <c:pt idx="3">
                  <c:v>181722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4-46A3-8C64-2CD3E8EB90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37797624"/>
        <c:axId val="437793032"/>
      </c:barChart>
      <c:catAx>
        <c:axId val="43779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7793032"/>
        <c:crosses val="autoZero"/>
        <c:auto val="1"/>
        <c:lblAlgn val="ctr"/>
        <c:lblOffset val="100"/>
        <c:noMultiLvlLbl val="0"/>
      </c:catAx>
      <c:valAx>
        <c:axId val="437793032"/>
        <c:scaling>
          <c:orientation val="minMax"/>
        </c:scaling>
        <c:delete val="1"/>
        <c:axPos val="l"/>
        <c:numFmt formatCode="_-* #\ ##0_-;\-* #\ ##0_-;_-* &quot;-&quot;??_-;_-@_-" sourceLinked="1"/>
        <c:majorTickMark val="none"/>
        <c:minorTickMark val="none"/>
        <c:tickLblPos val="nextTo"/>
        <c:crossAx val="43779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категорий'!$A$46</c:f>
              <c:strCache>
                <c:ptCount val="1"/>
                <c:pt idx="0">
                  <c:v>Категория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1-41A4-BFEF-0D360B0F52F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1-41A4-BFEF-0D360B0F52FD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E1-41A4-BFEF-0D360B0F52FD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E1-41A4-BFEF-0D360B0F5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категорий'!$F$46:$I$46</c:f>
              <c:strCache>
                <c:ptCount val="4"/>
                <c:pt idx="0">
                  <c:v>I 2024 к II 2023</c:v>
                </c:pt>
                <c:pt idx="1">
                  <c:v>II 2024 к I 2024</c:v>
                </c:pt>
                <c:pt idx="2">
                  <c:v>I 2025 к II 2024</c:v>
                </c:pt>
                <c:pt idx="3">
                  <c:v>I 2025 к I 2024</c:v>
                </c:pt>
              </c:strCache>
            </c:strRef>
          </c:cat>
          <c:val>
            <c:numRef>
              <c:f>'Слайд 1 тренды категорий'!$F$62:$I$62</c:f>
              <c:numCache>
                <c:formatCode>0%</c:formatCode>
                <c:ptCount val="4"/>
                <c:pt idx="0">
                  <c:v>-0.34993457728999311</c:v>
                </c:pt>
                <c:pt idx="1">
                  <c:v>-0.1984405039572944</c:v>
                </c:pt>
                <c:pt idx="2">
                  <c:v>0.10623972727826136</c:v>
                </c:pt>
                <c:pt idx="3">
                  <c:v>-0.1132830417004167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E1-41A4-BFEF-0D360B0F52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доходов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категорий'!$A$46</c:f>
              <c:strCache>
                <c:ptCount val="1"/>
                <c:pt idx="0">
                  <c:v>Категория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59-4031-82F9-6C658D4E1DB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59-4031-82F9-6C658D4E1DB8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59-4031-82F9-6C658D4E1DB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59-4031-82F9-6C658D4E1D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категорий'!$N$46:$Q$46</c:f>
              <c:strCache>
                <c:ptCount val="4"/>
                <c:pt idx="0">
                  <c:v>I 2024 к II 2023</c:v>
                </c:pt>
                <c:pt idx="1">
                  <c:v>II 2024 к I 2024</c:v>
                </c:pt>
                <c:pt idx="2">
                  <c:v>I 2025 к II 2024</c:v>
                </c:pt>
                <c:pt idx="3">
                  <c:v>I 2025 к I 2024</c:v>
                </c:pt>
              </c:strCache>
            </c:strRef>
          </c:cat>
          <c:val>
            <c:numRef>
              <c:f>'Слайд 1 тренды категорий'!$N$62:$Q$62</c:f>
              <c:numCache>
                <c:formatCode>0%</c:formatCode>
                <c:ptCount val="4"/>
                <c:pt idx="0">
                  <c:v>-0.30391941053491733</c:v>
                </c:pt>
                <c:pt idx="1">
                  <c:v>-0.27557034666842284</c:v>
                </c:pt>
                <c:pt idx="2">
                  <c:v>0.29331798968745759</c:v>
                </c:pt>
                <c:pt idx="3">
                  <c:v>-6.3082097083222766E-2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59-4031-82F9-6C658D4E1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solidFill>
                  <a:schemeClr val="tx1">
                    <a:lumMod val="50000"/>
                    <a:lumOff val="50000"/>
                  </a:schemeClr>
                </a:solidFill>
              </a:rPr>
              <a:t>тренд маржи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 тренды категорий'!$A$46</c:f>
              <c:strCache>
                <c:ptCount val="1"/>
                <c:pt idx="0">
                  <c:v>Категория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89-4801-9AA8-96BDA50BF7B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89-4801-9AA8-96BDA50BF7B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89-4801-9AA8-96BDA50BF7BC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89-4801-9AA8-96BDA50BF7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'Слайд 1 тренды категорий'!$V$46:$Y$46</c:f>
              <c:strCache>
                <c:ptCount val="4"/>
                <c:pt idx="0">
                  <c:v>I 2024 к II 2023</c:v>
                </c:pt>
                <c:pt idx="1">
                  <c:v>II 2024 к I 2024</c:v>
                </c:pt>
                <c:pt idx="2">
                  <c:v>I 2025 к II 2024</c:v>
                </c:pt>
                <c:pt idx="3">
                  <c:v>I 2025 к I 2024</c:v>
                </c:pt>
              </c:strCache>
            </c:strRef>
          </c:cat>
          <c:val>
            <c:numRef>
              <c:f>'Слайд 1 тренды категорий'!$V$62:$Y$62</c:f>
              <c:numCache>
                <c:formatCode>0%</c:formatCode>
                <c:ptCount val="4"/>
                <c:pt idx="0">
                  <c:v>-0.32310996170996142</c:v>
                </c:pt>
                <c:pt idx="1">
                  <c:v>-0.22834857697561717</c:v>
                </c:pt>
                <c:pt idx="2">
                  <c:v>0.45229209395409531</c:v>
                </c:pt>
                <c:pt idx="3">
                  <c:v>0.1206632609467384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89-4801-9AA8-96BDA50BF7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"/>
        <c:axId val="1349290000"/>
        <c:axId val="1349293280"/>
      </c:barChart>
      <c:catAx>
        <c:axId val="1349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3280"/>
        <c:crosses val="autoZero"/>
        <c:auto val="1"/>
        <c:lblAlgn val="ctr"/>
        <c:lblOffset val="100"/>
        <c:noMultiLvlLbl val="0"/>
      </c:catAx>
      <c:valAx>
        <c:axId val="13492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в доходах за </a:t>
            </a:r>
            <a:r>
              <a:rPr lang="en-US"/>
              <a:t>I </a:t>
            </a:r>
            <a:r>
              <a:rPr lang="ru-RU"/>
              <a:t>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'Слайд 1 тренды категорий'!$B$1</c:f>
              <c:strCache>
                <c:ptCount val="1"/>
                <c:pt idx="0">
                  <c:v>Доля в доходах за январь - июнь 2025 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D0-4DB8-8FA2-A159A0425941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D0-4DB8-8FA2-A159A0425941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D0-4DB8-8FA2-A159A0425941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D0-4DB8-8FA2-A159A0425941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D0-4DB8-8FA2-A159A04259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('Слайд 1 тренды категорий'!$A$2:$A$5,'Слайд 1 тренды категорий'!$A$18)</c:f>
              <c:strCache>
                <c:ptCount val="5"/>
                <c:pt idx="0">
                  <c:v>КРЕСЛА РУКОВОДИТЕЛЯ</c:v>
                </c:pt>
                <c:pt idx="1">
                  <c:v>КРЕСЛА ОПЕРАТОРСКИЕ</c:v>
                </c:pt>
                <c:pt idx="2">
                  <c:v>СТУЛЬЯ ПОСЕТИТЕЛЬСКИЕ</c:v>
                </c:pt>
                <c:pt idx="3">
                  <c:v>КРЕСЛА/СТУЛЬЯ ОБЕДЕННЫЕ</c:v>
                </c:pt>
                <c:pt idx="4">
                  <c:v>Прочие</c:v>
                </c:pt>
              </c:strCache>
            </c:strRef>
          </c:cat>
          <c:val>
            <c:numRef>
              <c:f>('Слайд 1 тренды категорий'!$B$2:$B$5,'Слайд 1 тренды категорий'!$B$18)</c:f>
              <c:numCache>
                <c:formatCode>0.0%</c:formatCode>
                <c:ptCount val="5"/>
                <c:pt idx="0">
                  <c:v>0.28335783061730141</c:v>
                </c:pt>
                <c:pt idx="1">
                  <c:v>0.19648689659629037</c:v>
                </c:pt>
                <c:pt idx="2">
                  <c:v>0.19043750400719522</c:v>
                </c:pt>
                <c:pt idx="3">
                  <c:v>0.15194395398868554</c:v>
                </c:pt>
                <c:pt idx="4">
                  <c:v>0.17777381479052745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7-42A7-AC2B-A9872249C71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Доля категорий в доходах январь - июнь 2025 </a:t>
            </a:r>
          </a:p>
        </cx:rich>
      </cx:tx>
    </cx:title>
    <cx:plotArea>
      <cx:plotAreaRegion>
        <cx:series layoutId="treemap" uniqueId="{E326CFBA-B0F7-49D6-B61E-B9B0E2808C21}">
          <cx:tx>
            <cx:txData>
              <cx:f>_xlchart.v1.1</cx:f>
              <cx:v>Доля в доходах за январь - июнь 2025 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banner"/>
          </cx:layoutPr>
        </cx:series>
      </cx:plotAreaRegion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sz="700">
              <a:solidFill>
                <a:sysClr val="windowText" lastClr="000000"/>
              </a:solidFill>
            </a:defRPr>
          </a:pPr>
          <a:endParaRPr lang="ru-RU" sz="700">
            <a:solidFill>
              <a:sysClr val="windowText" lastClr="000000"/>
            </a:solidFill>
          </a:endParaRPr>
        </a:p>
      </cx:txPr>
    </cx:legend>
  </cx:chart>
  <cx:spPr>
    <a:solidFill>
      <a:sysClr val="window" lastClr="FFFFFF"/>
    </a:solidFill>
  </cx:spPr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КРЕСЛА ОПЕРАТОРСКИЕ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_xlchart.v1.3</cx:f>
              <cx:v>КРЕСЛА ОПЕРАТОРСКИЕ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_xlchart.v1.8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СТУЛЬЯ ПОСЕТИТЕЛЬСКИЕ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_xlchart.v1.6</cx:f>
              <cx:v>СТУЛЬЯ ПОСЕТИТЕЛЬСКИЕ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_xlchart.v1.10</cx:f>
      </cx:strDim>
      <cx:numDim type="val">
        <cx:f dir="row">_xlchart.v1.11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КРЕСЛА/СТУЛЬЯ ОБЕДЕННЫЕ</a:t>
            </a:r>
          </a:p>
        </cx:rich>
      </cx:tx>
    </cx:title>
    <cx:plotArea>
      <cx:plotAreaRegion>
        <cx:series layoutId="waterfall" uniqueId="{F941085B-EA83-474E-BEB7-3C1C287DAEB5}">
          <cx:tx>
            <cx:txData>
              <cx:f>_xlchart.v1.9</cx:f>
              <cx:v>КРЕСЛА/СТУЛЬЯ ОБЕДЕННЫЕ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_xlchart.v1.19</cx:f>
      </cx:strDim>
      <cx:numDim type="val">
        <cx:f dir="row">_xlchart.v1.20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СТОЛЫ ОБЕДЕННЫЕ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_xlchart.v1.18</cx:f>
              <cx:v>СТОЛЫ ОБЕДЕННЫЕ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_xlchart.v1.13</cx:f>
      </cx:strDim>
      <cx:numDim type="val">
        <cx:f dir="row">_xlchart.v1.14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КРЕСЛА РУКОВОДИТЕЛЯ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_xlchart.v1.12</cx:f>
              <cx:v>КРЕСЛА РУКОВОДИТЕЛЯ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_xlchart.v1.16</cx:f>
      </cx:strDim>
      <cx:numDim type="val">
        <cx:f dir="row">_xlchart.v1.17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МЕБЕЛЬ КОРПУСНАЯ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_xlchart.v1.15</cx:f>
              <cx:v>МЕБЕЛЬ КОРПУСНАЯ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_xlchart.v1.31</cx:f>
      </cx:strDim>
      <cx:numDim type="val">
        <cx:f dir="row">_xlchart.v1.32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КРЕСЛА ДЕТСКИЕ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_xlchart.v1.30</cx:f>
              <cx:v>КРЕСЛА ДЕТСКИЕ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_xlchart.v1.22</cx:f>
      </cx:strDim>
      <cx:numDim type="val">
        <cx:f dir="row">_xlchart.v1.23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ШКОЛЬНАЯ МЕБЕЛЬ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_xlchart.v1.21</cx:f>
              <cx:v>ШКОЛЬНАЯ МЕБЕЛЬ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_xlchart.v1.29</cx:f>
      </cx:strDim>
      <cx:numDim type="val">
        <cx:f dir="row">_xlchart.v1.28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КРЕСЛА И СТУЛЬЯ СПЕЦИАЛЬНЫЕ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_xlchart.v1.27</cx:f>
              <cx:v>КРЕСЛА И СТУЛЬЯ СПЕЦИАЛЬНЫЕ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_xlchart.v1.26</cx:f>
      </cx:strDim>
      <cx:numDim type="val">
        <cx:f dir="row">_xlchart.v1.25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КОМПЛЕКТУЮЩИЕ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_xlchart.v1.24</cx:f>
              <cx:v>КОМПЛЕКТУЮЩИЕ СТОЛОВ, КРЕСЕЛ И СТУЛЬЕВ ОБЕДЕННЫХ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_xlchart.v1.35</cx:f>
      </cx:strDim>
      <cx:numDim type="val">
        <cx:f dir="row">_xlchart.v1.34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СТУЛЬЯ БАРНЫЕ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_xlchart.v1.33</cx:f>
              <cx:v>СТУЛЬЯ БАРНЫЕ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_xlchart.v1.37</cx:f>
      </cx:strDim>
      <cx:numDim type="val">
        <cx:f dir="row">_xlchart.v1.38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МЯГКАЯ МЕБЕЛЬ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_xlchart.v1.36</cx:f>
              <cx:v>МЯГКАЯ МЕБЕЛЬ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_xlchart.v1.43</cx:f>
      </cx:strDim>
      <cx:numDim type="val">
        <cx:f dir="row">_xlchart.v1.44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КРЕСЛА ГЕЙМЕРСКИЕ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_xlchart.v1.42</cx:f>
              <cx:v>КРЕСЛА ГЕЙМЕРСКИЕ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_xlchart.v1.41</cx:f>
      </cx:strDim>
      <cx:numDim type="val">
        <cx:f dir="row">_xlchart.v1.40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ВЕШАЛКИ НАПОЛЬНЫЕ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_xlchart.v1.39</cx:f>
              <cx:v>ВЕШАЛКИ НАПОЛЬНЫЕ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_xlchart.v1.47</cx:f>
      </cx:strDim>
      <cx:numDim type="val">
        <cx:f dir="row">_xlchart.v1.46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600"/>
            </a:pPr>
            <a:r>
              <a:rPr lang="ru-RU" sz="1600"/>
              <a:t>КРОВАТИ</a:t>
            </a:r>
            <a:endParaRPr lang="ru-RU"/>
          </a:p>
        </cx:rich>
      </cx:tx>
    </cx:title>
    <cx:plotArea>
      <cx:plotAreaRegion>
        <cx:series layoutId="waterfall" uniqueId="{F941085B-EA83-474E-BEB7-3C1C287DAEB5}">
          <cx:tx>
            <cx:txData>
              <cx:f>_xlchart.v1.45</cx:f>
              <cx:v>КРОВАТИ И МАТРАСЫ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ru-RU" sz="800" b="0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ru-RU" sz="800">
              <a:solidFill>
                <a:sysClr val="windowText" lastClr="000000"/>
              </a:solidFill>
            </a:endParaRPr>
          </a:p>
        </cx:txPr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10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microsoft.com/office/2014/relationships/chartEx" Target="../charts/chartEx1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9.xml"/><Relationship Id="rId13" Type="http://schemas.microsoft.com/office/2014/relationships/chartEx" Target="../charts/chartEx14.xml"/><Relationship Id="rId3" Type="http://schemas.microsoft.com/office/2014/relationships/chartEx" Target="../charts/chartEx4.xml"/><Relationship Id="rId7" Type="http://schemas.microsoft.com/office/2014/relationships/chartEx" Target="../charts/chartEx8.xml"/><Relationship Id="rId12" Type="http://schemas.microsoft.com/office/2014/relationships/chartEx" Target="../charts/chartEx13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6" Type="http://schemas.microsoft.com/office/2014/relationships/chartEx" Target="../charts/chartEx7.xml"/><Relationship Id="rId11" Type="http://schemas.microsoft.com/office/2014/relationships/chartEx" Target="../charts/chartEx12.xml"/><Relationship Id="rId5" Type="http://schemas.microsoft.com/office/2014/relationships/chartEx" Target="../charts/chartEx6.xml"/><Relationship Id="rId15" Type="http://schemas.microsoft.com/office/2014/relationships/chartEx" Target="../charts/chartEx16.xml"/><Relationship Id="rId10" Type="http://schemas.microsoft.com/office/2014/relationships/chartEx" Target="../charts/chartEx11.xml"/><Relationship Id="rId4" Type="http://schemas.microsoft.com/office/2014/relationships/chartEx" Target="../charts/chartEx5.xml"/><Relationship Id="rId9" Type="http://schemas.microsoft.com/office/2014/relationships/chartEx" Target="../charts/chartEx10.xml"/><Relationship Id="rId14" Type="http://schemas.microsoft.com/office/2014/relationships/chartEx" Target="../charts/chartEx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168088</xdr:rowOff>
    </xdr:from>
    <xdr:to>
      <xdr:col>1</xdr:col>
      <xdr:colOff>280147</xdr:colOff>
      <xdr:row>32</xdr:row>
      <xdr:rowOff>145676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576300</xdr:colOff>
      <xdr:row>22</xdr:row>
      <xdr:rowOff>15688</xdr:rowOff>
    </xdr:from>
    <xdr:to>
      <xdr:col>5</xdr:col>
      <xdr:colOff>100852</xdr:colOff>
      <xdr:row>33</xdr:row>
      <xdr:rowOff>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186493</xdr:colOff>
      <xdr:row>22</xdr:row>
      <xdr:rowOff>49306</xdr:rowOff>
    </xdr:from>
    <xdr:to>
      <xdr:col>7</xdr:col>
      <xdr:colOff>952500</xdr:colOff>
      <xdr:row>33</xdr:row>
      <xdr:rowOff>33617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</xdr:col>
      <xdr:colOff>280147</xdr:colOff>
      <xdr:row>46</xdr:row>
      <xdr:rowOff>168088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576300</xdr:colOff>
      <xdr:row>36</xdr:row>
      <xdr:rowOff>38100</xdr:rowOff>
    </xdr:from>
    <xdr:to>
      <xdr:col>5</xdr:col>
      <xdr:colOff>100852</xdr:colOff>
      <xdr:row>47</xdr:row>
      <xdr:rowOff>22412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186493</xdr:colOff>
      <xdr:row>36</xdr:row>
      <xdr:rowOff>71718</xdr:rowOff>
    </xdr:from>
    <xdr:to>
      <xdr:col>7</xdr:col>
      <xdr:colOff>952500</xdr:colOff>
      <xdr:row>47</xdr:row>
      <xdr:rowOff>56029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1</xdr:col>
      <xdr:colOff>280147</xdr:colOff>
      <xdr:row>60</xdr:row>
      <xdr:rowOff>168088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576300</xdr:colOff>
      <xdr:row>50</xdr:row>
      <xdr:rowOff>38100</xdr:rowOff>
    </xdr:from>
    <xdr:to>
      <xdr:col>5</xdr:col>
      <xdr:colOff>100852</xdr:colOff>
      <xdr:row>61</xdr:row>
      <xdr:rowOff>22412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186493</xdr:colOff>
      <xdr:row>50</xdr:row>
      <xdr:rowOff>71718</xdr:rowOff>
    </xdr:from>
    <xdr:to>
      <xdr:col>7</xdr:col>
      <xdr:colOff>952500</xdr:colOff>
      <xdr:row>61</xdr:row>
      <xdr:rowOff>56029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64</xdr:row>
      <xdr:rowOff>0</xdr:rowOff>
    </xdr:from>
    <xdr:to>
      <xdr:col>1</xdr:col>
      <xdr:colOff>280147</xdr:colOff>
      <xdr:row>74</xdr:row>
      <xdr:rowOff>168088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576300</xdr:colOff>
      <xdr:row>64</xdr:row>
      <xdr:rowOff>38100</xdr:rowOff>
    </xdr:from>
    <xdr:to>
      <xdr:col>5</xdr:col>
      <xdr:colOff>100852</xdr:colOff>
      <xdr:row>75</xdr:row>
      <xdr:rowOff>22412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186493</xdr:colOff>
      <xdr:row>64</xdr:row>
      <xdr:rowOff>71718</xdr:rowOff>
    </xdr:from>
    <xdr:to>
      <xdr:col>7</xdr:col>
      <xdr:colOff>952500</xdr:colOff>
      <xdr:row>75</xdr:row>
      <xdr:rowOff>56029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14</xdr:col>
      <xdr:colOff>156882</xdr:colOff>
      <xdr:row>33</xdr:row>
      <xdr:rowOff>168088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453035</xdr:colOff>
      <xdr:row>23</xdr:row>
      <xdr:rowOff>38100</xdr:rowOff>
    </xdr:from>
    <xdr:to>
      <xdr:col>18</xdr:col>
      <xdr:colOff>795617</xdr:colOff>
      <xdr:row>34</xdr:row>
      <xdr:rowOff>22412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18405</xdr:colOff>
      <xdr:row>23</xdr:row>
      <xdr:rowOff>71718</xdr:rowOff>
    </xdr:from>
    <xdr:to>
      <xdr:col>22</xdr:col>
      <xdr:colOff>493058</xdr:colOff>
      <xdr:row>34</xdr:row>
      <xdr:rowOff>56029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0</xdr:colOff>
      <xdr:row>38</xdr:row>
      <xdr:rowOff>0</xdr:rowOff>
    </xdr:from>
    <xdr:to>
      <xdr:col>14</xdr:col>
      <xdr:colOff>156882</xdr:colOff>
      <xdr:row>48</xdr:row>
      <xdr:rowOff>168088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453035</xdr:colOff>
      <xdr:row>38</xdr:row>
      <xdr:rowOff>38100</xdr:rowOff>
    </xdr:from>
    <xdr:to>
      <xdr:col>18</xdr:col>
      <xdr:colOff>795617</xdr:colOff>
      <xdr:row>49</xdr:row>
      <xdr:rowOff>22412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18405</xdr:colOff>
      <xdr:row>38</xdr:row>
      <xdr:rowOff>71718</xdr:rowOff>
    </xdr:from>
    <xdr:to>
      <xdr:col>22</xdr:col>
      <xdr:colOff>493058</xdr:colOff>
      <xdr:row>49</xdr:row>
      <xdr:rowOff>56029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862851</xdr:colOff>
      <xdr:row>50</xdr:row>
      <xdr:rowOff>62751</xdr:rowOff>
    </xdr:from>
    <xdr:to>
      <xdr:col>18</xdr:col>
      <xdr:colOff>605118</xdr:colOff>
      <xdr:row>69</xdr:row>
      <xdr:rowOff>11204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44824</xdr:colOff>
      <xdr:row>0</xdr:row>
      <xdr:rowOff>0</xdr:rowOff>
    </xdr:from>
    <xdr:to>
      <xdr:col>13</xdr:col>
      <xdr:colOff>437030</xdr:colOff>
      <xdr:row>17</xdr:row>
      <xdr:rowOff>100853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9</xdr:col>
      <xdr:colOff>903673</xdr:colOff>
      <xdr:row>20</xdr:row>
      <xdr:rowOff>56030</xdr:rowOff>
    </xdr:from>
    <xdr:to>
      <xdr:col>17</xdr:col>
      <xdr:colOff>343380</xdr:colOff>
      <xdr:row>28</xdr:row>
      <xdr:rowOff>71717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505065</xdr:colOff>
      <xdr:row>20</xdr:row>
      <xdr:rowOff>22412</xdr:rowOff>
    </xdr:from>
    <xdr:to>
      <xdr:col>9</xdr:col>
      <xdr:colOff>493060</xdr:colOff>
      <xdr:row>28</xdr:row>
      <xdr:rowOff>38099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33617</xdr:rowOff>
    </xdr:from>
    <xdr:to>
      <xdr:col>3</xdr:col>
      <xdr:colOff>180093</xdr:colOff>
      <xdr:row>27</xdr:row>
      <xdr:rowOff>145676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</xdr:col>
      <xdr:colOff>280147</xdr:colOff>
      <xdr:row>40</xdr:row>
      <xdr:rowOff>168088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576300</xdr:colOff>
      <xdr:row>30</xdr:row>
      <xdr:rowOff>38100</xdr:rowOff>
    </xdr:from>
    <xdr:to>
      <xdr:col>5</xdr:col>
      <xdr:colOff>100852</xdr:colOff>
      <xdr:row>41</xdr:row>
      <xdr:rowOff>22412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186493</xdr:colOff>
      <xdr:row>30</xdr:row>
      <xdr:rowOff>71718</xdr:rowOff>
    </xdr:from>
    <xdr:to>
      <xdr:col>7</xdr:col>
      <xdr:colOff>952500</xdr:colOff>
      <xdr:row>41</xdr:row>
      <xdr:rowOff>56029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44823</xdr:colOff>
      <xdr:row>0</xdr:row>
      <xdr:rowOff>0</xdr:rowOff>
    </xdr:from>
    <xdr:to>
      <xdr:col>21</xdr:col>
      <xdr:colOff>44823</xdr:colOff>
      <xdr:row>12</xdr:row>
      <xdr:rowOff>100853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11908</xdr:colOff>
      <xdr:row>0</xdr:row>
      <xdr:rowOff>0</xdr:rowOff>
    </xdr:from>
    <xdr:to>
      <xdr:col>37</xdr:col>
      <xdr:colOff>11906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37</xdr:col>
      <xdr:colOff>571501</xdr:colOff>
      <xdr:row>0</xdr:row>
      <xdr:rowOff>23812</xdr:rowOff>
    </xdr:from>
    <xdr:to>
      <xdr:col>42</xdr:col>
      <xdr:colOff>11907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43</xdr:col>
      <xdr:colOff>9526</xdr:colOff>
      <xdr:row>0</xdr:row>
      <xdr:rowOff>0</xdr:rowOff>
    </xdr:from>
    <xdr:to>
      <xdr:col>47</xdr:col>
      <xdr:colOff>35718</xdr:colOff>
      <xdr:row>17</xdr:row>
      <xdr:rowOff>154781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47</xdr:col>
      <xdr:colOff>578645</xdr:colOff>
      <xdr:row>0</xdr:row>
      <xdr:rowOff>0</xdr:rowOff>
    </xdr:from>
    <xdr:to>
      <xdr:col>52</xdr:col>
      <xdr:colOff>35719</xdr:colOff>
      <xdr:row>17</xdr:row>
      <xdr:rowOff>154781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28</xdr:col>
      <xdr:colOff>11906</xdr:colOff>
      <xdr:row>0</xdr:row>
      <xdr:rowOff>0</xdr:rowOff>
    </xdr:from>
    <xdr:to>
      <xdr:col>32</xdr:col>
      <xdr:colOff>35718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Диаграмма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28</xdr:col>
      <xdr:colOff>-1</xdr:colOff>
      <xdr:row>19</xdr:row>
      <xdr:rowOff>23812</xdr:rowOff>
    </xdr:from>
    <xdr:to>
      <xdr:col>31</xdr:col>
      <xdr:colOff>595312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32</xdr:col>
      <xdr:colOff>595313</xdr:colOff>
      <xdr:row>19</xdr:row>
      <xdr:rowOff>23812</xdr:rowOff>
    </xdr:from>
    <xdr:to>
      <xdr:col>37</xdr:col>
      <xdr:colOff>59532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Диаграмма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38</xdr:col>
      <xdr:colOff>11906</xdr:colOff>
      <xdr:row>19</xdr:row>
      <xdr:rowOff>11906</xdr:rowOff>
    </xdr:from>
    <xdr:to>
      <xdr:col>42</xdr:col>
      <xdr:colOff>11906</xdr:colOff>
      <xdr:row>39</xdr:row>
      <xdr:rowOff>178593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Диаграмма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42</xdr:col>
      <xdr:colOff>583406</xdr:colOff>
      <xdr:row>19</xdr:row>
      <xdr:rowOff>11906</xdr:rowOff>
    </xdr:from>
    <xdr:to>
      <xdr:col>46</xdr:col>
      <xdr:colOff>595312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Диаграмма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48</xdr:col>
      <xdr:colOff>11906</xdr:colOff>
      <xdr:row>19</xdr:row>
      <xdr:rowOff>23812</xdr:rowOff>
    </xdr:from>
    <xdr:to>
      <xdr:col>52</xdr:col>
      <xdr:colOff>35718</xdr:colOff>
      <xdr:row>39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Диаграмма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28</xdr:col>
      <xdr:colOff>0</xdr:colOff>
      <xdr:row>41</xdr:row>
      <xdr:rowOff>0</xdr:rowOff>
    </xdr:from>
    <xdr:to>
      <xdr:col>32</xdr:col>
      <xdr:colOff>23812</xdr:colOff>
      <xdr:row>63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Диаграмма 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33</xdr:col>
      <xdr:colOff>0</xdr:colOff>
      <xdr:row>41</xdr:row>
      <xdr:rowOff>0</xdr:rowOff>
    </xdr:from>
    <xdr:to>
      <xdr:col>37</xdr:col>
      <xdr:colOff>23812</xdr:colOff>
      <xdr:row>63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Диаграмма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38</xdr:col>
      <xdr:colOff>0</xdr:colOff>
      <xdr:row>41</xdr:row>
      <xdr:rowOff>0</xdr:rowOff>
    </xdr:from>
    <xdr:to>
      <xdr:col>42</xdr:col>
      <xdr:colOff>23812</xdr:colOff>
      <xdr:row>63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Диаграмма 1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43</xdr:col>
      <xdr:colOff>0</xdr:colOff>
      <xdr:row>41</xdr:row>
      <xdr:rowOff>0</xdr:rowOff>
    </xdr:from>
    <xdr:to>
      <xdr:col>47</xdr:col>
      <xdr:colOff>23812</xdr:colOff>
      <xdr:row>63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Диаграмма 1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48</xdr:col>
      <xdr:colOff>0</xdr:colOff>
      <xdr:row>41</xdr:row>
      <xdr:rowOff>0</xdr:rowOff>
    </xdr:from>
    <xdr:to>
      <xdr:col>52</xdr:col>
      <xdr:colOff>23812</xdr:colOff>
      <xdr:row>63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Диаграмма 1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Сирота Анна Олеговна" refreshedDate="45896.67360509259" backgroundQuery="1" createdVersion="4" refreshedVersion="6" minRefreshableVersion="3" recordCount="0" supportSubquery="1" supportAdvancedDrill="1">
  <cacheSource type="external" connectionId="1"/>
  <cacheFields count="75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>
      <sharedItems count="12">
        <s v="[Dim Clearance Date].[Month].&amp;[2016-01-01T00:00:00]" c="Январь 2016"/>
        <s v="[Dim Clearance Date].[Month].&amp;[2016-02-01T00:00:00]" c="Февраль 2016"/>
        <s v="[Dim Clearance Date].[Month].&amp;[2016-03-01T00:00:00]" c="Март 2016"/>
        <s v="[Dim Clearance Date].[Month].&amp;[2016-04-01T00:00:00]" c="Апрель 2016"/>
        <s v="[Dim Clearance Date].[Month].&amp;[2016-05-01T00:00:00]" c="Май 2016"/>
        <s v="[Dim Clearance Date].[Month].&amp;[2016-06-01T00:00:00]" c="Июнь 2016"/>
        <s v="[Dim Clearance Date].[Month].&amp;[2016-07-01T00:00:00]" c="Июль 2016"/>
        <s v="[Dim Clearance Date].[Month].&amp;[2016-08-01T00:00:00]" c="Август 2016"/>
        <s v="[Dim Clearance Date].[Month].&amp;[2016-09-01T00:00:00]" c="Сентябрь 2016"/>
        <s v="[Dim Clearance Date].[Month].&amp;[2016-10-01T00:00:00]" c="Октябрь 2016"/>
        <s v="[Dim Clearance Date].[Month].&amp;[2016-11-01T00:00:00]" c="Ноябрь 2016"/>
        <s v="[Dim Clearance Date].[Month].&amp;[2016-12-01T00:00:00]" c="Декабрь 2016"/>
      </sharedItems>
    </cacheField>
    <cacheField name="[Dim Clearance Date].[Month].[Month].[Year]" caption="Год" propertyName="Year" numFmtId="0" hierarchy="5" level="1" memberPropertyField="1">
      <sharedItems containsSemiMixedTypes="0" containsString="0"/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ntainsSemiMixedTypes="0" containsString="0"/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unt="6">
        <s v="[Dim CFO Simple].[CFOID].&amp;[587]" c="03_НСУ_Відділ продажів_НСУ"/>
        <s v="[Dim CFO Simple].[CFOID].&amp;[588]" c="03_НСУ_Відділ проектних продажів_НСУ"/>
        <s v="[Dim CFO Simple].[CFOID].&amp;[589]" c="03_НСУ_Відділ експортного продажу_НСУ"/>
        <s v="[Dim CFO Simple].[CFOID].&amp;[757]" c="03_СКФ_Відділ з реалізації непродовольчих товарів на замовлення зразків_СКФ"/>
        <s v="[Dim CFO Simple].[CFOID].&amp;[1059]" c="03_НСУ_Відділ продажів e-commerce_НСУ"/>
        <s v="[Dim CFO Simple].[CFOID].&amp;[1111]" c="03_НСУ_Відділ тендерних продажів_НСУ"/>
      </sharedItems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  <cacheField name="[Measures].[Fact Margine2022 2 Base Currency Fact]" caption="Ф_UCH_М2" numFmtId="0" hierarchy="708" level="32767"/>
    <cacheField name="Dummy0" numFmtId="0" hierarchy="11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57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0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0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0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0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0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0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0" unbalanced="0"/>
    <cacheHierarchy uniqueName="[Dim Plans].[PlanType]" caption="Типы планов" defaultMemberUniqueName="[Dim Plans].[PlanType].[All]" allUniqueName="[Dim Plans].[PlanType].[All]" dimensionUniqueName="[Dim Plans]" displayFolder="" count="0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0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0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0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0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0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0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0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0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0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0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0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0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0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0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0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0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 oneField="1">
      <fieldsUsage count="1">
        <fieldUsage x="73"/>
      </fieldsUsage>
    </cacheHierarchy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  <cacheHierarchy uniqueName="Dummy0" caption="ЦФО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Сирота Анна Олеговна" refreshedDate="45896.691454282409" backgroundQuery="1" createdVersion="4" refreshedVersion="6" minRefreshableVersion="3" recordCount="0" supportSubquery="1" supportAdvancedDrill="1">
  <cacheSource type="external" connectionId="1"/>
  <cacheFields count="75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>
      <sharedItems count="12">
        <s v="[Dim Clearance Date].[Month].&amp;[2016-01-01T00:00:00]" c="Январь 2016"/>
        <s v="[Dim Clearance Date].[Month].&amp;[2016-02-01T00:00:00]" c="Февраль 2016"/>
        <s v="[Dim Clearance Date].[Month].&amp;[2016-03-01T00:00:00]" c="Март 2016"/>
        <s v="[Dim Clearance Date].[Month].&amp;[2016-04-01T00:00:00]" c="Апрель 2016"/>
        <s v="[Dim Clearance Date].[Month].&amp;[2016-05-01T00:00:00]" c="Май 2016"/>
        <s v="[Dim Clearance Date].[Month].&amp;[2016-06-01T00:00:00]" c="Июнь 2016"/>
        <s v="[Dim Clearance Date].[Month].&amp;[2016-07-01T00:00:00]" c="Июль 2016"/>
        <s v="[Dim Clearance Date].[Month].&amp;[2016-08-01T00:00:00]" c="Август 2016"/>
        <s v="[Dim Clearance Date].[Month].&amp;[2016-09-01T00:00:00]" c="Сентябрь 2016"/>
        <s v="[Dim Clearance Date].[Month].&amp;[2016-10-01T00:00:00]" c="Октябрь 2016"/>
        <s v="[Dim Clearance Date].[Month].&amp;[2016-11-01T00:00:00]" c="Ноябрь 2016"/>
        <s v="[Dim Clearance Date].[Month].&amp;[2016-12-01T00:00:00]" c="Декабрь 2016"/>
      </sharedItems>
    </cacheField>
    <cacheField name="[Dim Clearance Date].[Month].[Month].[Year]" caption="Год" propertyName="Year" numFmtId="0" hierarchy="5" level="1" memberPropertyField="1">
      <sharedItems containsSemiMixedTypes="0" containsString="0"/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ntainsSemiMixedTypes="0" containsString="0"/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unt="6">
        <s v="[Dim CFO Simple].[CFOID].&amp;[587]" c="03_НСУ_Відділ продажів_НСУ"/>
        <s v="[Dim CFO Simple].[CFOID].&amp;[588]" c="03_НСУ_Відділ проектних продажів_НСУ"/>
        <s v="[Dim CFO Simple].[CFOID].&amp;[589]" c="03_НСУ_Відділ експортного продажу_НСУ"/>
        <s v="[Dim CFO Simple].[CFOID].&amp;[757]" c="03_СКФ_Відділ з реалізації непродовольчих товарів на замовлення зразків_СКФ"/>
        <s v="[Dim CFO Simple].[CFOID].&amp;[1059]" c="03_НСУ_Відділ продажів e-commerce_НСУ"/>
        <s v="[Dim CFO Simple].[CFOID].&amp;[1111]" c="03_НСУ_Відділ тендерних продажів_НСУ"/>
      </sharedItems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  <cacheField name="[Measures].[Fact Margine2022 2 Base Currency Fact]" caption="Ф_UCH_М2" numFmtId="0" hierarchy="708" level="32767"/>
    <cacheField name="Dummy0" numFmtId="0" hierarchy="11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57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0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0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0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0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0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0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0" unbalanced="0"/>
    <cacheHierarchy uniqueName="[Dim Plans].[PlanType]" caption="Типы планов" defaultMemberUniqueName="[Dim Plans].[PlanType].[All]" allUniqueName="[Dim Plans].[PlanType].[All]" dimensionUniqueName="[Dim Plans]" displayFolder="" count="0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0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0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0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0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0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0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0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0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0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0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0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0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0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0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0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0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 oneField="1">
      <fieldsUsage count="1">
        <fieldUsage x="73"/>
      </fieldsUsage>
    </cacheHierarchy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  <cacheHierarchy uniqueName="Dummy0" caption="ЦФО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Сирота Анна Олеговна" refreshedDate="45896.6918224537" backgroundQuery="1" createdVersion="4" refreshedVersion="6" minRefreshableVersion="3" recordCount="0" supportSubquery="1" supportAdvancedDrill="1">
  <cacheSource type="external" connectionId="1"/>
  <cacheFields count="75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>
      <sharedItems count="12">
        <s v="[Dim Clearance Date].[Month].&amp;[2016-01-01T00:00:00]" c="Январь 2016"/>
        <s v="[Dim Clearance Date].[Month].&amp;[2016-02-01T00:00:00]" c="Февраль 2016"/>
        <s v="[Dim Clearance Date].[Month].&amp;[2016-03-01T00:00:00]" c="Март 2016"/>
        <s v="[Dim Clearance Date].[Month].&amp;[2016-04-01T00:00:00]" c="Апрель 2016"/>
        <s v="[Dim Clearance Date].[Month].&amp;[2016-05-01T00:00:00]" c="Май 2016"/>
        <s v="[Dim Clearance Date].[Month].&amp;[2016-06-01T00:00:00]" c="Июнь 2016"/>
        <s v="[Dim Clearance Date].[Month].&amp;[2016-07-01T00:00:00]" c="Июль 2016"/>
        <s v="[Dim Clearance Date].[Month].&amp;[2016-08-01T00:00:00]" c="Август 2016"/>
        <s v="[Dim Clearance Date].[Month].&amp;[2016-09-01T00:00:00]" c="Сентябрь 2016"/>
        <s v="[Dim Clearance Date].[Month].&amp;[2016-10-01T00:00:00]" c="Октябрь 2016"/>
        <s v="[Dim Clearance Date].[Month].&amp;[2016-11-01T00:00:00]" c="Ноябрь 2016"/>
        <s v="[Dim Clearance Date].[Month].&amp;[2016-12-01T00:00:00]" c="Декабрь 2016"/>
      </sharedItems>
    </cacheField>
    <cacheField name="[Dim Clearance Date].[Month].[Month].[Year]" caption="Год" propertyName="Year" numFmtId="0" hierarchy="5" level="1" memberPropertyField="1">
      <sharedItems containsSemiMixedTypes="0" containsString="0"/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ntainsSemiMixedTypes="0" containsString="0"/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unt="6">
        <s v="[Dim CFO Simple].[CFOID].&amp;[587]" c="03_НСУ_Відділ продажів_НСУ"/>
        <s v="[Dim CFO Simple].[CFOID].&amp;[588]" c="03_НСУ_Відділ проектних продажів_НСУ"/>
        <s v="[Dim CFO Simple].[CFOID].&amp;[589]" c="03_НСУ_Відділ експортного продажу_НСУ"/>
        <s v="[Dim CFO Simple].[CFOID].&amp;[757]" c="03_СКФ_Відділ з реалізації непродовольчих товарів на замовлення зразків_СКФ"/>
        <s v="[Dim CFO Simple].[CFOID].&amp;[1059]" c="03_НСУ_Відділ продажів e-commerce_НСУ"/>
        <s v="[Dim CFO Simple].[CFOID].&amp;[1111]" c="03_НСУ_Відділ тендерних продажів_НСУ"/>
      </sharedItems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  <cacheField name="[Measures].[Fact Margine2022 2 Base Currency Fact]" caption="Ф_UCH_М2" numFmtId="0" hierarchy="708" level="32767"/>
    <cacheField name="Dummy0" numFmtId="0" hierarchy="11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57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0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0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0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0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0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0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0" unbalanced="0"/>
    <cacheHierarchy uniqueName="[Dim Plans].[PlanType]" caption="Типы планов" defaultMemberUniqueName="[Dim Plans].[PlanType].[All]" allUniqueName="[Dim Plans].[PlanType].[All]" dimensionUniqueName="[Dim Plans]" displayFolder="" count="0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0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0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0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0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0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0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0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0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0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0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0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0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0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0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0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0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 oneField="1">
      <fieldsUsage count="1">
        <fieldUsage x="73"/>
      </fieldsUsage>
    </cacheHierarchy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  <cacheHierarchy uniqueName="Dummy0" caption="ЦФО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Сирота Анна Олеговна" refreshedDate="45896.692178472222" backgroundQuery="1" createdVersion="4" refreshedVersion="6" minRefreshableVersion="3" recordCount="0" supportSubquery="1" supportAdvancedDrill="1">
  <cacheSource type="external" connectionId="1"/>
  <cacheFields count="75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>
      <sharedItems count="12">
        <s v="[Dim Clearance Date].[Month].&amp;[2016-01-01T00:00:00]" c="Январь 2016"/>
        <s v="[Dim Clearance Date].[Month].&amp;[2016-02-01T00:00:00]" c="Февраль 2016"/>
        <s v="[Dim Clearance Date].[Month].&amp;[2016-03-01T00:00:00]" c="Март 2016"/>
        <s v="[Dim Clearance Date].[Month].&amp;[2016-04-01T00:00:00]" c="Апрель 2016"/>
        <s v="[Dim Clearance Date].[Month].&amp;[2016-05-01T00:00:00]" c="Май 2016"/>
        <s v="[Dim Clearance Date].[Month].&amp;[2016-06-01T00:00:00]" c="Июнь 2016"/>
        <s v="[Dim Clearance Date].[Month].&amp;[2016-07-01T00:00:00]" c="Июль 2016"/>
        <s v="[Dim Clearance Date].[Month].&amp;[2016-08-01T00:00:00]" c="Август 2016"/>
        <s v="[Dim Clearance Date].[Month].&amp;[2016-09-01T00:00:00]" c="Сентябрь 2016"/>
        <s v="[Dim Clearance Date].[Month].&amp;[2016-10-01T00:00:00]" c="Октябрь 2016"/>
        <s v="[Dim Clearance Date].[Month].&amp;[2016-11-01T00:00:00]" c="Ноябрь 2016"/>
        <s v="[Dim Clearance Date].[Month].&amp;[2016-12-01T00:00:00]" c="Декабрь 2016"/>
      </sharedItems>
    </cacheField>
    <cacheField name="[Dim Clearance Date].[Month].[Month].[Year]" caption="Год" propertyName="Year" numFmtId="0" hierarchy="5" level="1" memberPropertyField="1">
      <sharedItems containsSemiMixedTypes="0" containsString="0"/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ntainsSemiMixedTypes="0" containsString="0"/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unt="9">
        <s v="[Dim CFO Simple].[CFOID].&amp;[587]" c="03_НСУ_Відділ продажів_НСУ"/>
        <s v="[Dim CFO Simple].[CFOID].&amp;[588]" c="03_НСУ_Відділ проектних продажів_НСУ"/>
        <s v="[Dim CFO Simple].[CFOID].&amp;[589]" c="03_НСУ_Відділ експортного продажу_НСУ"/>
        <s v="[Dim CFO Simple].[CFOID].&amp;[757]" c="03_СКФ_Відділ з реалізації непродовольчих товарів на замовлення зразків_СКФ"/>
        <s v="[Dim CFO Simple].[CFOID].&amp;[1059]" c="03_НСУ_Відділ продажів e-commerce_НСУ"/>
        <s v="[Dim CFO Simple].[CFOID].&amp;[1355]" c="03_ЕКТ_Відділ по роботі з торгівельними мережами_ЕКТ"/>
        <s v="[Dim CFO Simple].[CFOID].&amp;[1356]" c="03_ЕКТ_Відділ проектних продажів_ЕКТ"/>
        <s v="[Dim CFO Simple].[CFOID].&amp;[1357]" c="03_ЕКТ_Відділ тендерних продажів_ЕКТ"/>
        <s v="[Dim CFO Simple].[CFOID].&amp;[1111]" u="1" c="03_НСУ_Відділ тендерних продажів_НСУ"/>
      </sharedItems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  <cacheField name="[Measures].[Fact Margine2022 2 Base Currency Fact]" caption="Ф_UCH_М2" numFmtId="0" hierarchy="708" level="32767"/>
    <cacheField name="Dummy0" numFmtId="0" hierarchy="11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57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0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0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0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0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0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0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0" unbalanced="0"/>
    <cacheHierarchy uniqueName="[Dim Plans].[PlanType]" caption="Типы планов" defaultMemberUniqueName="[Dim Plans].[PlanType].[All]" allUniqueName="[Dim Plans].[PlanType].[All]" dimensionUniqueName="[Dim Plans]" displayFolder="" count="0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0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0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0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0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0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0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0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0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0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0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0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0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0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0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0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0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 oneField="1">
      <fieldsUsage count="1">
        <fieldUsage x="73"/>
      </fieldsUsage>
    </cacheHierarchy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  <cacheHierarchy uniqueName="Dummy0" caption="ЦФО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Сирота Анна Олеговна" refreshedDate="46079.680055324076" backgroundQuery="1" createdVersion="4" refreshedVersion="6" minRefreshableVersion="3" recordCount="0" supportSubquery="1" supportAdvancedDrill="1">
  <cacheSource type="external" connectionId="1"/>
  <cacheFields count="75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>
      <sharedItems count="12">
        <s v="[Dim Clearance Date].[Month].&amp;[2016-01-01T00:00:00]" c="Январь 2016"/>
        <s v="[Dim Clearance Date].[Month].&amp;[2016-02-01T00:00:00]" c="Февраль 2016"/>
        <s v="[Dim Clearance Date].[Month].&amp;[2016-03-01T00:00:00]" c="Март 2016"/>
        <s v="[Dim Clearance Date].[Month].&amp;[2016-04-01T00:00:00]" c="Апрель 2016"/>
        <s v="[Dim Clearance Date].[Month].&amp;[2016-05-01T00:00:00]" c="Май 2016"/>
        <s v="[Dim Clearance Date].[Month].&amp;[2016-06-01T00:00:00]" c="Июнь 2016"/>
        <s v="[Dim Clearance Date].[Month].&amp;[2016-07-01T00:00:00]" c="Июль 2016"/>
        <s v="[Dim Clearance Date].[Month].&amp;[2016-08-01T00:00:00]" c="Август 2016"/>
        <s v="[Dim Clearance Date].[Month].&amp;[2016-09-01T00:00:00]" c="Сентябрь 2016"/>
        <s v="[Dim Clearance Date].[Month].&amp;[2016-10-01T00:00:00]" c="Октябрь 2016"/>
        <s v="[Dim Clearance Date].[Month].&amp;[2016-11-01T00:00:00]" c="Ноябрь 2016"/>
        <s v="[Dim Clearance Date].[Month].&amp;[2016-12-01T00:00:00]" c="Декабрь 2016"/>
      </sharedItems>
    </cacheField>
    <cacheField name="[Dim Clearance Date].[Month].[Month].[Year]" caption="Год" propertyName="Year" numFmtId="0" hierarchy="5" level="1" memberPropertyField="1">
      <sharedItems containsSemiMixedTypes="0" containsString="0"/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unt="179">
        <s v="[Dim TMC].[TMC Line Model].&amp;[_Линия модели не задана]" c="_Линия модели не задана"/>
        <s v="[Dim TMC].[TMC Line Model].&amp;[AIR]" c="AIR"/>
        <s v="[Dim TMC].[TMC Line Model].&amp;[ALFA]" c="ALFA"/>
        <s v="[Dim TMC].[TMC Line Model].&amp;[ALLER]" c="ALLER"/>
        <s v="[Dim TMC].[TMC Line Model].&amp;[AMELY]" c="AMELY"/>
        <s v="[Dim TMC].[TMC Line Model].&amp;[ANGLE]" c="ANGLE"/>
        <s v="[Dim TMC].[TMC Line Model].&amp;[ARGENTO]" c="ARGENTO"/>
        <s v="[Dim TMC].[TMC Line Model].&amp;[ARGON]" c="ARGON"/>
        <s v="[Dim TMC].[TMC Line Model].&amp;[ARIZONA]" c="ARIZONA"/>
        <s v="[Dim TMC].[TMC Line Model].&amp;[ASCONA]" c="ASCONA"/>
        <s v="[Dim TMC].[TMC Line Model].&amp;[ASTI]" c="ASTI"/>
        <s v="[Dim TMC].[TMC Line Model].&amp;[ATLANT]" c="ATLANT"/>
        <s v="[Dim TMC].[TMC Line Model].&amp;[BC-11]" c="BC-11"/>
        <s v="[Dim TMC].[TMC Line Model].&amp;[BESTA]" c="BESTA"/>
        <s v="[Dim TMC].[TMC Line Model].&amp;[BETA]" c="BETA"/>
        <s v="[Dim TMC].[TMC Line Model].&amp;[BETTA]" c="BETTA"/>
        <s v="[Dim TMC].[TMC Line Model].&amp;[BOOM]" c="BOOM"/>
        <s v="[Dim TMC].[TMC Line Model].&amp;[BOOSTER]" c="BOOSTER"/>
        <s v="[Dim TMC].[TMC Line Model].&amp;[BOSS]" c="BOSS"/>
        <s v="[Dim TMC].[TMC Line Model].&amp;[BOSS KD]" c="BOSS KD"/>
        <s v="[Dim TMC].[TMC Line Model].&amp;[BOSTON]" c="BOSTON"/>
        <s v="[Dim TMC].[TMC Line Model].&amp;[BRUNO]" c="BRUNO"/>
        <s v="[Dim TMC].[TMC Line Model].&amp;[CACTUS]" c="CACTUS"/>
        <s v="[Dim TMC].[TMC Line Model].&amp;[CALIFORNIA]" c="CALIFORNIA"/>
        <s v="[Dim TMC].[TMC Line Model].&amp;[CAMILLA]" c="CAMILLA"/>
        <s v="[Dim TMC].[TMC Line Model].&amp;[CASEY]" c="CASEY"/>
        <s v="[Dim TMC].[TMC Line Model].&amp;[CHICO]" c="CHICO"/>
        <s v="[Dim TMC].[TMC Line Model].&amp;[CLASSIC]" c="CLASSIC"/>
        <s v="[Dim TMC].[TMC Line Model].&amp;[CLUB]" c="CLUB"/>
        <s v="[Dim TMC].[TMC Line Model].&amp;[COMFORT]" c="COMFORT"/>
        <s v="[Dim TMC].[TMC Line Model].&amp;[CREDO]" c="CREDO"/>
        <s v="[Dim TMC].[TMC Line Model].&amp;[CUBA]" c="CUBA"/>
        <s v="[Dim TMC].[TMC Line Model].&amp;[CUBIC]" c="CUBIC"/>
        <s v="[Dim TMC].[TMC Line Model].&amp;[DAKAR]" c="DAKAR"/>
        <s v="[Dim TMC].[TMC Line Model].&amp;[DASTER]" c="DASTER"/>
        <s v="[Dim TMC].[TMC Line Model].&amp;[DELTA]" c="DELTA"/>
        <s v="[Dim TMC].[TMC Line Model].&amp;[DESILVA]" c="DESILVA"/>
        <s v="[Dim TMC].[TMC Line Model].&amp;[DIPLOMAT]" c="DIPLOMAT"/>
        <s v="[Dim TMC].[TMC Line Model].&amp;[DIRECTOR]" c="DIRECTOR"/>
        <s v="[Dim TMC].[TMC Line Model].&amp;[DOLCE]" c="DOLCE"/>
        <s v="[Dim TMC].[TMC Line Model].&amp;[ELLY]" c="ELLY"/>
        <s v="[Dim TMC].[TMC Line Model].&amp;[ERA]" c="ERA"/>
        <s v="[Dim TMC].[TMC Line Model].&amp;[EVOLUTION]" c="EVOLUTION"/>
        <s v="[Dim TMC].[TMC Line Model].&amp;[FACTOR]" c="FACTOR"/>
        <s v="[Dim TMC].[TMC Line Model].&amp;[FALCON]" c="FALCON"/>
        <s v="[Dim TMC].[TMC Line Model].&amp;[FARAON]" c="FARAON"/>
        <s v="[Dim TMC].[TMC Line Model].&amp;[FIDEL]" c="FIDEL"/>
        <s v="[Dim TMC].[TMC Line Model].&amp;[FLORIDA]" c="FLORIDA"/>
        <s v="[Dim TMC].[TMC Line Model].&amp;[FLORINO]" c="FLORINO"/>
        <s v="[Dim TMC].[TMC Line Model].&amp;[FLY]" c="FLY"/>
        <s v="[Dim TMC].[TMC Line Model].&amp;[FLY HB]" c="FLY HB"/>
        <s v="[Dim TMC].[TMC Line Model].&amp;[FOREX]" c="FOREX"/>
        <s v="[Dim TMC].[TMC Line Model].&amp;[FORM HOKER]" c="FORM HOKER"/>
        <s v="[Dim TMC].[TMC Line Model].&amp;[FOX]" c="FOX"/>
        <s v="[Dim TMC].[TMC Line Model].&amp;[FRAME]" c="FRAME"/>
        <s v="[Dim TMC].[TMC Line Model].&amp;[FRANK]" c="FRANK"/>
        <s v="[Dim TMC].[TMC Line Model].&amp;[FRIDAY]" c="FRIDAY"/>
        <s v="[Dim TMC].[TMC Line Model].&amp;[GALANT]" c="GALANT"/>
        <s v="[Dim TMC].[TMC Line Model].&amp;[GAMER]" c="GAMER"/>
        <s v="[Dim TMC].[TMC Line Model].&amp;[GERMES]" c="GERMES"/>
        <s v="[Dim TMC].[TMC Line Model].&amp;[GLORY]" c="GLORY"/>
        <s v="[Dim TMC].[TMC Line Model].&amp;[GRAND]" c="GRAND"/>
        <s v="[Dim TMC].[TMC Line Model].&amp;[HEXTER ML]" c="HEXTER ML"/>
        <s v="[Dim TMC].[TMC Line Model].&amp;[HEXTER XL]" c="HEXTER XL"/>
        <s v="[Dim TMC].[TMC Line Model].&amp;[HIP-HOP]" c="HIP-HOP"/>
        <s v="[Dim TMC].[TMC Line Model].&amp;[INTER]" c="INTER"/>
        <s v="[Dim TMC].[TMC Line Model].&amp;[IRIS]" c="IRIS"/>
        <s v="[Dim TMC].[TMC Line Model].&amp;[ISIT]" c="ISIT"/>
        <s v="[Dim TMC].[TMC Line Model].&amp;[ISO]" c="ISO"/>
        <s v="[Dim TMC].[TMC Line Model].&amp;[ISO GTP]" c="ISO GTP"/>
        <s v="[Dim TMC].[TMC Line Model].&amp;[ISO NET]" c="ISO NET"/>
        <s v="[Dim TMC].[TMC Line Model].&amp;[JACK]" c="JACK"/>
        <s v="[Dim TMC].[TMC Line Model].&amp;[JOLA]" c="JOLA"/>
        <s v="[Dim TMC].[TMC Line Model].&amp;[KING]" c="KING"/>
        <s v="[Dim TMC].[TMC Line Model].&amp;[KONSUL]" c="KONSUL"/>
        <s v="[Dim TMC].[TMC Line Model].&amp;[LABORANT]" c="LABORANT"/>
        <s v="[Dim TMC].[TMC Line Model].&amp;[LEAVES]" c="LEAVES"/>
        <s v="[Dim TMC].[TMC Line Model].&amp;[LENARD]" c="LENARD"/>
        <s v="[Dim TMC].[TMC Line Model].&amp;[LIBERTY]" c="LIBERTY"/>
        <s v="[Dim TMC].[TMC Line Model].&amp;[LIPS]" c="LIPS"/>
        <s v="[Dim TMC].[TMC Line Model].&amp;[LIPS HOKER]" c="LIPS HOKER"/>
        <s v="[Dim TMC].[TMC Line Model].&amp;[LUCKY]" c="LUCKY"/>
        <s v="[Dim TMC].[TMC Line Model].&amp;[MALTA]" c="MALTA"/>
        <s v="[Dim TMC].[TMC Line Model].&amp;[MANAGER]" c="MANAGER"/>
        <s v="[Dim TMC].[TMC Line Model].&amp;[MARCO]" c="MARCO"/>
        <s v="[Dim TMC].[TMC Line Model].&amp;[MARTIN]" c="MARTIN"/>
        <s v="[Dim TMC].[TMC Line Model].&amp;[MASTER]" c="MASTER"/>
        <s v="[Dim TMC].[TMC Line Model].&amp;[MATRIX]" c="MATRIX"/>
        <s v="[Dim TMC].[TMC Line Model].&amp;[MEDICO]" c="MEDICO"/>
        <s v="[Dim TMC].[TMC Line Model].&amp;[MEXICO]" c="MEXICO"/>
        <s v="[Dim TMC].[TMC Line Model].&amp;[MILANA]" c="MILANA"/>
        <s v="[Dim TMC].[TMC Line Model].&amp;[MINISTER]" c="MINISTER"/>
        <s v="[Dim TMC].[TMC Line Model].&amp;[MINISTYLE]" c="MINISTYLE"/>
        <s v="[Dim TMC].[TMC Line Model].&amp;[MODERN]" c="MODERN"/>
        <s v="[Dim TMC].[TMC Line Model].&amp;[MODUS]" c="MODUS"/>
        <s v="[Dim TMC].[TMC Line Model].&amp;[MORFEO]" c="MORFEO"/>
        <s v="[Dim TMC].[TMC Line Model].&amp;[NADIR]" c="NADIR"/>
        <s v="[Dim TMC].[TMC Line Model].&amp;[NAVIGO]" c="NAVIGO"/>
        <s v="[Dim TMC].[TMC Line Model].&amp;[NERON]" c="NERON"/>
        <s v="[Dim TMC].[TMC Line Model].&amp;[NETWORK]" c="NETWORK"/>
        <s v="[Dim TMC].[TMC Line Model].&amp;[NICOLE]" c="NICOLE"/>
        <s v="[Dim TMC].[TMC Line Model].&amp;[NICOLE GTS]" c="NICOLE GTS"/>
        <s v="[Dim TMC].[TMC Line Model].&amp;[NICOLE HOKER]" c="NICOLE HOKER"/>
        <s v="[Dim TMC].[TMC Line Model].&amp;[NIK]" c="NIK"/>
        <s v="[Dim TMC].[TMC Line Model].&amp;[NOVA]" c="NOVA"/>
        <s v="[Dim TMC].[TMC Line Model].&amp;[OFFICE]" c="OFFICE"/>
        <s v="[Dim TMC].[TMC Line Model].&amp;[ORION]" c="ORION"/>
        <s v="[Dim TMC].[TMC Line Model].&amp;[ORMAN]" c="ORMAN"/>
        <s v="[Dim TMC].[TMC Line Model].&amp;[OXFORD]" c="OXFORD"/>
        <s v="[Dim TMC].[TMC Line Model].&amp;[PEGASO]" c="PEGASO"/>
        <s v="[Dim TMC].[TMC Line Model].&amp;[PIKE]" c="PIKE"/>
        <s v="[Dim TMC].[TMC Line Model].&amp;[POLLY]" c="POLLY"/>
        <s v="[Dim TMC].[TMC Line Model].&amp;[PRESTIGE]" c="PRESTIGE"/>
        <s v="[Dim TMC].[TMC Line Model].&amp;[RALPH GTP]" c="RALPH GTP"/>
        <s v="[Dim TMC].[TMC Line Model].&amp;[RALPH HOKER]" c="RALPH HOKER"/>
        <s v="[Dim TMC].[TMC Line Model].&amp;[REGAL]" c="REGAL"/>
        <s v="[Dim TMC].[TMC Line Model].&amp;[RIGA]" c="RIGA"/>
        <s v="[Dim TMC].[TMC Line Model].&amp;[ROCKY]" c="ROCKY"/>
        <s v="[Dim TMC].[TMC Line Model].&amp;[ROSE]" c="ROSE"/>
        <s v="[Dim TMC].[TMC Line Model].&amp;[RUNN]" c="RUNN"/>
        <s v="[Dim TMC].[TMC Line Model].&amp;[SAMBA]" c="SAMBA"/>
        <s v="[Dim TMC].[TMC Line Model].&amp;[SAMBA GTP]" c="SAMBA GTP"/>
        <s v="[Dim TMC].[TMC Line Model].&amp;[SEVEN]" c="SEVEN"/>
        <s v="[Dim TMC].[TMC Line Model].&amp;[SLIM]" c="SLIM"/>
        <s v="[Dim TMC].[TMC Line Model].&amp;[SMART]" c="SMART"/>
        <s v="[Dim TMC].[TMC Line Model].&amp;[SOFI]" c="SOFI"/>
        <s v="[Dim TMC].[TMC Line Model].&amp;[SOLO]" c="SOLO"/>
        <s v="[Dim TMC].[TMC Line Model].&amp;[STAFF]" c="STAFF"/>
        <s v="[Dim TMC].[TMC Line Model].&amp;[STAR]" c="STAR"/>
        <s v="[Dim TMC].[TMC Line Model].&amp;[STILO]" c="STILO"/>
        <s v="[Dim TMC].[TMC Line Model].&amp;[STOOL]" c="STOOL"/>
        <s v="[Dim TMC].[TMC Line Model].&amp;[STRONGMAN]" c="STRONGMAN"/>
        <s v="[Dim TMC].[TMC Line Model].&amp;[SYLWIA]" c="SYLWIA"/>
        <s v="[Dim TMC].[TMC Line Model].&amp;[TACO]" c="TACO"/>
        <s v="[Dim TMC].[TMC Line Model].&amp;[TAILER]" c="TAILER"/>
        <s v="[Dim TMC].[TMC Line Model].&amp;[TAKTIK]" c="TAKTIK"/>
        <s v="[Dim TMC].[TMC Line Model].&amp;[TASK]" c="TASK"/>
        <s v="[Dim TMC].[TMC Line Model].&amp;[TEDDY]" c="TEDDY"/>
        <s v="[Dim TMC].[TMC Line Model].&amp;[TELA]" c="TELA"/>
        <s v="[Dim TMC].[TMC Line Model].&amp;[TETRA]" c="TETRA"/>
        <s v="[Dim TMC].[TMC Line Model].&amp;[TIRAMISU]" c="TIRAMISU"/>
        <s v="[Dim TMC].[TMC Line Model].&amp;[TULIPAN]" c="TULIPAN"/>
        <s v="[Dim TMC].[TMC Line Model].&amp;[TUTTI]" c="TUTTI"/>
        <s v="[Dim TMC].[TMC Line Model].&amp;[TWINKS]" c="TWINKS"/>
        <s v="[Dim TMC].[TMC Line Model].&amp;[ULTRA]" c="ULTRA"/>
        <s v="[Dim TMC].[TMC Line Model].&amp;[VENEZIA]" c="VENEZIA"/>
        <s v="[Dim TMC].[TMC Line Model].&amp;[VENSAN]" c="VENSAN"/>
        <s v="[Dim TMC].[TMC Line Model].&amp;[VENTA]" c="VENTA"/>
        <s v="[Dim TMC].[TMC Line Model].&amp;[VENUS]" c="VENUS"/>
        <s v="[Dim TMC].[TMC Line Model].&amp;[VERONIKA]" c="VERONIKA"/>
        <s v="[Dim TMC].[TMC Line Model].&amp;[VISION]" c="VISION"/>
        <s v="[Dim TMC].[TMC Line Model].&amp;[VISITOR]" c="VISITOR"/>
        <s v="[Dim TMC].[TMC Line Model].&amp;[VULKANO]" c="VULKANO"/>
        <s v="[Dim TMC].[TMC Line Model].&amp;[WAIT]" c="WAIT"/>
        <s v="[Dim TMC].[TMC Line Model].&amp;[WAIT GTP]" c="WAIT GTP"/>
        <s v="[Dim TMC].[TMC Line Model].&amp;[WEBSTAR]" c="WEBSTAR"/>
        <s v="[Dim TMC].[TMC Line Model].&amp;[WINNER]" c="WINNER"/>
        <s v="[Dim TMC].[TMC Line Model].&amp;[YAPPI]" c="YAPPI"/>
        <s v="[Dim TMC].[TMC Line Model].&amp;[ZETA]" c="ZETA"/>
        <s v="[Dim TMC].[TMC Line Model].&amp;[Бюджет Lite]" c="Бюджет Lite"/>
        <s v="[Dim TMC].[TMC Line Model].&amp;[Комплектующие и механизмы]" c="Комплектующие и механизмы"/>
        <s v="[Dim TMC].[TMC Line Model].&amp;[Меган]" c="Меган"/>
        <s v="[Dim TMC].[TMC Line Model].&amp;[НЕСЕРИЯ]" c="НЕСЕРИЯ"/>
        <s v="[Dim TMC].[TMC Line Model].&amp;[ПРОЧЕЕ]" c="ПРОЧЕЕ"/>
        <s v="[Dim TMC].[TMC Line Model].&amp;[РАМА CFS]" c="РАМА CFS"/>
        <s v="[Dim TMC].[TMC Line Model].&amp;[РАМА FOXY]" c="РАМА FOXY"/>
        <s v="[Dim TMC].[TMC Line Model].&amp;[РАМА HANNA]" c="РАМА HANNA"/>
        <s v="[Dim TMC].[TMC Line Model].&amp;[СИДЕНЬЕ D40]" c="СИДЕНЬЕ D40"/>
        <s v="[Dim TMC].[TMC Line Model].&amp;[СТОЛ КОНФЕРЕНЦ. E-301]" c="СТОЛ КОНФЕРЕНЦ. E-301"/>
        <s v="[Dim TMC].[TMC Line Model].&amp;[СТОЛ УЧЕН. E-162]" c="СТОЛ УЧЕН. E-162"/>
        <s v="[Dim TMC].[TMC Line Model].&amp;[СТОЛ УЧЕН. E-172]" c="СТОЛ УЧЕН. E-172"/>
        <s v="[Dim TMC].[TMC Line Model].&amp;[СТОЛ УЧЕН. E-174]" c="СТОЛ УЧЕН. E-174"/>
        <s v="[Dim TMC].[TMC Line Model].&amp;[СТОЛ УЧЕН. E-176]" c="СТОЛ УЧЕН. E-176"/>
        <s v="[Dim TMC].[TMC Line Model].&amp;[СТОЛ УЧЕН. E-179]" c="СТОЛ УЧЕН. E-179"/>
        <s v="[Dim TMC].[TMC Line Model].&amp;[СТУЛ УЧЕН. E-263]" c="СТУЛ УЧЕН. E-263"/>
        <s v="[Dim TMC].[TMC Line Model].&amp;[СТУЛ УЧЕН. E-266]" c="СТУЛ УЧЕН. E-266"/>
        <s v="[Dim TMC].[TMC Line Model].&amp;[СТУЛ УЧЕН. E-273]" c="СТУЛ УЧЕН. E-273"/>
        <s v="[Dim TMC].[TMC Line Model].&amp;[СТУЛ УЧЕН. E-274]" c="СТУЛ УЧЕН. E-274"/>
        <s v="[Dim TMC].[TMC Line Model].&amp;[ТКАНЬ]" c="ТКАНЬ"/>
      </sharedItems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ntainsSemiMixedTypes="0" containsString="0"/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  <cacheField name="[Measures].[Fact Margine2022 2 Base Currency Fact]" caption="Ф_UCH_М2" numFmtId="0" hierarchy="708" level="32767"/>
    <cacheField name="Dummy0" numFmtId="0" hierarchy="11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57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0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0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0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0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0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0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0" unbalanced="0"/>
    <cacheHierarchy uniqueName="[Dim Plans].[PlanType]" caption="Типы планов" defaultMemberUniqueName="[Dim Plans].[PlanType].[All]" allUniqueName="[Dim Plans].[PlanType].[All]" dimensionUniqueName="[Dim Plans]" displayFolder="" count="0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0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0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0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0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0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0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0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0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0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0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0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0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0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0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0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0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 oneField="1">
      <fieldsUsage count="1">
        <fieldUsage x="73"/>
      </fieldsUsage>
    </cacheHierarchy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  <cacheHierarchy uniqueName="Dummy0" caption="ЦФО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Охотюк Любовь Павловна" refreshedDate="46083.647897916664" backgroundQuery="1" createdVersion="4" refreshedVersion="6" minRefreshableVersion="3" recordCount="0" supportSubquery="1" supportAdvancedDrill="1">
  <cacheSource type="external" connectionId="1"/>
  <cacheFields count="75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>
      <sharedItems count="12">
        <s v="[Dim Clearance Date].[Month].&amp;[2016-01-01T00:00:00]" c="Январь 2016"/>
        <s v="[Dim Clearance Date].[Month].&amp;[2016-02-01T00:00:00]" c="Февраль 2016"/>
        <s v="[Dim Clearance Date].[Month].&amp;[2016-03-01T00:00:00]" c="Март 2016"/>
        <s v="[Dim Clearance Date].[Month].&amp;[2016-04-01T00:00:00]" c="Апрель 2016"/>
        <s v="[Dim Clearance Date].[Month].&amp;[2016-05-01T00:00:00]" c="Май 2016"/>
        <s v="[Dim Clearance Date].[Month].&amp;[2016-06-01T00:00:00]" c="Июнь 2016"/>
        <s v="[Dim Clearance Date].[Month].&amp;[2016-07-01T00:00:00]" c="Июль 2016"/>
        <s v="[Dim Clearance Date].[Month].&amp;[2016-08-01T00:00:00]" c="Август 2016"/>
        <s v="[Dim Clearance Date].[Month].&amp;[2016-09-01T00:00:00]" c="Сентябрь 2016"/>
        <s v="[Dim Clearance Date].[Month].&amp;[2016-10-01T00:00:00]" c="Октябрь 2016"/>
        <s v="[Dim Clearance Date].[Month].&amp;[2016-11-01T00:00:00]" c="Ноябрь 2016"/>
        <s v="[Dim Clearance Date].[Month].&amp;[2016-12-01T00:00:00]" c="Декабрь 2016"/>
      </sharedItems>
    </cacheField>
    <cacheField name="[Dim Clearance Date].[Month].[Month].[Year]" caption="Год" propertyName="Year" numFmtId="0" hierarchy="5" level="1" memberPropertyField="1">
      <sharedItems containsSemiMixedTypes="0" containsString="0"/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unt="282">
        <s v="[Dim TMC].[TMC Line Model].&amp;[_Линия модели не задана]" c="_Линия модели не задана"/>
        <s v="[Dim TMC].[TMC Line Model].&amp;[ABSOLUTE]" c="ABSOLUTE"/>
        <s v="[Dim TMC].[TMC Line Model].&amp;[AIR]" c="AIR"/>
        <s v="[Dim TMC].[TMC Line Model].&amp;[ALFA]" c="ALFA"/>
        <s v="[Dim TMC].[TMC Line Model].&amp;[ALI]" c="ALI"/>
        <s v="[Dim TMC].[TMC Line Model].&amp;[ALIYA]" c="ALIYA"/>
        <s v="[Dim TMC].[TMC Line Model].&amp;[ALLER]" c="ALLER"/>
        <s v="[Dim TMC].[TMC Line Model].&amp;[AMELY]" c="AMELY"/>
        <s v="[Dim TMC].[TMC Line Model].&amp;[ANGLE]" c="ANGLE"/>
        <s v="[Dim TMC].[TMC Line Model].&amp;[AQUA]" c="AQUA"/>
        <s v="[Dim TMC].[TMC Line Model].&amp;[ARGENTO]" c="ARGENTO"/>
        <s v="[Dim TMC].[TMC Line Model].&amp;[ARGON]" c="ARGON"/>
        <s v="[Dim TMC].[TMC Line Model].&amp;[ARIZONA]" c="ARIZONA"/>
        <s v="[Dim TMC].[TMC Line Model].&amp;[ASCONA]" c="ASCONA"/>
        <s v="[Dim TMC].[TMC Line Model].&amp;[ASTI]" c="ASTI"/>
        <s v="[Dim TMC].[TMC Line Model].&amp;[ASTI GTS]" c="ASTI GTS"/>
        <s v="[Dim TMC].[TMC Line Model].&amp;[ATLANT]" c="ATLANT"/>
        <s v="[Dim TMC].[TMC Line Model].&amp;[BADEN]" c="BADEN"/>
        <s v="[Dim TMC].[TMC Line Model].&amp;[BAMBO]" c="BAMBO"/>
        <s v="[Dim TMC].[TMC Line Model].&amp;[BANDI]" c="BANDI"/>
        <s v="[Dim TMC].[TMC Line Model].&amp;[BC-11]" c="BC-11"/>
        <s v="[Dim TMC].[TMC Line Model].&amp;[BERN]" c="BERN"/>
        <s v="[Dim TMC].[TMC Line Model].&amp;[BESTA]" c="BESTA"/>
        <s v="[Dim TMC].[TMC Line Model].&amp;[BETTA]" c="BETTA"/>
        <s v="[Dim TMC].[TMC Line Model].&amp;[BLITZ]" c="BLITZ"/>
        <s v="[Dim TMC].[TMC Line Model].&amp;[BONN]" c="BONN"/>
        <s v="[Dim TMC].[TMC Line Model].&amp;[BOOM]" c="BOOM"/>
        <s v="[Dim TMC].[TMC Line Model].&amp;[BOOSTER]" c="BOOSTER"/>
        <s v="[Dim TMC].[TMC Line Model].&amp;[BOSS]" c="BOSS"/>
        <s v="[Dim TMC].[TMC Line Model].&amp;[BOSS KD]" c="BOSS KD"/>
        <s v="[Dim TMC].[TMC Line Model].&amp;[BRAVOS]" c="BRAVOS"/>
        <s v="[Dim TMC].[TMC Line Model].&amp;[BRUNO]" c="BRUNO"/>
        <s v="[Dim TMC].[TMC Line Model].&amp;[CACTUS]" c="CACTUS"/>
        <s v="[Dim TMC].[TMC Line Model].&amp;[CADDY]" c="CADDY"/>
        <s v="[Dim TMC].[TMC Line Model].&amp;[CALIFORNIA]" c="CALIFORNIA"/>
        <s v="[Dim TMC].[TMC Line Model].&amp;[CALIPSO]" c="CALIPSO"/>
        <s v="[Dim TMC].[TMC Line Model].&amp;[CAMILLA]" c="CAMILLA"/>
        <s v="[Dim TMC].[TMC Line Model].&amp;[CASEY]" c="CASEY"/>
        <s v="[Dim TMC].[TMC Line Model].&amp;[CHAMPION]" c="CHAMPION"/>
        <s v="[Dim TMC].[TMC Line Model].&amp;[CHESTER]" c="CHESTER"/>
        <s v="[Dim TMC].[TMC Line Model].&amp;[CHICO]" c="CHICO"/>
        <s v="[Dim TMC].[TMC Line Model].&amp;[CLASSIC]" c="CLASSIC"/>
        <s v="[Dim TMC].[TMC Line Model].&amp;[CLUB]" c="CLUB"/>
        <s v="[Dim TMC].[TMC Line Model].&amp;[COMBO]" c="COMBO"/>
        <s v="[Dim TMC].[TMC Line Model].&amp;[COMFORT]" c="COMFORT"/>
        <s v="[Dim TMC].[TMC Line Model].&amp;[CREDO]" c="CREDO"/>
        <s v="[Dim TMC].[TMC Line Model].&amp;[CUBA]" c="CUBA"/>
        <s v="[Dim TMC].[TMC Line Model].&amp;[CUBIC]" c="CUBIC"/>
        <s v="[Dim TMC].[TMC Line Model].&amp;[DAKAR]" c="DAKAR"/>
        <s v="[Dim TMC].[TMC Line Model].&amp;[DASTER]" c="DASTER"/>
        <s v="[Dim TMC].[TMC Line Model].&amp;[DASTER GTP]" c="DASTER GTP"/>
        <s v="[Dim TMC].[TMC Line Model].&amp;[DELTA]" c="DELTA"/>
        <s v="[Dim TMC].[TMC Line Model].&amp;[DESILVA]" c="DESILVA"/>
        <s v="[Dim TMC].[TMC Line Model].&amp;[DIPLOMAT]" c="DIPLOMAT"/>
        <s v="[Dim TMC].[TMC Line Model].&amp;[DIRECTOR]" c="DIRECTOR"/>
        <s v="[Dim TMC].[TMC Line Model].&amp;[DOLCE]" c="DOLCE"/>
        <s v="[Dim TMC].[TMC Line Model].&amp;[EASY]" c="EASY"/>
        <s v="[Dim TMC].[TMC Line Model].&amp;[ELLY]" c="ELLY"/>
        <s v="[Dim TMC].[TMC Line Model].&amp;[ERA]" c="ERA"/>
        <s v="[Dim TMC].[TMC Line Model].&amp;[ERA GTP]" c="ERA GTP"/>
        <s v="[Dim TMC].[TMC Line Model].&amp;[EVOLUTION]" c="EVOLUTION"/>
        <s v="[Dim TMC].[TMC Line Model].&amp;[FACTOR]" c="FACTOR"/>
        <s v="[Dim TMC].[TMC Line Model].&amp;[FALCON]" c="FALCON"/>
        <s v="[Dim TMC].[TMC Line Model].&amp;[FIDEL]" c="FIDEL"/>
        <s v="[Dim TMC].[TMC Line Model].&amp;[FINE]" c="FINE"/>
        <s v="[Dim TMC].[TMC Line Model].&amp;[FIXY]" c="FIXY"/>
        <s v="[Dim TMC].[TMC Line Model].&amp;[FLORINO]" c="FLORINO"/>
        <s v="[Dim TMC].[TMC Line Model].&amp;[FLY]" c="FLY"/>
        <s v="[Dim TMC].[TMC Line Model].&amp;[FLY HB]" c="FLY HB"/>
        <s v="[Dim TMC].[TMC Line Model].&amp;[FOREX]" c="FOREX"/>
        <s v="[Dim TMC].[TMC Line Model].&amp;[FORM]" c="FORM"/>
        <s v="[Dim TMC].[TMC Line Model].&amp;[FORM GTS]" c="FORM GTS"/>
        <s v="[Dim TMC].[TMC Line Model].&amp;[FORM HOKER]" c="FORM HOKER"/>
        <s v="[Dim TMC].[TMC Line Model].&amp;[FORSAGE]" c="FORSAGE"/>
        <s v="[Dim TMC].[TMC Line Model].&amp;[FORWARD]" c="FORWARD"/>
        <s v="[Dim TMC].[TMC Line Model].&amp;[FOX]" c="FOX"/>
        <s v="[Dim TMC].[TMC Line Model].&amp;[FRAME]" c="FRAME"/>
        <s v="[Dim TMC].[TMC Line Model].&amp;[FRANK]" c="FRANK"/>
        <s v="[Dim TMC].[TMC Line Model].&amp;[FRIDAY]" c="FRIDAY"/>
        <s v="[Dim TMC].[TMC Line Model].&amp;[GALANT]" c="GALANT"/>
        <s v="[Dim TMC].[TMC Line Model].&amp;[GAMER]" c="GAMER"/>
        <s v="[Dim TMC].[TMC Line Model].&amp;[GAMER TABLE]" c="GAMER TABLE"/>
        <s v="[Dim TMC].[TMC Line Model].&amp;[GEFEST]" c="GEFEST"/>
        <s v="[Dim TMC].[TMC Line Model].&amp;[GEMINA]" c="GEMINA"/>
        <s v="[Dim TMC].[TMC Line Model].&amp;[GERMES]" c="GERMES"/>
        <s v="[Dim TMC].[TMC Line Model].&amp;[GLORY]" c="GLORY"/>
        <s v="[Dim TMC].[TMC Line Model].&amp;[GLORY KIDS]" c="GLORY KIDS"/>
        <s v="[Dim TMC].[TMC Line Model].&amp;[GOSU]" c="GOSU"/>
        <s v="[Dim TMC].[TMC Line Model].&amp;[GRAND]" c="GRAND"/>
        <s v="[Dim TMC].[TMC Line Model].&amp;[HELIOS]" c="HELIOS"/>
        <s v="[Dim TMC].[TMC Line Model].&amp;[HELLO]" c="HELLO"/>
        <s v="[Dim TMC].[TMC Line Model].&amp;[HEXTER ML]" c="HEXTER ML"/>
        <s v="[Dim TMC].[TMC Line Model].&amp;[HEXTER XL]" c="HEXTER XL"/>
        <s v="[Dim TMC].[TMC Line Model].&amp;[HEXTER XR]" c="HEXTER XR"/>
        <s v="[Dim TMC].[TMC Line Model].&amp;[HIP-HOP]" c="HIP-HOP"/>
        <s v="[Dim TMC].[TMC Line Model].&amp;[INCANTO]" c="INCANTO"/>
        <s v="[Dim TMC].[TMC Line Model].&amp;[INTER]" c="INTER"/>
        <s v="[Dim TMC].[TMC Line Model].&amp;[IRIS]" c="IRIS"/>
        <s v="[Dim TMC].[TMC Line Model].&amp;[IRON]" c="IRON"/>
        <s v="[Dim TMC].[TMC Line Model].&amp;[ISIT]" c="ISIT"/>
        <s v="[Dim TMC].[TMC Line Model].&amp;[ISO]" c="ISO"/>
        <s v="[Dim TMC].[TMC Line Model].&amp;[ISO GTP]" c="ISO GTP"/>
        <s v="[Dim TMC].[TMC Line Model].&amp;[ISO NET]" c="ISO NET"/>
        <s v="[Dim TMC].[TMC Line Model].&amp;[JACK]" c="JACK"/>
        <s v="[Dim TMC].[TMC Line Model].&amp;[JANE]" c="JANE"/>
        <s v="[Dim TMC].[TMC Line Model].&amp;[JOLA]" c="JOLA"/>
        <s v="[Dim TMC].[TMC Line Model].&amp;[JUNIOR]" c="JUNIOR"/>
        <s v="[Dim TMC].[TMC Line Model].&amp;[JUPITER]" c="JUPITER"/>
        <s v="[Dim TMC].[TMC Line Model].&amp;[KAJA]" c="KAJA"/>
        <s v="[Dim TMC].[TMC Line Model].&amp;[KAJA EXT]" c="KAJA EXT"/>
        <s v="[Dim TMC].[TMC Line Model].&amp;[KING]" c="KING"/>
        <s v="[Dim TMC].[TMC Line Model].&amp;[KONSUL]" c="KONSUL"/>
        <s v="[Dim TMC].[TMC Line Model].&amp;[LABORANT]" c="LABORANT"/>
        <s v="[Dim TMC].[TMC Line Model].&amp;[LATINA]" c="LATINA"/>
        <s v="[Dim TMC].[TMC Line Model].&amp;[LENARD]" c="LENARD"/>
        <s v="[Dim TMC].[TMC Line Model].&amp;[LIBERTY]" c="LIBERTY"/>
        <s v="[Dim TMC].[TMC Line Model].&amp;[LILI]" c="LILI"/>
        <s v="[Dim TMC].[TMC Line Model].&amp;[LIPS]" c="LIPS"/>
        <s v="[Dim TMC].[TMC Line Model].&amp;[LIPS HOKER]" c="LIPS HOKER"/>
        <s v="[Dim TMC].[TMC Line Model].&amp;[LIRA]" c="LIRA"/>
        <s v="[Dim TMC].[TMC Line Model].&amp;[LIYA]" c="LIYA"/>
        <s v="[Dim TMC].[TMC Line Model].&amp;[LIYA GTS]" c="LIYA GTS"/>
        <s v="[Dim TMC].[TMC Line Model].&amp;[LOGICA]" c="LOGICA"/>
        <s v="[Dim TMC].[TMC Line Model].&amp;[LUCKY]" c="LUCKY"/>
        <s v="[Dim TMC].[TMC Line Model].&amp;[LUIS]" c="LUIS"/>
        <s v="[Dim TMC].[TMC Line Model].&amp;[MADAME]" c="MADAME"/>
        <s v="[Dim TMC].[TMC Line Model].&amp;[MAGRO]" c="MAGRO"/>
        <s v="[Dim TMC].[TMC Line Model].&amp;[MALTA]" c="MALTA"/>
        <s v="[Dim TMC].[TMC Line Model].&amp;[MANAGER]" c="MANAGER"/>
        <s v="[Dim TMC].[TMC Line Model].&amp;[MARCO]" c="MARCO"/>
        <s v="[Dim TMC].[TMC Line Model].&amp;[MARINO]" c="MARINO"/>
        <s v="[Dim TMC].[TMC Line Model].&amp;[MARTIN]" c="MARTIN"/>
        <s v="[Dim TMC].[TMC Line Model].&amp;[MASTER NET]" c="MASTER NET"/>
        <s v="[Dim TMC].[TMC Line Model].&amp;[MATRIX]" c="MATRIX"/>
        <s v="[Dim TMC].[TMC Line Model].&amp;[MEDICO]" c="MEDICO"/>
        <s v="[Dim TMC].[TMC Line Model].&amp;[MELANIA]" c="MELANIA"/>
        <s v="[Dim TMC].[TMC Line Model].&amp;[MILANA]" c="MILANA"/>
        <s v="[Dim TMC].[TMC Line Model].&amp;[MILANA GTS]" c="MILANA GTS"/>
        <s v="[Dim TMC].[TMC Line Model].&amp;[MINISTER]" c="MINISTER"/>
        <s v="[Dim TMC].[TMC Line Model].&amp;[MINISTYLE]" c="MINISTYLE"/>
        <s v="[Dim TMC].[TMC Line Model].&amp;[MODERN]" c="MODERN"/>
        <s v="[Dim TMC].[TMC Line Model].&amp;[MODUS]" c="MODUS"/>
        <s v="[Dim TMC].[TMC Line Model].&amp;[MORFEO]" c="MORFEO"/>
        <s v="[Dim TMC].[TMC Line Model].&amp;[NADIR]" c="NADIR"/>
        <s v="[Dim TMC].[TMC Line Model].&amp;[NAVIGO]" c="NAVIGO"/>
        <s v="[Dim TMC].[TMC Line Model].&amp;[NERON]" c="NERON"/>
        <s v="[Dim TMC].[TMC Line Model].&amp;[NETWORK]" c="NETWORK"/>
        <s v="[Dim TMC].[TMC Line Model].&amp;[NETWORK CF]" c="NETWORK CF"/>
        <s v="[Dim TMC].[TMC Line Model].&amp;[NICE]" c="NICE"/>
        <s v="[Dim TMC].[TMC Line Model].&amp;[NICOLE]" c="NICOLE"/>
        <s v="[Dim TMC].[TMC Line Model].&amp;[NICOLE GTS]" c="NICOLE GTS"/>
        <s v="[Dim TMC].[TMC Line Model].&amp;[NICOLE HOKER]" c="NICOLE HOKER"/>
        <s v="[Dim TMC].[TMC Line Model].&amp;[NIK]" c="NIK"/>
        <s v="[Dim TMC].[TMC Line Model].&amp;[N-JOY]" c="N-JOY"/>
        <s v="[Dim TMC].[TMC Line Model].&amp;[N-OFFICE]" c="N-OFFICE"/>
        <s v="[Dim TMC].[TMC Line Model].&amp;[NOVA]" c="NOVA"/>
        <s v="[Dim TMC].[TMC Line Model].&amp;[OFFICE]" c="OFFICE"/>
        <s v="[Dim TMC].[TMC Line Model].&amp;[OFFIX]" c="OFFIX"/>
        <s v="[Dim TMC].[TMC Line Model].&amp;[OLIVIA]" c="OLIVIA"/>
        <s v="[Dim TMC].[TMC Line Model].&amp;[ORION]" c="ORION"/>
        <s v="[Dim TMC].[TMC Line Model].&amp;[ORLY]" c="ORLY"/>
        <s v="[Dim TMC].[TMC Line Model].&amp;[ORMAN]" c="ORMAN"/>
        <s v="[Dim TMC].[TMC Line Model].&amp;[OSTIN]" c="OSTIN"/>
        <s v="[Dim TMC].[TMC Line Model].&amp;[OXFORD]" c="OXFORD"/>
        <s v="[Dim TMC].[TMC Line Model].&amp;[PEONY]" c="PEONY"/>
        <s v="[Dim TMC].[TMC Line Model].&amp;[PIKE]" c="PIKE"/>
        <s v="[Dim TMC].[TMC Line Model].&amp;[PINACOLADA]" c="PINACOLADA"/>
        <s v="[Dim TMC].[TMC Line Model].&amp;[POLLY]" c="POLLY"/>
        <s v="[Dim TMC].[TMC Line Model].&amp;[PRESTIGE]" c="PRESTIGE"/>
        <s v="[Dim TMC].[TMC Line Model].&amp;[PRINCESS]" c="PRINCESS"/>
        <s v="[Dim TMC].[TMC Line Model].&amp;[RACER]" c="RACER"/>
        <s v="[Dim TMC].[TMC Line Model].&amp;[RALPH]" c="RALPH"/>
        <s v="[Dim TMC].[TMC Line Model].&amp;[RALPH GTP]" c="RALPH GTP"/>
        <s v="[Dim TMC].[TMC Line Model].&amp;[RALPH HOKER]" c="RALPH HOKER"/>
        <s v="[Dim TMC].[TMC Line Model].&amp;[RAY]" c="RAY"/>
        <s v="[Dim TMC].[TMC Line Model].&amp;[RAY HOKER]" c="RAY HOKER"/>
        <s v="[Dim TMC].[TMC Line Model].&amp;[REAL]" c="REAL"/>
        <s v="[Dim TMC].[TMC Line Model].&amp;[RECORD]" c="RECORD"/>
        <s v="[Dim TMC].[TMC Line Model].&amp;[REGAL]" c="REGAL"/>
        <s v="[Dim TMC].[TMC Line Model].&amp;[REWIND]" c="REWIND"/>
        <s v="[Dim TMC].[TMC Line Model].&amp;[RIGA]" c="RIGA"/>
        <s v="[Dim TMC].[TMC Line Model].&amp;[ROSE]" c="ROSE"/>
        <s v="[Dim TMC].[TMC Line Model].&amp;[ROZANA]" c="ROZANA"/>
        <s v="[Dim TMC].[TMC Line Model].&amp;[RUNN]" c="RUNN"/>
        <s v="[Dim TMC].[TMC Line Model].&amp;[SAMBA]" c="SAMBA"/>
        <s v="[Dim TMC].[TMC Line Model].&amp;[SAMBA GTP]" c="SAMBA GTP"/>
        <s v="[Dim TMC].[TMC Line Model].&amp;[SATURN]" c="SATURN"/>
        <s v="[Dim TMC].[TMC Line Model].&amp;[SEVEN]" c="SEVEN"/>
        <s v="[Dim TMC].[TMC Line Model].&amp;[SHELLI]" c="SHELLI"/>
        <s v="[Dim TMC].[TMC Line Model].&amp;[SLIM]" c="SLIM"/>
        <s v="[Dim TMC].[TMC Line Model].&amp;[SOFI]" c="SOFI"/>
        <s v="[Dim TMC].[TMC Line Model].&amp;[SOLO]" c="SOLO"/>
        <s v="[Dim TMC].[TMC Line Model].&amp;[SONATA]" c="SONATA"/>
        <s v="[Dim TMC].[TMC Line Model].&amp;[SONIA]" c="SONIA"/>
        <s v="[Dim TMC].[TMC Line Model].&amp;[SPLIT]" c="SPLIT"/>
        <s v="[Dim TMC].[TMC Line Model].&amp;[SPRINT]" c="SPRINT"/>
        <s v="[Dim TMC].[TMC Line Model].&amp;[STAFF]" c="STAFF"/>
        <s v="[Dim TMC].[TMC Line Model].&amp;[STANDART]" c="STANDART"/>
        <s v="[Dim TMC].[TMC Line Model].&amp;[STAR]" c="STAR"/>
        <s v="[Dim TMC].[TMC Line Model].&amp;[STILO]" c="STILO"/>
        <s v="[Dim TMC].[TMC Line Model].&amp;[STOOL]" c="STOOL"/>
        <s v="[Dim TMC].[TMC Line Model].&amp;[SYLWIA]" c="SYLWIA"/>
        <s v="[Dim TMC].[TMC Line Model].&amp;[SYLWIA LUX]" c="SYLWIA LUX"/>
        <s v="[Dim TMC].[TMC Line Model].&amp;[TACO]" c="TACO"/>
        <s v="[Dim TMC].[TMC Line Model].&amp;[TAILER]" c="TAILER"/>
        <s v="[Dim TMC].[TMC Line Model].&amp;[TAKTIK]" c="TAKTIK"/>
        <s v="[Dim TMC].[TMC Line Model].&amp;[TALIO]" c="TALIO"/>
        <s v="[Dim TMC].[TMC Line Model].&amp;[TASK]" c="TASK"/>
        <s v="[Dim TMC].[TMC Line Model].&amp;[TASK GTP]" c="TASK GTP"/>
        <s v="[Dim TMC].[TMC Line Model].&amp;[TEDDY]" c="TEDDY"/>
        <s v="[Dim TMC].[TMC Line Model].&amp;[TELA]" c="TELA"/>
        <s v="[Dim TMC].[TMC Line Model].&amp;[TETRA]" c="TETRA"/>
        <s v="[Dim TMC].[TMC Line Model].&amp;[TIRAMISU]" c="TIRAMISU"/>
        <s v="[Dim TMC].[TMC Line Model].&amp;[TIZIANO]" c="TIZIANO"/>
        <s v="[Dim TMC].[TMC Line Model].&amp;[TOKYO]" c="TOKYO"/>
        <s v="[Dim TMC].[TMC Line Model].&amp;[TRACY]" c="TRACY"/>
        <s v="[Dim TMC].[TMC Line Model].&amp;[TRADE]" c="TRADE"/>
        <s v="[Dim TMC].[TMC Line Model].&amp;[TULIPAN]" c="TULIPAN"/>
        <s v="[Dim TMC].[TMC Line Model].&amp;[TUTTI]" c="TUTTI"/>
        <s v="[Dim TMC].[TMC Line Model].&amp;[TWINKS]" c="TWINKS"/>
        <s v="[Dim TMC].[TMC Line Model].&amp;[ULTRA]" c="ULTRA"/>
        <s v="[Dim TMC].[TMC Line Model].&amp;[VENEZIA]" c="VENEZIA"/>
        <s v="[Dim TMC].[TMC Line Model].&amp;[VENSAN]" c="VENSAN"/>
        <s v="[Dim TMC].[TMC Line Model].&amp;[VENSAN GTP]" c="VENSAN GTP"/>
        <s v="[Dim TMC].[TMC Line Model].&amp;[VENTA]" c="VENTA"/>
        <s v="[Dim TMC].[TMC Line Model].&amp;[VENUS]" c="VENUS"/>
        <s v="[Dim TMC].[TMC Line Model].&amp;[VERONA]" c="VERONA"/>
        <s v="[Dim TMC].[TMC Line Model].&amp;[VERONIKA]" c="VERONIKA"/>
        <s v="[Dim TMC].[TMC Line Model].&amp;[VERONIKA GTS]" c="VERONIKA GTS"/>
        <s v="[Dim TMC].[TMC Line Model].&amp;[VINNY]" c="VINNY"/>
        <s v="[Dim TMC].[TMC Line Model].&amp;[VIOLA]" c="VIOLA"/>
        <s v="[Dim TMC].[TMC Line Model].&amp;[VISION]" c="VISION"/>
        <s v="[Dim TMC].[TMC Line Model].&amp;[VISITOR]" c="VISITOR"/>
        <s v="[Dim TMC].[TMC Line Model].&amp;[VULKANO]" c="VULKANO"/>
        <s v="[Dim TMC].[TMC Line Model].&amp;[WAIT]" c="WAIT"/>
        <s v="[Dim TMC].[TMC Line Model].&amp;[WAIT GTP]" c="WAIT GTP"/>
        <s v="[Dim TMC].[TMC Line Model].&amp;[WEBSTAR]" c="WEBSTAR"/>
        <s v="[Dim TMC].[TMC Line Model].&amp;[WESTER]" c="WESTER"/>
        <s v="[Dim TMC].[TMC Line Model].&amp;[WIKTOR]" c="WIKTOR"/>
        <s v="[Dim TMC].[TMC Line Model].&amp;[WINNER]" c="WINNER"/>
        <s v="[Dim TMC].[TMC Line Model].&amp;[XEON]" c="XEON"/>
        <s v="[Dim TMC].[TMC Line Model].&amp;[YAPPI]" c="YAPPI"/>
        <s v="[Dim TMC].[TMC Line Model].&amp;[ZETA]" c="ZETA"/>
        <s v="[Dim TMC].[TMC Line Model].&amp;[Бюджет Lite]" c="Бюджет Lite"/>
        <s v="[Dim TMC].[TMC Line Model].&amp;[Верона]" c="Верона"/>
        <s v="[Dim TMC].[TMC Line Model].&amp;[КОМПЛЕКТ НА РОЛИКАХ]" c="КОМПЛЕКТ НА РОЛИКАХ"/>
        <s v="[Dim TMC].[TMC Line Model].&amp;[Комплектующие и механизмы]" c="Комплектующие и механизмы"/>
        <s v="[Dim TMC].[TMC Line Model].&amp;[Мега]" c="Мега"/>
        <s v="[Dim TMC].[TMC Line Model].&amp;[Меган]" c="Меган"/>
        <s v="[Dim TMC].[TMC Line Model].&amp;[НЕСЕРИЯ]" c="НЕСЕРИЯ"/>
        <s v="[Dim TMC].[TMC Line Model].&amp;[ПОРОЛОН 22]" c="ПОРОЛОН 22"/>
        <s v="[Dim TMC].[TMC Line Model].&amp;[ПОРОЛОН 28]" c="ПОРОЛОН 28"/>
        <s v="[Dim TMC].[TMC Line Model].&amp;[Премьера]" c="Премьера"/>
        <s v="[Dim TMC].[TMC Line Model].&amp;[ПРОЧЕЕ]" c="ПРОЧЕЕ"/>
        <s v="[Dim TMC].[TMC Line Model].&amp;[РАМА  SUNNY]" c="РАМА  SUNNY"/>
        <s v="[Dim TMC].[TMC Line Model].&amp;[РАМА 4L]" c="РАМА 4L"/>
        <s v="[Dim TMC].[TMC Line Model].&amp;[РАМА 4LХ]" c="РАМА 4LХ"/>
        <s v="[Dim TMC].[TMC Line Model].&amp;[РАМА CF]" c="РАМА CF"/>
        <s v="[Dim TMC].[TMC Line Model].&amp;[РАМА CFS]" c="РАМА CFS"/>
        <s v="[Dim TMC].[TMC Line Model].&amp;[РАМА FOXY]" c="РАМА FOXY"/>
        <s v="[Dim TMC].[TMC Line Model].&amp;[РАМА HANNA]" c="РАМА HANNA"/>
        <s v="[Dim TMC].[TMC Line Model].&amp;[РАМА NX]" c="РАМА NX"/>
        <s v="[Dim TMC].[TMC Line Model].&amp;[РАМА WOOD]" c="РАМА WOOD"/>
        <s v="[Dim TMC].[TMC Line Model].&amp;[СИДЕНЬЕ D34]" c="СИДЕНЬЕ D34"/>
        <s v="[Dim TMC].[TMC Line Model].&amp;[СИДЕНЬЕ D38]" c="СИДЕНЬЕ D38"/>
        <s v="[Dim TMC].[TMC Line Model].&amp;[СИДЕНЬЕ D40]" c="СИДЕНЬЕ D40"/>
        <s v="[Dim TMC].[TMC Line Model].&amp;[СКАМЬЯ E-661]" c="СКАМЬЯ E-661"/>
        <s v="[Dim TMC].[TMC Line Model].&amp;[СТОЛ ДЛЯ СТОЛОВОЙ E-561]" c="СТОЛ ДЛЯ СТОЛОВОЙ E-561"/>
        <s v="[Dim TMC].[TMC Line Model].&amp;[СТОЛ УЧЕН. E-161]" c="СТОЛ УЧЕН. E-161"/>
        <s v="[Dim TMC].[TMC Line Model].&amp;[СТОЛ УЧЕН. E-162]" c="СТОЛ УЧЕН. E-162"/>
        <s v="[Dim TMC].[TMC Line Model].&amp;[СТОЛ УЧЕН. E-172]" c="СТОЛ УЧЕН. E-172"/>
        <s v="[Dim TMC].[TMC Line Model].&amp;[СТОЛ УЧЕН. E-174]" c="СТОЛ УЧЕН. E-174"/>
        <s v="[Dim TMC].[TMC Line Model].&amp;[Столешницы барного стола]" c="Столешницы барного стола"/>
        <s v="[Dim TMC].[TMC Line Model].&amp;[СТУЛ УЧЕН. E-261]" c="СТУЛ УЧЕН. E-261"/>
        <s v="[Dim TMC].[TMC Line Model].&amp;[СТУЛ УЧЕН. E-263]" c="СТУЛ УЧЕН. E-263"/>
        <s v="[Dim TMC].[TMC Line Model].&amp;[СТУЛ УЧЕН. E-266]" c="СТУЛ УЧЕН. E-266"/>
        <s v="[Dim TMC].[TMC Line Model].&amp;[СТУЛ УЧЕН. E-273]" c="СТУЛ УЧЕН. E-273"/>
        <s v="[Dim TMC].[TMC Line Model].&amp;[СТУЛ УЧЕН. E-274]" c="СТУЛ УЧЕН. E-274"/>
        <s v="[Dim TMC].[TMC Line Model].&amp;[СТУЛ УЧЕН. E-278]" c="СТУЛ УЧЕН. E-278"/>
        <s v="[Dim TMC].[TMC Line Model].&amp;[ТКАНЬ]" c="ТКАНЬ"/>
        <s v="[Dim TMC].[TMC Line Model].&amp;[ТРУБА]" c="ТРУБА"/>
        <s v="[Dim TMC].[TMC Line Model].&amp;[Флекс]" c="Флекс"/>
      </sharedItems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ntainsSemiMixedTypes="0" containsString="0"/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  <cacheField name="[Measures].[Fact Margine2022 2 Base Currency Fact]" caption="Ф_UCH_М2" numFmtId="0" hierarchy="708" level="32767"/>
    <cacheField name="Dummy0" numFmtId="0" hierarchy="11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57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0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0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0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0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0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0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0" unbalanced="0"/>
    <cacheHierarchy uniqueName="[Dim Plans].[PlanType]" caption="Типы планов" defaultMemberUniqueName="[Dim Plans].[PlanType].[All]" allUniqueName="[Dim Plans].[PlanType].[All]" dimensionUniqueName="[Dim Plans]" displayFolder="" count="0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0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0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0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0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0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0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0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0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0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0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0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0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0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0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0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0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 oneField="1">
      <fieldsUsage count="1">
        <fieldUsage x="73"/>
      </fieldsUsage>
    </cacheHierarchy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  <cacheHierarchy uniqueName="Dummy0" caption="ЦФО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Охотюк Любовь Павловна" refreshedDate="46083.648117129633" backgroundQuery="1" createdVersion="4" refreshedVersion="6" minRefreshableVersion="3" recordCount="0" supportSubquery="1" supportAdvancedDrill="1">
  <cacheSource type="external" connectionId="1"/>
  <cacheFields count="75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>
      <sharedItems count="12">
        <s v="[Dim Clearance Date].[Month].&amp;[2016-01-01T00:00:00]" c="Январь 2016"/>
        <s v="[Dim Clearance Date].[Month].&amp;[2016-02-01T00:00:00]" c="Февраль 2016"/>
        <s v="[Dim Clearance Date].[Month].&amp;[2016-03-01T00:00:00]" c="Март 2016"/>
        <s v="[Dim Clearance Date].[Month].&amp;[2016-04-01T00:00:00]" c="Апрель 2016"/>
        <s v="[Dim Clearance Date].[Month].&amp;[2016-05-01T00:00:00]" c="Май 2016"/>
        <s v="[Dim Clearance Date].[Month].&amp;[2016-06-01T00:00:00]" c="Июнь 2016"/>
        <s v="[Dim Clearance Date].[Month].&amp;[2016-07-01T00:00:00]" c="Июль 2016"/>
        <s v="[Dim Clearance Date].[Month].&amp;[2016-08-01T00:00:00]" c="Август 2016"/>
        <s v="[Dim Clearance Date].[Month].&amp;[2016-09-01T00:00:00]" c="Сентябрь 2016"/>
        <s v="[Dim Clearance Date].[Month].&amp;[2016-10-01T00:00:00]" c="Октябрь 2016"/>
        <s v="[Dim Clearance Date].[Month].&amp;[2016-11-01T00:00:00]" c="Ноябрь 2016"/>
        <s v="[Dim Clearance Date].[Month].&amp;[2016-12-01T00:00:00]" c="Декабрь 2016"/>
      </sharedItems>
    </cacheField>
    <cacheField name="[Dim Clearance Date].[Month].[Month].[Year]" caption="Год" propertyName="Year" numFmtId="0" hierarchy="5" level="1" memberPropertyField="1">
      <sharedItems containsSemiMixedTypes="0" containsString="0"/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unt="285">
        <s v="[Dim TMC].[TMC Line Model].&amp;[_Линия модели не задана]" c="_Линия модели не задана"/>
        <s v="[Dim TMC].[TMC Line Model].&amp;[ABSOLUTE]" c="ABSOLUTE"/>
        <s v="[Dim TMC].[TMC Line Model].&amp;[AIR]" c="AIR"/>
        <s v="[Dim TMC].[TMC Line Model].&amp;[ALFA]" c="ALFA"/>
        <s v="[Dim TMC].[TMC Line Model].&amp;[ALI]" c="ALI"/>
        <s v="[Dim TMC].[TMC Line Model].&amp;[ALICE]" c="ALICE"/>
        <s v="[Dim TMC].[TMC Line Model].&amp;[ALIYA]" c="ALIYA"/>
        <s v="[Dim TMC].[TMC Line Model].&amp;[ALLER]" c="ALLER"/>
        <s v="[Dim TMC].[TMC Line Model].&amp;[AMELY]" c="AMELY"/>
        <s v="[Dim TMC].[TMC Line Model].&amp;[ANGLE]" c="ANGLE"/>
        <s v="[Dim TMC].[TMC Line Model].&amp;[AQUA]" c="AQUA"/>
        <s v="[Dim TMC].[TMC Line Model].&amp;[ARGENTO]" c="ARGENTO"/>
        <s v="[Dim TMC].[TMC Line Model].&amp;[ARGON]" c="ARGON"/>
        <s v="[Dim TMC].[TMC Line Model].&amp;[ARIZONA]" c="ARIZONA"/>
        <s v="[Dim TMC].[TMC Line Model].&amp;[ASCONA]" c="ASCONA"/>
        <s v="[Dim TMC].[TMC Line Model].&amp;[ASTI]" c="ASTI"/>
        <s v="[Dim TMC].[TMC Line Model].&amp;[ASTI GTS]" c="ASTI GTS"/>
        <s v="[Dim TMC].[TMC Line Model].&amp;[ATLANT]" c="ATLANT"/>
        <s v="[Dim TMC].[TMC Line Model].&amp;[AURA]" c="AURA"/>
        <s v="[Dim TMC].[TMC Line Model].&amp;[BADEN]" c="BADEN"/>
        <s v="[Dim TMC].[TMC Line Model].&amp;[BAMBO]" c="BAMBO"/>
        <s v="[Dim TMC].[TMC Line Model].&amp;[BANDI]" c="BANDI"/>
        <s v="[Dim TMC].[TMC Line Model].&amp;[BERN]" c="BERN"/>
        <s v="[Dim TMC].[TMC Line Model].&amp;[BESTA]" c="BESTA"/>
        <s v="[Dim TMC].[TMC Line Model].&amp;[BETTA]" c="BETTA"/>
        <s v="[Dim TMC].[TMC Line Model].&amp;[BLITZ]" c="BLITZ"/>
        <s v="[Dim TMC].[TMC Line Model].&amp;[BONN]" c="BONN"/>
        <s v="[Dim TMC].[TMC Line Model].&amp;[BOOM]" c="BOOM"/>
        <s v="[Dim TMC].[TMC Line Model].&amp;[BOOSTER]" c="BOOSTER"/>
        <s v="[Dim TMC].[TMC Line Model].&amp;[BOSS]" c="BOSS"/>
        <s v="[Dim TMC].[TMC Line Model].&amp;[BOSTON]" c="BOSTON"/>
        <s v="[Dim TMC].[TMC Line Model].&amp;[BRAVOS]" c="BRAVOS"/>
        <s v="[Dim TMC].[TMC Line Model].&amp;[BRUNO]" c="BRUNO"/>
        <s v="[Dim TMC].[TMC Line Model].&amp;[CACTUS]" c="CACTUS"/>
        <s v="[Dim TMC].[TMC Line Model].&amp;[CADDY]" c="CADDY"/>
        <s v="[Dim TMC].[TMC Line Model].&amp;[CALIFORNIA]" c="CALIFORNIA"/>
        <s v="[Dim TMC].[TMC Line Model].&amp;[CALIPSO]" c="CALIPSO"/>
        <s v="[Dim TMC].[TMC Line Model].&amp;[CASEY]" c="CASEY"/>
        <s v="[Dim TMC].[TMC Line Model].&amp;[CHESTER]" c="CHESTER"/>
        <s v="[Dim TMC].[TMC Line Model].&amp;[CHICO]" c="CHICO"/>
        <s v="[Dim TMC].[TMC Line Model].&amp;[CLASSIC]" c="CLASSIC"/>
        <s v="[Dim TMC].[TMC Line Model].&amp;[CLEO]" c="CLEO"/>
        <s v="[Dim TMC].[TMC Line Model].&amp;[CLUB]" c="CLUB"/>
        <s v="[Dim TMC].[TMC Line Model].&amp;[COMBO]" c="COMBO"/>
        <s v="[Dim TMC].[TMC Line Model].&amp;[COMFORT]" c="COMFORT"/>
        <s v="[Dim TMC].[TMC Line Model].&amp;[CREDO]" c="CREDO"/>
        <s v="[Dim TMC].[TMC Line Model].&amp;[CUBA]" c="CUBA"/>
        <s v="[Dim TMC].[TMC Line Model].&amp;[DAKAR]" c="DAKAR"/>
        <s v="[Dim TMC].[TMC Line Model].&amp;[DASTER]" c="DASTER"/>
        <s v="[Dim TMC].[TMC Line Model].&amp;[DASTER GTP]" c="DASTER GTP"/>
        <s v="[Dim TMC].[TMC Line Model].&amp;[DELTA]" c="DELTA"/>
        <s v="[Dim TMC].[TMC Line Model].&amp;[DESILVA]" c="DESILVA"/>
        <s v="[Dim TMC].[TMC Line Model].&amp;[DIPLOMAT]" c="DIPLOMAT"/>
        <s v="[Dim TMC].[TMC Line Model].&amp;[DIRECTOR]" c="DIRECTOR"/>
        <s v="[Dim TMC].[TMC Line Model].&amp;[DISCRETO]" c="DISCRETO"/>
        <s v="[Dim TMC].[TMC Line Model].&amp;[DOLCE]" c="DOLCE"/>
        <s v="[Dim TMC].[TMC Line Model].&amp;[EASY]" c="EASY"/>
        <s v="[Dim TMC].[TMC Line Model].&amp;[ELLY]" c="ELLY"/>
        <s v="[Dim TMC].[TMC Line Model].&amp;[ERA]" c="ERA"/>
        <s v="[Dim TMC].[TMC Line Model].&amp;[ERA GTP]" c="ERA GTP"/>
        <s v="[Dim TMC].[TMC Line Model].&amp;[EVOLUTION]" c="EVOLUTION"/>
        <s v="[Dim TMC].[TMC Line Model].&amp;[EXPERT]" c="EXPERT"/>
        <s v="[Dim TMC].[TMC Line Model].&amp;[FACTOR]" c="FACTOR"/>
        <s v="[Dim TMC].[TMC Line Model].&amp;[FALCON]" c="FALCON"/>
        <s v="[Dim TMC].[TMC Line Model].&amp;[FIDEL]" c="FIDEL"/>
        <s v="[Dim TMC].[TMC Line Model].&amp;[FINE]" c="FINE"/>
        <s v="[Dim TMC].[TMC Line Model].&amp;[FIXY]" c="FIXY"/>
        <s v="[Dim TMC].[TMC Line Model].&amp;[FLORINO]" c="FLORINO"/>
        <s v="[Dim TMC].[TMC Line Model].&amp;[FLY]" c="FLY"/>
        <s v="[Dim TMC].[TMC Line Model].&amp;[FLY HB]" c="FLY HB"/>
        <s v="[Dim TMC].[TMC Line Model].&amp;[FOREX]" c="FOREX"/>
        <s v="[Dim TMC].[TMC Line Model].&amp;[FORM]" c="FORM"/>
        <s v="[Dim TMC].[TMC Line Model].&amp;[FORM GTS]" c="FORM GTS"/>
        <s v="[Dim TMC].[TMC Line Model].&amp;[FORM HOKER]" c="FORM HOKER"/>
        <s v="[Dim TMC].[TMC Line Model].&amp;[FORSAGE]" c="FORSAGE"/>
        <s v="[Dim TMC].[TMC Line Model].&amp;[FORWARD]" c="FORWARD"/>
        <s v="[Dim TMC].[TMC Line Model].&amp;[FOX]" c="FOX"/>
        <s v="[Dim TMC].[TMC Line Model].&amp;[FRAME]" c="FRAME"/>
        <s v="[Dim TMC].[TMC Line Model].&amp;[FRANK]" c="FRANK"/>
        <s v="[Dim TMC].[TMC Line Model].&amp;[FRIDAY]" c="FRIDAY"/>
        <s v="[Dim TMC].[TMC Line Model].&amp;[GALANT]" c="GALANT"/>
        <s v="[Dim TMC].[TMC Line Model].&amp;[GALAXY]" c="GALAXY"/>
        <s v="[Dim TMC].[TMC Line Model].&amp;[GAMER]" c="GAMER"/>
        <s v="[Dim TMC].[TMC Line Model].&amp;[GEFEST]" c="GEFEST"/>
        <s v="[Dim TMC].[TMC Line Model].&amp;[GEOS]" c="GEOS"/>
        <s v="[Dim TMC].[TMC Line Model].&amp;[GERMES]" c="GERMES"/>
        <s v="[Dim TMC].[TMC Line Model].&amp;[GLORY]" c="GLORY"/>
        <s v="[Dim TMC].[TMC Line Model].&amp;[GLORY KIDS]" c="GLORY KIDS"/>
        <s v="[Dim TMC].[TMC Line Model].&amp;[GOSU]" c="GOSU"/>
        <s v="[Dim TMC].[TMC Line Model].&amp;[GRAND]" c="GRAND"/>
        <s v="[Dim TMC].[TMC Line Model].&amp;[HEXTER ML]" c="HEXTER ML"/>
        <s v="[Dim TMC].[TMC Line Model].&amp;[HEXTER XL]" c="HEXTER XL"/>
        <s v="[Dim TMC].[TMC Line Model].&amp;[HEXTER XR]" c="HEXTER XR"/>
        <s v="[Dim TMC].[TMC Line Model].&amp;[HIP-HOP]" c="HIP-HOP"/>
        <s v="[Dim TMC].[TMC Line Model].&amp;[INTER]" c="INTER"/>
        <s v="[Dim TMC].[TMC Line Model].&amp;[IRIS]" c="IRIS"/>
        <s v="[Dim TMC].[TMC Line Model].&amp;[ISIT]" c="ISIT"/>
        <s v="[Dim TMC].[TMC Line Model].&amp;[ISO]" c="ISO"/>
        <s v="[Dim TMC].[TMC Line Model].&amp;[ISO GTP]" c="ISO GTP"/>
        <s v="[Dim TMC].[TMC Line Model].&amp;[ISO NET]" c="ISO NET"/>
        <s v="[Dim TMC].[TMC Line Model].&amp;[JACK]" c="JACK"/>
        <s v="[Dim TMC].[TMC Line Model].&amp;[JANE]" c="JANE"/>
        <s v="[Dim TMC].[TMC Line Model].&amp;[JOLA]" c="JOLA"/>
        <s v="[Dim TMC].[TMC Line Model].&amp;[JUNIOR]" c="JUNIOR"/>
        <s v="[Dim TMC].[TMC Line Model].&amp;[JUPITER]" c="JUPITER"/>
        <s v="[Dim TMC].[TMC Line Model].&amp;[KAJA]" c="KAJA"/>
        <s v="[Dim TMC].[TMC Line Model].&amp;[KAJA EXT]" c="KAJA EXT"/>
        <s v="[Dim TMC].[TMC Line Model].&amp;[KARINA]" c="KARINA"/>
        <s v="[Dim TMC].[TMC Line Model].&amp;[KENDI]" c="KENDI"/>
        <s v="[Dim TMC].[TMC Line Model].&amp;[KING]" c="KING"/>
        <s v="[Dim TMC].[TMC Line Model].&amp;[KONSUL]" c="KONSUL"/>
        <s v="[Dim TMC].[TMC Line Model].&amp;[LABORANT]" c="LABORANT"/>
        <s v="[Dim TMC].[TMC Line Model].&amp;[LATINA]" c="LATINA"/>
        <s v="[Dim TMC].[TMC Line Model].&amp;[LEAVES]" c="LEAVES"/>
        <s v="[Dim TMC].[TMC Line Model].&amp;[LENARD]" c="LENARD"/>
        <s v="[Dim TMC].[TMC Line Model].&amp;[LIBERTY]" c="LIBERTY"/>
        <s v="[Dim TMC].[TMC Line Model].&amp;[LILI]" c="LILI"/>
        <s v="[Dim TMC].[TMC Line Model].&amp;[LIPS]" c="LIPS"/>
        <s v="[Dim TMC].[TMC Line Model].&amp;[LIPS HOKER]" c="LIPS HOKER"/>
        <s v="[Dim TMC].[TMC Line Model].&amp;[LIRA]" c="LIRA"/>
        <s v="[Dim TMC].[TMC Line Model].&amp;[LIYA]" c="LIYA"/>
        <s v="[Dim TMC].[TMC Line Model].&amp;[LIYA GTS]" c="LIYA GTS"/>
        <s v="[Dim TMC].[TMC Line Model].&amp;[LOGICA]" c="LOGICA"/>
        <s v="[Dim TMC].[TMC Line Model].&amp;[LUCKY]" c="LUCKY"/>
        <s v="[Dim TMC].[TMC Line Model].&amp;[MAGRO]" c="MAGRO"/>
        <s v="[Dim TMC].[TMC Line Model].&amp;[MALTA]" c="MALTA"/>
        <s v="[Dim TMC].[TMC Line Model].&amp;[MANAGER]" c="MANAGER"/>
        <s v="[Dim TMC].[TMC Line Model].&amp;[MARCO]" c="MARCO"/>
        <s v="[Dim TMC].[TMC Line Model].&amp;[MARINO]" c="MARINO"/>
        <s v="[Dim TMC].[TMC Line Model].&amp;[MARTIN]" c="MARTIN"/>
        <s v="[Dim TMC].[TMC Line Model].&amp;[MASTER NET]" c="MASTER NET"/>
        <s v="[Dim TMC].[TMC Line Model].&amp;[MATRIX]" c="MATRIX"/>
        <s v="[Dim TMC].[TMC Line Model].&amp;[MEDICO]" c="MEDICO"/>
        <s v="[Dim TMC].[TMC Line Model].&amp;[MELANIA]" c="MELANIA"/>
        <s v="[Dim TMC].[TMC Line Model].&amp;[MEXICO]" c="MEXICO"/>
        <s v="[Dim TMC].[TMC Line Model].&amp;[MILANA]" c="MILANA"/>
        <s v="[Dim TMC].[TMC Line Model].&amp;[MILANA GTS]" c="MILANA GTS"/>
        <s v="[Dim TMC].[TMC Line Model].&amp;[MINISTER]" c="MINISTER"/>
        <s v="[Dim TMC].[TMC Line Model].&amp;[MINISTYLE]" c="MINISTYLE"/>
        <s v="[Dim TMC].[TMC Line Model].&amp;[MODERN]" c="MODERN"/>
        <s v="[Dim TMC].[TMC Line Model].&amp;[MODUS]" c="MODUS"/>
        <s v="[Dim TMC].[TMC Line Model].&amp;[MORFEO]" c="MORFEO"/>
        <s v="[Dim TMC].[TMC Line Model].&amp;[NADIR]" c="NADIR"/>
        <s v="[Dim TMC].[TMC Line Model].&amp;[NAVIGO]" c="NAVIGO"/>
        <s v="[Dim TMC].[TMC Line Model].&amp;[NERON]" c="NERON"/>
        <s v="[Dim TMC].[TMC Line Model].&amp;[NETWORK]" c="NETWORK"/>
        <s v="[Dim TMC].[TMC Line Model].&amp;[NETWORK CF]" c="NETWORK CF"/>
        <s v="[Dim TMC].[TMC Line Model].&amp;[NICE]" c="NICE"/>
        <s v="[Dim TMC].[TMC Line Model].&amp;[NICOLE]" c="NICOLE"/>
        <s v="[Dim TMC].[TMC Line Model].&amp;[NICOLE GTS]" c="NICOLE GTS"/>
        <s v="[Dim TMC].[TMC Line Model].&amp;[NICOLE HOKER]" c="NICOLE HOKER"/>
        <s v="[Dim TMC].[TMC Line Model].&amp;[NIK]" c="NIK"/>
        <s v="[Dim TMC].[TMC Line Model].&amp;[N-JOY]" c="N-JOY"/>
        <s v="[Dim TMC].[TMC Line Model].&amp;[N-OFFICE]" c="N-OFFICE"/>
        <s v="[Dim TMC].[TMC Line Model].&amp;[OFFICE]" c="OFFICE"/>
        <s v="[Dim TMC].[TMC Line Model].&amp;[OFFIX]" c="OFFIX"/>
        <s v="[Dim TMC].[TMC Line Model].&amp;[OLIVIA]" c="OLIVIA"/>
        <s v="[Dim TMC].[TMC Line Model].&amp;[ORION]" c="ORION"/>
        <s v="[Dim TMC].[TMC Line Model].&amp;[ORLY]" c="ORLY"/>
        <s v="[Dim TMC].[TMC Line Model].&amp;[ORMAN]" c="ORMAN"/>
        <s v="[Dim TMC].[TMC Line Model].&amp;[OSTIN]" c="OSTIN"/>
        <s v="[Dim TMC].[TMC Line Model].&amp;[OXFORD]" c="OXFORD"/>
        <s v="[Dim TMC].[TMC Line Model].&amp;[PEONY]" c="PEONY"/>
        <s v="[Dim TMC].[TMC Line Model].&amp;[PIKE]" c="PIKE"/>
        <s v="[Dim TMC].[TMC Line Model].&amp;[PINACOLADA]" c="PINACOLADA"/>
        <s v="[Dim TMC].[TMC Line Model].&amp;[POLLY]" c="POLLY"/>
        <s v="[Dim TMC].[TMC Line Model].&amp;[PRESTIGE]" c="PRESTIGE"/>
        <s v="[Dim TMC].[TMC Line Model].&amp;[RACER]" c="RACER"/>
        <s v="[Dim TMC].[TMC Line Model].&amp;[RALPH]" c="RALPH"/>
        <s v="[Dim TMC].[TMC Line Model].&amp;[RALPH GTP]" c="RALPH GTP"/>
        <s v="[Dim TMC].[TMC Line Model].&amp;[RALPH HOKER]" c="RALPH HOKER"/>
        <s v="[Dim TMC].[TMC Line Model].&amp;[RAY HOKER]" c="RAY HOKER"/>
        <s v="[Dim TMC].[TMC Line Model].&amp;[RECORD]" c="RECORD"/>
        <s v="[Dim TMC].[TMC Line Model].&amp;[REGAL]" c="REGAL"/>
        <s v="[Dim TMC].[TMC Line Model].&amp;[REWIND]" c="REWIND"/>
        <s v="[Dim TMC].[TMC Line Model].&amp;[RIGA]" c="RIGA"/>
        <s v="[Dim TMC].[TMC Line Model].&amp;[ROCKY]" c="ROCKY"/>
        <s v="[Dim TMC].[TMC Line Model].&amp;[ROSE]" c="ROSE"/>
        <s v="[Dim TMC].[TMC Line Model].&amp;[ROUND]" c="ROUND"/>
        <s v="[Dim TMC].[TMC Line Model].&amp;[ROZANA]" c="ROZANA"/>
        <s v="[Dim TMC].[TMC Line Model].&amp;[RUNN]" c="RUNN"/>
        <s v="[Dim TMC].[TMC Line Model].&amp;[SALSA]" c="SALSA"/>
        <s v="[Dim TMC].[TMC Line Model].&amp;[SAMBA]" c="SAMBA"/>
        <s v="[Dim TMC].[TMC Line Model].&amp;[SAMBA GTP]" c="SAMBA GTP"/>
        <s v="[Dim TMC].[TMC Line Model].&amp;[SATURN]" c="SATURN"/>
        <s v="[Dim TMC].[TMC Line Model].&amp;[SEVEN]" c="SEVEN"/>
        <s v="[Dim TMC].[TMC Line Model].&amp;[SHELLI]" c="SHELLI"/>
        <s v="[Dim TMC].[TMC Line Model].&amp;[SIMPLE]" c="SIMPLE"/>
        <s v="[Dim TMC].[TMC Line Model].&amp;[SLIM]" c="SLIM"/>
        <s v="[Dim TMC].[TMC Line Model].&amp;[SMART]" c="SMART"/>
        <s v="[Dim TMC].[TMC Line Model].&amp;[SOLO]" c="SOLO"/>
        <s v="[Dim TMC].[TMC Line Model].&amp;[SONIA]" c="SONIA"/>
        <s v="[Dim TMC].[TMC Line Model].&amp;[SPRINT]" c="SPRINT"/>
        <s v="[Dim TMC].[TMC Line Model].&amp;[STAFF]" c="STAFF"/>
        <s v="[Dim TMC].[TMC Line Model].&amp;[STANDART]" c="STANDART"/>
        <s v="[Dim TMC].[TMC Line Model].&amp;[STILO]" c="STILO"/>
        <s v="[Dim TMC].[TMC Line Model].&amp;[STOOL]" c="STOOL"/>
        <s v="[Dim TMC].[TMC Line Model].&amp;[SUCCESS]" c="SUCCESS"/>
        <s v="[Dim TMC].[TMC Line Model].&amp;[SYLWIA]" c="SYLWIA"/>
        <s v="[Dim TMC].[TMC Line Model].&amp;[TACO]" c="TACO"/>
        <s v="[Dim TMC].[TMC Line Model].&amp;[TAILER]" c="TAILER"/>
        <s v="[Dim TMC].[TMC Line Model].&amp;[TAKTIK]" c="TAKTIK"/>
        <s v="[Dim TMC].[TMC Line Model].&amp;[TALIO]" c="TALIO"/>
        <s v="[Dim TMC].[TMC Line Model].&amp;[TASK]" c="TASK"/>
        <s v="[Dim TMC].[TMC Line Model].&amp;[TASK GTP]" c="TASK GTP"/>
        <s v="[Dim TMC].[TMC Line Model].&amp;[TEDDY]" c="TEDDY"/>
        <s v="[Dim TMC].[TMC Line Model].&amp;[TELA]" c="TELA"/>
        <s v="[Dim TMC].[TMC Line Model].&amp;[TETRA]" c="TETRA"/>
        <s v="[Dim TMC].[TMC Line Model].&amp;[TIRAMISU]" c="TIRAMISU"/>
        <s v="[Dim TMC].[TMC Line Model].&amp;[TIZIANO]" c="TIZIANO"/>
        <s v="[Dim TMC].[TMC Line Model].&amp;[TOKYO]" c="TOKYO"/>
        <s v="[Dim TMC].[TMC Line Model].&amp;[TRACY]" c="TRACY"/>
        <s v="[Dim TMC].[TMC Line Model].&amp;[TRADE]" c="TRADE"/>
        <s v="[Dim TMC].[TMC Line Model].&amp;[TULIPAN]" c="TULIPAN"/>
        <s v="[Dim TMC].[TMC Line Model].&amp;[TUTTI]" c="TUTTI"/>
        <s v="[Dim TMC].[TMC Line Model].&amp;[TWINKS]" c="TWINKS"/>
        <s v="[Dim TMC].[TMC Line Model].&amp;[ULTRA]" c="ULTRA"/>
        <s v="[Dim TMC].[TMC Line Model].&amp;[VENEZIA]" c="VENEZIA"/>
        <s v="[Dim TMC].[TMC Line Model].&amp;[VENSAN]" c="VENSAN"/>
        <s v="[Dim TMC].[TMC Line Model].&amp;[VENSAN GTP]" c="VENSAN GTP"/>
        <s v="[Dim TMC].[TMC Line Model].&amp;[VENTA]" c="VENTA"/>
        <s v="[Dim TMC].[TMC Line Model].&amp;[VENUS]" c="VENUS"/>
        <s v="[Dim TMC].[TMC Line Model].&amp;[VERONA]" c="VERONA"/>
        <s v="[Dim TMC].[TMC Line Model].&amp;[VERONIKA]" c="VERONIKA"/>
        <s v="[Dim TMC].[TMC Line Model].&amp;[VERONIKA GTS]" c="VERONIKA GTS"/>
        <s v="[Dim TMC].[TMC Line Model].&amp;[VINNY]" c="VINNY"/>
        <s v="[Dim TMC].[TMC Line Model].&amp;[VIOLA]" c="VIOLA"/>
        <s v="[Dim TMC].[TMC Line Model].&amp;[VISION]" c="VISION"/>
        <s v="[Dim TMC].[TMC Line Model].&amp;[VISITOR]" c="VISITOR"/>
        <s v="[Dim TMC].[TMC Line Model].&amp;[VULKANO]" c="VULKANO"/>
        <s v="[Dim TMC].[TMC Line Model].&amp;[WAIT]" c="WAIT"/>
        <s v="[Dim TMC].[TMC Line Model].&amp;[WAIT GTP]" c="WAIT GTP"/>
        <s v="[Dim TMC].[TMC Line Model].&amp;[WEBSTAR]" c="WEBSTAR"/>
        <s v="[Dim TMC].[TMC Line Model].&amp;[WESTER]" c="WESTER"/>
        <s v="[Dim TMC].[TMC Line Model].&amp;[WESTER GTP]" c="WESTER GTP"/>
        <s v="[Dim TMC].[TMC Line Model].&amp;[WINNER]" c="WINNER"/>
        <s v="[Dim TMC].[TMC Line Model].&amp;[XEON]" c="XEON"/>
        <s v="[Dim TMC].[TMC Line Model].&amp;[YAPPI]" c="YAPPI"/>
        <s v="[Dim TMC].[TMC Line Model].&amp;[ZETA]" c="ZETA"/>
        <s v="[Dim TMC].[TMC Line Model].&amp;[Бюджет Lite]" c="Бюджет Lite"/>
        <s v="[Dim TMC].[TMC Line Model].&amp;[КОМПЛЕКТ НА РОЛИКАХ]" c="КОМПЛЕКТ НА РОЛИКАХ"/>
        <s v="[Dim TMC].[TMC Line Model].&amp;[Комплектующие и механизмы]" c="Комплектующие и механизмы"/>
        <s v="[Dim TMC].[TMC Line Model].&amp;[Кресла и стулья закупные]" c="Кресла и стулья закупные"/>
        <s v="[Dim TMC].[TMC Line Model].&amp;[Мебель корпусная закупная]" c="Мебель корпусная закупная"/>
        <s v="[Dim TMC].[TMC Line Model].&amp;[Мега]" c="Мега"/>
        <s v="[Dim TMC].[TMC Line Model].&amp;[Меган]" c="Меган"/>
        <s v="[Dim TMC].[TMC Line Model].&amp;[НЕСЕРИЯ]" c="НЕСЕРИЯ"/>
        <s v="[Dim TMC].[TMC Line Model].&amp;[ПОРОЛОН 22]" c="ПОРОЛОН 22"/>
        <s v="[Dim TMC].[TMC Line Model].&amp;[ПОРОЛОН 28]" c="ПОРОЛОН 28"/>
        <s v="[Dim TMC].[TMC Line Model].&amp;[Премьера]" c="Премьера"/>
        <s v="[Dim TMC].[TMC Line Model].&amp;[ПРОЧЕЕ]" c="ПРОЧЕЕ"/>
        <s v="[Dim TMC].[TMC Line Model].&amp;[РАМА 4L]" c="РАМА 4L"/>
        <s v="[Dim TMC].[TMC Line Model].&amp;[РАМА 4LХ]" c="РАМА 4LХ"/>
        <s v="[Dim TMC].[TMC Line Model].&amp;[РАМА CF]" c="РАМА CF"/>
        <s v="[Dim TMC].[TMC Line Model].&amp;[РАМА CFS]" c="РАМА CFS"/>
        <s v="[Dim TMC].[TMC Line Model].&amp;[РАМА FOXY]" c="РАМА FOXY"/>
        <s v="[Dim TMC].[TMC Line Model].&amp;[РАМА HANNA]" c="РАМА HANNA"/>
        <s v="[Dim TMC].[TMC Line Model].&amp;[РАМА LOFT]" c="РАМА LOFT"/>
        <s v="[Dim TMC].[TMC Line Model].&amp;[РАМА NX]" c="РАМА NX"/>
        <s v="[Dim TMC].[TMC Line Model].&amp;[РАМА WOOD]" c="РАМА WOOD"/>
        <s v="[Dim TMC].[TMC Line Model].&amp;[СИДЕНЬЕ D34]" c="СИДЕНЬЕ D34"/>
        <s v="[Dim TMC].[TMC Line Model].&amp;[СИДЕНЬЕ D38]" c="СИДЕНЬЕ D38"/>
        <s v="[Dim TMC].[TMC Line Model].&amp;[СИДЕНЬЕ D40]" c="СИДЕНЬЕ D40"/>
        <s v="[Dim TMC].[TMC Line Model].&amp;[СКАМЬЯ E-661]" c="СКАМЬЯ E-661"/>
        <s v="[Dim TMC].[TMC Line Model].&amp;[СТОЛ КОНФЕРЕНЦ. E-301]" c="СТОЛ КОНФЕРЕНЦ. E-301"/>
        <s v="[Dim TMC].[TMC Line Model].&amp;[СТОЛ УЧЕН. E-161]" c="СТОЛ УЧЕН. E-161"/>
        <s v="[Dim TMC].[TMC Line Model].&amp;[СТОЛ УЧЕН. E-162]" c="СТОЛ УЧЕН. E-162"/>
        <s v="[Dim TMC].[TMC Line Model].&amp;[СТОЛ УЧЕН. E-163]" c="СТОЛ УЧЕН. E-163"/>
        <s v="[Dim TMC].[TMC Line Model].&amp;[СТОЛ УЧЕН. E-172]" c="СТОЛ УЧЕН. E-172"/>
        <s v="[Dim TMC].[TMC Line Model].&amp;[СТОЛ УЧЕН. E-174]" c="СТОЛ УЧЕН. E-174"/>
        <s v="[Dim TMC].[TMC Line Model].&amp;[СТОЛ УЧЕН. E-178]" c="СТОЛ УЧЕН. E-178"/>
        <s v="[Dim TMC].[TMC Line Model].&amp;[СТОЛ УЧЕН. E-179]" c="СТОЛ УЧЕН. E-179"/>
        <s v="[Dim TMC].[TMC Line Model].&amp;[Столешницы барного стола]" c="Столешницы барного стола"/>
        <s v="[Dim TMC].[TMC Line Model].&amp;[СТУЛ УЧЕН. E-261]" c="СТУЛ УЧЕН. E-261"/>
        <s v="[Dim TMC].[TMC Line Model].&amp;[СТУЛ УЧЕН. E-263]" c="СТУЛ УЧЕН. E-263"/>
        <s v="[Dim TMC].[TMC Line Model].&amp;[СТУЛ УЧЕН. E-264]" c="СТУЛ УЧЕН. E-264"/>
        <s v="[Dim TMC].[TMC Line Model].&amp;[СТУЛ УЧЕН. E-265]" c="СТУЛ УЧЕН. E-265"/>
        <s v="[Dim TMC].[TMC Line Model].&amp;[СТУЛ УЧЕН. E-266]" c="СТУЛ УЧЕН. E-266"/>
        <s v="[Dim TMC].[TMC Line Model].&amp;[СТУЛ УЧЕН. E-273]" c="СТУЛ УЧЕН. E-273"/>
        <s v="[Dim TMC].[TMC Line Model].&amp;[СТУЛ УЧЕН. E-274]" c="СТУЛ УЧЕН. E-274"/>
        <s v="[Dim TMC].[TMC Line Model].&amp;[СТУЛ УЧЕН. E-276]" c="СТУЛ УЧЕН. E-276"/>
        <s v="[Dim TMC].[TMC Line Model].&amp;[СТУЛ УЧЕН. E-278]" c="СТУЛ УЧЕН. E-278"/>
        <s v="[Dim TMC].[TMC Line Model].&amp;[ТКАНЬ]" c="ТКАНЬ"/>
        <s v="[Dim TMC].[TMC Line Model].&amp;[ТРУБА]" c="ТРУБА"/>
        <s v="[Dim TMC].[TMC Line Model].&amp;[Флекс]" c="Флекс"/>
      </sharedItems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ntainsSemiMixedTypes="0" containsString="0"/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  <cacheField name="[Measures].[Fact Margine2022 2 Base Currency Fact]" caption="Ф_UCH_М2" numFmtId="0" hierarchy="708" level="32767"/>
    <cacheField name="Dummy0" numFmtId="0" hierarchy="11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57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0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0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0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0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0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0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0" unbalanced="0"/>
    <cacheHierarchy uniqueName="[Dim Plans].[PlanType]" caption="Типы планов" defaultMemberUniqueName="[Dim Plans].[PlanType].[All]" allUniqueName="[Dim Plans].[PlanType].[All]" dimensionUniqueName="[Dim Plans]" displayFolder="" count="0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0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0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0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0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0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0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0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0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0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0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0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0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0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0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0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0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 oneField="1">
      <fieldsUsage count="1">
        <fieldUsage x="73"/>
      </fieldsUsage>
    </cacheHierarchy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  <cacheHierarchy uniqueName="Dummy0" caption="ЦФО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Охотюк Любовь Павловна" refreshedDate="46083.649064814817" backgroundQuery="1" createdVersion="4" refreshedVersion="6" minRefreshableVersion="3" recordCount="0" supportSubquery="1" supportAdvancedDrill="1">
  <cacheSource type="external" connectionId="1"/>
  <cacheFields count="75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>
      <sharedItems count="12">
        <s v="[Dim Clearance Date].[Month].&amp;[2016-01-01T00:00:00]" c="Январь 2016"/>
        <s v="[Dim Clearance Date].[Month].&amp;[2016-02-01T00:00:00]" c="Февраль 2016"/>
        <s v="[Dim Clearance Date].[Month].&amp;[2016-03-01T00:00:00]" c="Март 2016"/>
        <s v="[Dim Clearance Date].[Month].&amp;[2016-04-01T00:00:00]" c="Апрель 2016"/>
        <s v="[Dim Clearance Date].[Month].&amp;[2016-05-01T00:00:00]" c="Май 2016"/>
        <s v="[Dim Clearance Date].[Month].&amp;[2016-06-01T00:00:00]" c="Июнь 2016"/>
        <s v="[Dim Clearance Date].[Month].&amp;[2016-07-01T00:00:00]" c="Июль 2016"/>
        <s v="[Dim Clearance Date].[Month].&amp;[2016-08-01T00:00:00]" c="Август 2016"/>
        <s v="[Dim Clearance Date].[Month].&amp;[2016-09-01T00:00:00]" c="Сентябрь 2016"/>
        <s v="[Dim Clearance Date].[Month].&amp;[2016-10-01T00:00:00]" c="Октябрь 2016"/>
        <s v="[Dim Clearance Date].[Month].&amp;[2016-11-01T00:00:00]" c="Ноябрь 2016"/>
        <s v="[Dim Clearance Date].[Month].&amp;[2016-12-01T00:00:00]" c="Декабрь 2016"/>
      </sharedItems>
    </cacheField>
    <cacheField name="[Dim Clearance Date].[Month].[Month].[Year]" caption="Год" propertyName="Year" numFmtId="0" hierarchy="5" level="1" memberPropertyField="1">
      <sharedItems containsSemiMixedTypes="0" containsString="0"/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unt="287">
        <s v="[Dim TMC].[TMC Line Model].&amp;[_Линия модели не задана]" c="_Линия модели не задана"/>
        <s v="[Dim TMC].[TMC Line Model].&amp;[4U]" c="4U"/>
        <s v="[Dim TMC].[TMC Line Model].&amp;[ABSOLUTE]" c="ABSOLUTE"/>
        <s v="[Dim TMC].[TMC Line Model].&amp;[AIR]" c="AIR"/>
        <s v="[Dim TMC].[TMC Line Model].&amp;[ALEX]" c="ALEX"/>
        <s v="[Dim TMC].[TMC Line Model].&amp;[ALFA]" c="ALFA"/>
        <s v="[Dim TMC].[TMC Line Model].&amp;[ALI]" c="ALI"/>
        <s v="[Dim TMC].[TMC Line Model].&amp;[ALICE]" c="ALICE"/>
        <s v="[Dim TMC].[TMC Line Model].&amp;[ALLER]" c="ALLER"/>
        <s v="[Dim TMC].[TMC Line Model].&amp;[AMELY]" c="AMELY"/>
        <s v="[Dim TMC].[TMC Line Model].&amp;[ANGLE]" c="ANGLE"/>
        <s v="[Dim TMC].[TMC Line Model].&amp;[AQUA]" c="AQUA"/>
        <s v="[Dim TMC].[TMC Line Model].&amp;[ARGENTO]" c="ARGENTO"/>
        <s v="[Dim TMC].[TMC Line Model].&amp;[ARGON]" c="ARGON"/>
        <s v="[Dim TMC].[TMC Line Model].&amp;[ARIZONA]" c="ARIZONA"/>
        <s v="[Dim TMC].[TMC Line Model].&amp;[ASCONA]" c="ASCONA"/>
        <s v="[Dim TMC].[TMC Line Model].&amp;[ASTI]" c="ASTI"/>
        <s v="[Dim TMC].[TMC Line Model].&amp;[ASTI GTS]" c="ASTI GTS"/>
        <s v="[Dim TMC].[TMC Line Model].&amp;[ATLANT]" c="ATLANT"/>
        <s v="[Dim TMC].[TMC Line Model].&amp;[BADEN]" c="BADEN"/>
        <s v="[Dim TMC].[TMC Line Model].&amp;[BAMBO]" c="BAMBO"/>
        <s v="[Dim TMC].[TMC Line Model].&amp;[BANDI]" c="BANDI"/>
        <s v="[Dim TMC].[TMC Line Model].&amp;[BC-11]" c="BC-11"/>
        <s v="[Dim TMC].[TMC Line Model].&amp;[BERN]" c="BERN"/>
        <s v="[Dim TMC].[TMC Line Model].&amp;[BESTA]" c="BESTA"/>
        <s v="[Dim TMC].[TMC Line Model].&amp;[BETTA]" c="BETTA"/>
        <s v="[Dim TMC].[TMC Line Model].&amp;[BONN]" c="BONN"/>
        <s v="[Dim TMC].[TMC Line Model].&amp;[BOOM]" c="BOOM"/>
        <s v="[Dim TMC].[TMC Line Model].&amp;[BOOSTER]" c="BOOSTER"/>
        <s v="[Dim TMC].[TMC Line Model].&amp;[BOSS]" c="BOSS"/>
        <s v="[Dim TMC].[TMC Line Model].&amp;[BOSS KD]" c="BOSS KD"/>
        <s v="[Dim TMC].[TMC Line Model].&amp;[BOSTON]" c="BOSTON"/>
        <s v="[Dim TMC].[TMC Line Model].&amp;[BRAVOS]" c="BRAVOS"/>
        <s v="[Dim TMC].[TMC Line Model].&amp;[BRUNO]" c="BRUNO"/>
        <s v="[Dim TMC].[TMC Line Model].&amp;[BUROKRAT]" c="BUROKRAT"/>
        <s v="[Dim TMC].[TMC Line Model].&amp;[CACTUS]" c="CACTUS"/>
        <s v="[Dim TMC].[TMC Line Model].&amp;[CADDY]" c="CADDY"/>
        <s v="[Dim TMC].[TMC Line Model].&amp;[CALIFORNIA]" c="CALIFORNIA"/>
        <s v="[Dim TMC].[TMC Line Model].&amp;[CALIPSO]" c="CALIPSO"/>
        <s v="[Dim TMC].[TMC Line Model].&amp;[CAMILLA]" c="CAMILLA"/>
        <s v="[Dim TMC].[TMC Line Model].&amp;[CAMPARI]" c="CAMPARI"/>
        <s v="[Dim TMC].[TMC Line Model].&amp;[CASEY]" c="CASEY"/>
        <s v="[Dim TMC].[TMC Line Model].&amp;[CHESTER]" c="CHESTER"/>
        <s v="[Dim TMC].[TMC Line Model].&amp;[CHICO]" c="CHICO"/>
        <s v="[Dim TMC].[TMC Line Model].&amp;[CLASSIC]" c="CLASSIC"/>
        <s v="[Dim TMC].[TMC Line Model].&amp;[CLUB]" c="CLUB"/>
        <s v="[Dim TMC].[TMC Line Model].&amp;[COMBO]" c="COMBO"/>
        <s v="[Dim TMC].[TMC Line Model].&amp;[COMFORT]" c="COMFORT"/>
        <s v="[Dim TMC].[TMC Line Model].&amp;[CREDO]" c="CREDO"/>
        <s v="[Dim TMC].[TMC Line Model].&amp;[CUBA]" c="CUBA"/>
        <s v="[Dim TMC].[TMC Line Model].&amp;[CUBIC]" c="CUBIC"/>
        <s v="[Dim TMC].[TMC Line Model].&amp;[DAKAR]" c="DAKAR"/>
        <s v="[Dim TMC].[TMC Line Model].&amp;[DASTER]" c="DASTER"/>
        <s v="[Dim TMC].[TMC Line Model].&amp;[DASTER GTP]" c="DASTER GTP"/>
        <s v="[Dim TMC].[TMC Line Model].&amp;[DELTA]" c="DELTA"/>
        <s v="[Dim TMC].[TMC Line Model].&amp;[DESILVA]" c="DESILVA"/>
        <s v="[Dim TMC].[TMC Line Model].&amp;[DIPLOMAT]" c="DIPLOMAT"/>
        <s v="[Dim TMC].[TMC Line Model].&amp;[DIRECTOR]" c="DIRECTOR"/>
        <s v="[Dim TMC].[TMC Line Model].&amp;[DISCRETO]" c="DISCRETO"/>
        <s v="[Dim TMC].[TMC Line Model].&amp;[DOLCE]" c="DOLCE"/>
        <s v="[Dim TMC].[TMC Line Model].&amp;[EASY]" c="EASY"/>
        <s v="[Dim TMC].[TMC Line Model].&amp;[ELLY]" c="ELLY"/>
        <s v="[Dim TMC].[TMC Line Model].&amp;[ERA]" c="ERA"/>
        <s v="[Dim TMC].[TMC Line Model].&amp;[ERA GTP]" c="ERA GTP"/>
        <s v="[Dim TMC].[TMC Line Model].&amp;[EVOLUTION]" c="EVOLUTION"/>
        <s v="[Dim TMC].[TMC Line Model].&amp;[EXPERT]" c="EXPERT"/>
        <s v="[Dim TMC].[TMC Line Model].&amp;[FACTOR]" c="FACTOR"/>
        <s v="[Dim TMC].[TMC Line Model].&amp;[FALCON]" c="FALCON"/>
        <s v="[Dim TMC].[TMC Line Model].&amp;[FIDEL]" c="FIDEL"/>
        <s v="[Dim TMC].[TMC Line Model].&amp;[FINE]" c="FINE"/>
        <s v="[Dim TMC].[TMC Line Model].&amp;[FIXY]" c="FIXY"/>
        <s v="[Dim TMC].[TMC Line Model].&amp;[FLORINO]" c="FLORINO"/>
        <s v="[Dim TMC].[TMC Line Model].&amp;[FLY]" c="FLY"/>
        <s v="[Dim TMC].[TMC Line Model].&amp;[FLY HB]" c="FLY HB"/>
        <s v="[Dim TMC].[TMC Line Model].&amp;[FOREX]" c="FOREX"/>
        <s v="[Dim TMC].[TMC Line Model].&amp;[FORM]" c="FORM"/>
        <s v="[Dim TMC].[TMC Line Model].&amp;[FORM GTS]" c="FORM GTS"/>
        <s v="[Dim TMC].[TMC Line Model].&amp;[FORM HOKER]" c="FORM HOKER"/>
        <s v="[Dim TMC].[TMC Line Model].&amp;[FORSAGE]" c="FORSAGE"/>
        <s v="[Dim TMC].[TMC Line Model].&amp;[FORWARD]" c="FORWARD"/>
        <s v="[Dim TMC].[TMC Line Model].&amp;[FOX]" c="FOX"/>
        <s v="[Dim TMC].[TMC Line Model].&amp;[FRAME]" c="FRAME"/>
        <s v="[Dim TMC].[TMC Line Model].&amp;[FRANK]" c="FRANK"/>
        <s v="[Dim TMC].[TMC Line Model].&amp;[FRIDAY]" c="FRIDAY"/>
        <s v="[Dim TMC].[TMC Line Model].&amp;[GALANT]" c="GALANT"/>
        <s v="[Dim TMC].[TMC Line Model].&amp;[GAMER]" c="GAMER"/>
        <s v="[Dim TMC].[TMC Line Model].&amp;[GEFEST]" c="GEFEST"/>
        <s v="[Dim TMC].[TMC Line Model].&amp;[GEMINA]" c="GEMINA"/>
        <s v="[Dim TMC].[TMC Line Model].&amp;[GERMES]" c="GERMES"/>
        <s v="[Dim TMC].[TMC Line Model].&amp;[GLORY]" c="GLORY"/>
        <s v="[Dim TMC].[TMC Line Model].&amp;[GLORY KIDS]" c="GLORY KIDS"/>
        <s v="[Dim TMC].[TMC Line Model].&amp;[GOSU]" c="GOSU"/>
        <s v="[Dim TMC].[TMC Line Model].&amp;[GRAND]" c="GRAND"/>
        <s v="[Dim TMC].[TMC Line Model].&amp;[HELLO]" c="HELLO"/>
        <s v="[Dim TMC].[TMC Line Model].&amp;[HEXTER ML]" c="HEXTER ML"/>
        <s v="[Dim TMC].[TMC Line Model].&amp;[HEXTER XL]" c="HEXTER XL"/>
        <s v="[Dim TMC].[TMC Line Model].&amp;[HEXTER XR]" c="HEXTER XR"/>
        <s v="[Dim TMC].[TMC Line Model].&amp;[HIP-HOP]" c="HIP-HOP"/>
        <s v="[Dim TMC].[TMC Line Model].&amp;[INCANTO]" c="INCANTO"/>
        <s v="[Dim TMC].[TMC Line Model].&amp;[INTER]" c="INTER"/>
        <s v="[Dim TMC].[TMC Line Model].&amp;[IRIS]" c="IRIS"/>
        <s v="[Dim TMC].[TMC Line Model].&amp;[IRON]" c="IRON"/>
        <s v="[Dim TMC].[TMC Line Model].&amp;[ISIT]" c="ISIT"/>
        <s v="[Dim TMC].[TMC Line Model].&amp;[ISO]" c="ISO"/>
        <s v="[Dim TMC].[TMC Line Model].&amp;[ISO GTP]" c="ISO GTP"/>
        <s v="[Dim TMC].[TMC Line Model].&amp;[ISO GTS]" c="ISO GTS"/>
        <s v="[Dim TMC].[TMC Line Model].&amp;[ISO NET]" c="ISO NET"/>
        <s v="[Dim TMC].[TMC Line Model].&amp;[JACK]" c="JACK"/>
        <s v="[Dim TMC].[TMC Line Model].&amp;[JANE]" c="JANE"/>
        <s v="[Dim TMC].[TMC Line Model].&amp;[JOLA]" c="JOLA"/>
        <s v="[Dim TMC].[TMC Line Model].&amp;[JUNIOR]" c="JUNIOR"/>
        <s v="[Dim TMC].[TMC Line Model].&amp;[JUPITER]" c="JUPITER"/>
        <s v="[Dim TMC].[TMC Line Model].&amp;[KAJA EXT]" c="KAJA EXT"/>
        <s v="[Dim TMC].[TMC Line Model].&amp;[KARINA]" c="KARINA"/>
        <s v="[Dim TMC].[TMC Line Model].&amp;[KING]" c="KING"/>
        <s v="[Dim TMC].[TMC Line Model].&amp;[KONSUL]" c="KONSUL"/>
        <s v="[Dim TMC].[TMC Line Model].&amp;[LABORANT]" c="LABORANT"/>
        <s v="[Dim TMC].[TMC Line Model].&amp;[LATINA]" c="LATINA"/>
        <s v="[Dim TMC].[TMC Line Model].&amp;[LEAVES]" c="LEAVES"/>
        <s v="[Dim TMC].[TMC Line Model].&amp;[LENARD]" c="LENARD"/>
        <s v="[Dim TMC].[TMC Line Model].&amp;[LIBERTY]" c="LIBERTY"/>
        <s v="[Dim TMC].[TMC Line Model].&amp;[LILI]" c="LILI"/>
        <s v="[Dim TMC].[TMC Line Model].&amp;[LIPS]" c="LIPS"/>
        <s v="[Dim TMC].[TMC Line Model].&amp;[LIRA]" c="LIRA"/>
        <s v="[Dim TMC].[TMC Line Model].&amp;[LIYA]" c="LIYA"/>
        <s v="[Dim TMC].[TMC Line Model].&amp;[LIYA GTS]" c="LIYA GTS"/>
        <s v="[Dim TMC].[TMC Line Model].&amp;[LOGICA]" c="LOGICA"/>
        <s v="[Dim TMC].[TMC Line Model].&amp;[LUCKY]" c="LUCKY"/>
        <s v="[Dim TMC].[TMC Line Model].&amp;[MADAME]" c="MADAME"/>
        <s v="[Dim TMC].[TMC Line Model].&amp;[MALTA]" c="MALTA"/>
        <s v="[Dim TMC].[TMC Line Model].&amp;[MANAGER]" c="MANAGER"/>
        <s v="[Dim TMC].[TMC Line Model].&amp;[MARCO]" c="MARCO"/>
        <s v="[Dim TMC].[TMC Line Model].&amp;[MARINO]" c="MARINO"/>
        <s v="[Dim TMC].[TMC Line Model].&amp;[MARTIN]" c="MARTIN"/>
        <s v="[Dim TMC].[TMC Line Model].&amp;[MASTER NET]" c="MASTER NET"/>
        <s v="[Dim TMC].[TMC Line Model].&amp;[MATRIX]" c="MATRIX"/>
        <s v="[Dim TMC].[TMC Line Model].&amp;[MEDICO]" c="MEDICO"/>
        <s v="[Dim TMC].[TMC Line Model].&amp;[MELANIA]" c="MELANIA"/>
        <s v="[Dim TMC].[TMC Line Model].&amp;[MILANA]" c="MILANA"/>
        <s v="[Dim TMC].[TMC Line Model].&amp;[MILANA GTS]" c="MILANA GTS"/>
        <s v="[Dim TMC].[TMC Line Model].&amp;[MINISTER]" c="MINISTER"/>
        <s v="[Dim TMC].[TMC Line Model].&amp;[MINISTYLE]" c="MINISTYLE"/>
        <s v="[Dim TMC].[TMC Line Model].&amp;[MODERN]" c="MODERN"/>
        <s v="[Dim TMC].[TMC Line Model].&amp;[MODUS]" c="MODUS"/>
        <s v="[Dim TMC].[TMC Line Model].&amp;[MORFEO]" c="MORFEO"/>
        <s v="[Dim TMC].[TMC Line Model].&amp;[NADIR]" c="NADIR"/>
        <s v="[Dim TMC].[TMC Line Model].&amp;[NERON]" c="NERON"/>
        <s v="[Dim TMC].[TMC Line Model].&amp;[NETWORK]" c="NETWORK"/>
        <s v="[Dim TMC].[TMC Line Model].&amp;[NETWORK CF]" c="NETWORK CF"/>
        <s v="[Dim TMC].[TMC Line Model].&amp;[NICE]" c="NICE"/>
        <s v="[Dim TMC].[TMC Line Model].&amp;[NICOLE]" c="NICOLE"/>
        <s v="[Dim TMC].[TMC Line Model].&amp;[NICOLE GTS]" c="NICOLE GTS"/>
        <s v="[Dim TMC].[TMC Line Model].&amp;[NICOLE HOKER]" c="NICOLE HOKER"/>
        <s v="[Dim TMC].[TMC Line Model].&amp;[NIK]" c="NIK"/>
        <s v="[Dim TMC].[TMC Line Model].&amp;[N-OFFICE]" c="N-OFFICE"/>
        <s v="[Dim TMC].[TMC Line Model].&amp;[NOVA]" c="NOVA"/>
        <s v="[Dim TMC].[TMC Line Model].&amp;[OFFICE]" c="OFFICE"/>
        <s v="[Dim TMC].[TMC Line Model].&amp;[OFFIX]" c="OFFIX"/>
        <s v="[Dim TMC].[TMC Line Model].&amp;[OLIVIA]" c="OLIVIA"/>
        <s v="[Dim TMC].[TMC Line Model].&amp;[ORION]" c="ORION"/>
        <s v="[Dim TMC].[TMC Line Model].&amp;[ORLANDO]" c="ORLANDO"/>
        <s v="[Dim TMC].[TMC Line Model].&amp;[ORLY]" c="ORLY"/>
        <s v="[Dim TMC].[TMC Line Model].&amp;[ORMAN]" c="ORMAN"/>
        <s v="[Dim TMC].[TMC Line Model].&amp;[OXFORD]" c="OXFORD"/>
        <s v="[Dim TMC].[TMC Line Model].&amp;[OXY]" c="OXY"/>
        <s v="[Dim TMC].[TMC Line Model].&amp;[PEONY]" c="PEONY"/>
        <s v="[Dim TMC].[TMC Line Model].&amp;[PERFECT]" c="PERFECT"/>
        <s v="[Dim TMC].[TMC Line Model].&amp;[PIKE]" c="PIKE"/>
        <s v="[Dim TMC].[TMC Line Model].&amp;[PINACOLADA]" c="PINACOLADA"/>
        <s v="[Dim TMC].[TMC Line Model].&amp;[POLLY]" c="POLLY"/>
        <s v="[Dim TMC].[TMC Line Model].&amp;[PRESTIGE]" c="PRESTIGE"/>
        <s v="[Dim TMC].[TMC Line Model].&amp;[RACER]" c="RACER"/>
        <s v="[Dim TMC].[TMC Line Model].&amp;[RALPH]" c="RALPH"/>
        <s v="[Dim TMC].[TMC Line Model].&amp;[RALPH GTP]" c="RALPH GTP"/>
        <s v="[Dim TMC].[TMC Line Model].&amp;[RALPH HOKER]" c="RALPH HOKER"/>
        <s v="[Dim TMC].[TMC Line Model].&amp;[RAY]" c="RAY"/>
        <s v="[Dim TMC].[TMC Line Model].&amp;[RAY HOKER]" c="RAY HOKER"/>
        <s v="[Dim TMC].[TMC Line Model].&amp;[REAL]" c="REAL"/>
        <s v="[Dim TMC].[TMC Line Model].&amp;[RECORD]" c="RECORD"/>
        <s v="[Dim TMC].[TMC Line Model].&amp;[REGAL]" c="REGAL"/>
        <s v="[Dim TMC].[TMC Line Model].&amp;[REWIND]" c="REWIND"/>
        <s v="[Dim TMC].[TMC Line Model].&amp;[RIGA]" c="RIGA"/>
        <s v="[Dim TMC].[TMC Line Model].&amp;[ROCKY]" c="ROCKY"/>
        <s v="[Dim TMC].[TMC Line Model].&amp;[ROSE]" c="ROSE"/>
        <s v="[Dim TMC].[TMC Line Model].&amp;[ROUND]" c="ROUND"/>
        <s v="[Dim TMC].[TMC Line Model].&amp;[ROZANA]" c="ROZANA"/>
        <s v="[Dim TMC].[TMC Line Model].&amp;[RUNN]" c="RUNN"/>
        <s v="[Dim TMC].[TMC Line Model].&amp;[SALSA]" c="SALSA"/>
        <s v="[Dim TMC].[TMC Line Model].&amp;[SAMBA]" c="SAMBA"/>
        <s v="[Dim TMC].[TMC Line Model].&amp;[SAMBA GTP]" c="SAMBA GTP"/>
        <s v="[Dim TMC].[TMC Line Model].&amp;[SATURN]" c="SATURN"/>
        <s v="[Dim TMC].[TMC Line Model].&amp;[SENIOR]" c="SENIOR"/>
        <s v="[Dim TMC].[TMC Line Model].&amp;[SEVEN]" c="SEVEN"/>
        <s v="[Dim TMC].[TMC Line Model].&amp;[SHELLI]" c="SHELLI"/>
        <s v="[Dim TMC].[TMC Line Model].&amp;[SIMPLE]" c="SIMPLE"/>
        <s v="[Dim TMC].[TMC Line Model].&amp;[SLIM]" c="SLIM"/>
        <s v="[Dim TMC].[TMC Line Model].&amp;[SOFI]" c="SOFI"/>
        <s v="[Dim TMC].[TMC Line Model].&amp;[SOLO]" c="SOLO"/>
        <s v="[Dim TMC].[TMC Line Model].&amp;[SONIA]" c="SONIA"/>
        <s v="[Dim TMC].[TMC Line Model].&amp;[STAFF]" c="STAFF"/>
        <s v="[Dim TMC].[TMC Line Model].&amp;[STANDART]" c="STANDART"/>
        <s v="[Dim TMC].[TMC Line Model].&amp;[STAR]" c="STAR"/>
        <s v="[Dim TMC].[TMC Line Model].&amp;[STILO]" c="STILO"/>
        <s v="[Dim TMC].[TMC Line Model].&amp;[STOOL]" c="STOOL"/>
        <s v="[Dim TMC].[TMC Line Model].&amp;[SYLWIA]" c="SYLWIA"/>
        <s v="[Dim TMC].[TMC Line Model].&amp;[TACO]" c="TACO"/>
        <s v="[Dim TMC].[TMC Line Model].&amp;[TAILER]" c="TAILER"/>
        <s v="[Dim TMC].[TMC Line Model].&amp;[TAKTIK]" c="TAKTIK"/>
        <s v="[Dim TMC].[TMC Line Model].&amp;[TALIO]" c="TALIO"/>
        <s v="[Dim TMC].[TMC Line Model].&amp;[TASK]" c="TASK"/>
        <s v="[Dim TMC].[TMC Line Model].&amp;[TASK GTP]" c="TASK GTP"/>
        <s v="[Dim TMC].[TMC Line Model].&amp;[TEDDY]" c="TEDDY"/>
        <s v="[Dim TMC].[TMC Line Model].&amp;[TELA]" c="TELA"/>
        <s v="[Dim TMC].[TMC Line Model].&amp;[TETRA]" c="TETRA"/>
        <s v="[Dim TMC].[TMC Line Model].&amp;[TIRAMISU]" c="TIRAMISU"/>
        <s v="[Dim TMC].[TMC Line Model].&amp;[TIZIANO]" c="TIZIANO"/>
        <s v="[Dim TMC].[TMC Line Model].&amp;[TOKYO]" c="TOKYO"/>
        <s v="[Dim TMC].[TMC Line Model].&amp;[TRACY]" c="TRACY"/>
        <s v="[Dim TMC].[TMC Line Model].&amp;[TRADE]" c="TRADE"/>
        <s v="[Dim TMC].[TMC Line Model].&amp;[TULIPAN]" c="TULIPAN"/>
        <s v="[Dim TMC].[TMC Line Model].&amp;[TUTTI]" c="TUTTI"/>
        <s v="[Dim TMC].[TMC Line Model].&amp;[TWINKS]" c="TWINKS"/>
        <s v="[Dim TMC].[TMC Line Model].&amp;[ULTRA]" c="ULTRA"/>
        <s v="[Dim TMC].[TMC Line Model].&amp;[VENEZIA]" c="VENEZIA"/>
        <s v="[Dim TMC].[TMC Line Model].&amp;[VENSAN]" c="VENSAN"/>
        <s v="[Dim TMC].[TMC Line Model].&amp;[VENSAN GTP]" c="VENSAN GTP"/>
        <s v="[Dim TMC].[TMC Line Model].&amp;[VENTA]" c="VENTA"/>
        <s v="[Dim TMC].[TMC Line Model].&amp;[VENUS]" c="VENUS"/>
        <s v="[Dim TMC].[TMC Line Model].&amp;[VERONA]" c="VERONA"/>
        <s v="[Dim TMC].[TMC Line Model].&amp;[VERONIKA]" c="VERONIKA"/>
        <s v="[Dim TMC].[TMC Line Model].&amp;[VERONIKA GTS]" c="VERONIKA GTS"/>
        <s v="[Dim TMC].[TMC Line Model].&amp;[VERONIKA HOKER]" c="VERONIKA HOKER"/>
        <s v="[Dim TMC].[TMC Line Model].&amp;[VICTORY]" c="VICTORY"/>
        <s v="[Dim TMC].[TMC Line Model].&amp;[VINNY]" c="VINNY"/>
        <s v="[Dim TMC].[TMC Line Model].&amp;[VIOLA]" c="VIOLA"/>
        <s v="[Dim TMC].[TMC Line Model].&amp;[VISION]" c="VISION"/>
        <s v="[Dim TMC].[TMC Line Model].&amp;[VISITOR]" c="VISITOR"/>
        <s v="[Dim TMC].[TMC Line Model].&amp;[VULKANO]" c="VULKANO"/>
        <s v="[Dim TMC].[TMC Line Model].&amp;[WAIT]" c="WAIT"/>
        <s v="[Dim TMC].[TMC Line Model].&amp;[WAIT GTP]" c="WAIT GTP"/>
        <s v="[Dim TMC].[TMC Line Model].&amp;[WEBSTAR]" c="WEBSTAR"/>
        <s v="[Dim TMC].[TMC Line Model].&amp;[WESTER]" c="WESTER"/>
        <s v="[Dim TMC].[TMC Line Model].&amp;[WESTER GTP]" c="WESTER GTP"/>
        <s v="[Dim TMC].[TMC Line Model].&amp;[WINNER]" c="WINNER"/>
        <s v="[Dim TMC].[TMC Line Model].&amp;[XEON]" c="XEON"/>
        <s v="[Dim TMC].[TMC Line Model].&amp;[YAPPI]" c="YAPPI"/>
        <s v="[Dim TMC].[TMC Line Model].&amp;[ZENITH]" c="ZENITH"/>
        <s v="[Dim TMC].[TMC Line Model].&amp;[ZETA]" c="ZETA"/>
        <s v="[Dim TMC].[TMC Line Model].&amp;[Бюджет Lite]" c="Бюджет Lite"/>
        <s v="[Dim TMC].[TMC Line Model].&amp;[КОМПЛЕКТ НА РОЛИКАХ]" c="КОМПЛЕКТ НА РОЛИКАХ"/>
        <s v="[Dim TMC].[TMC Line Model].&amp;[Комплектующие и механизмы]" c="Комплектующие и механизмы"/>
        <s v="[Dim TMC].[TMC Line Model].&amp;[Кресла и стулья закупные]" c="Кресла и стулья закупные"/>
        <s v="[Dim TMC].[TMC Line Model].&amp;[Мега]" c="Мега"/>
        <s v="[Dim TMC].[TMC Line Model].&amp;[Меган]" c="Меган"/>
        <s v="[Dim TMC].[TMC Line Model].&amp;[НЕСЕРИЯ]" c="НЕСЕРИЯ"/>
        <s v="[Dim TMC].[TMC Line Model].&amp;[ПОРОЛОН 22]" c="ПОРОЛОН 22"/>
        <s v="[Dim TMC].[TMC Line Model].&amp;[ПОРОЛОН 28]" c="ПОРОЛОН 28"/>
        <s v="[Dim TMC].[TMC Line Model].&amp;[Премьера]" c="Премьера"/>
        <s v="[Dim TMC].[TMC Line Model].&amp;[ПРОЧЕЕ]" c="ПРОЧЕЕ"/>
        <s v="[Dim TMC].[TMC Line Model].&amp;[РАМА  SUNNY]" c="РАМА  SUNNY"/>
        <s v="[Dim TMC].[TMC Line Model].&amp;[РАМА 4L]" c="РАМА 4L"/>
        <s v="[Dim TMC].[TMC Line Model].&amp;[РАМА 4LХ]" c="РАМА 4LХ"/>
        <s v="[Dim TMC].[TMC Line Model].&amp;[РАМА CF]" c="РАМА CF"/>
        <s v="[Dim TMC].[TMC Line Model].&amp;[РАМА FOXY]" c="РАМА FOXY"/>
        <s v="[Dim TMC].[TMC Line Model].&amp;[РАМА HANNA]" c="РАМА HANNA"/>
        <s v="[Dim TMC].[TMC Line Model].&amp;[РАМА NX]" c="РАМА NX"/>
        <s v="[Dim TMC].[TMC Line Model].&amp;[РАМА WOOD]" c="РАМА WOOD"/>
        <s v="[Dim TMC].[TMC Line Model].&amp;[СИДЕНЬЕ D34]" c="СИДЕНЬЕ D34"/>
        <s v="[Dim TMC].[TMC Line Model].&amp;[СИДЕНЬЕ D38]" c="СИДЕНЬЕ D38"/>
        <s v="[Dim TMC].[TMC Line Model].&amp;[СИДЕНЬЕ D40]" c="СИДЕНЬЕ D40"/>
        <s v="[Dim TMC].[TMC Line Model].&amp;[СКАМЬЯ E-661]" c="СКАМЬЯ E-661"/>
        <s v="[Dim TMC].[TMC Line Model].&amp;[СТОЛ УЧЕН. E-161]" c="СТОЛ УЧЕН. E-161"/>
        <s v="[Dim TMC].[TMC Line Model].&amp;[СТОЛ УЧЕН. E-162]" c="СТОЛ УЧЕН. E-162"/>
        <s v="[Dim TMC].[TMC Line Model].&amp;[СТОЛ УЧЕН. E-174]" c="СТОЛ УЧЕН. E-174"/>
        <s v="[Dim TMC].[TMC Line Model].&amp;[СТОЛ УЧЕН. E-175]" c="СТОЛ УЧЕН. E-175"/>
        <s v="[Dim TMC].[TMC Line Model].&amp;[СТОЛ УЧЕН. E-176]" c="СТОЛ УЧЕН. E-176"/>
        <s v="[Dim TMC].[TMC Line Model].&amp;[Столешницы барного стола]" c="Столешницы барного стола"/>
        <s v="[Dim TMC].[TMC Line Model].&amp;[СТУЛ УЧЕН. E-261]" c="СТУЛ УЧЕН. E-261"/>
        <s v="[Dim TMC].[TMC Line Model].&amp;[СТУЛ УЧЕН. E-263]" c="СТУЛ УЧЕН. E-263"/>
        <s v="[Dim TMC].[TMC Line Model].&amp;[СТУЛ УЧЕН. E-266]" c="СТУЛ УЧЕН. E-266"/>
        <s v="[Dim TMC].[TMC Line Model].&amp;[СТУЛ УЧЕН. E-273]" c="СТУЛ УЧЕН. E-273"/>
        <s v="[Dim TMC].[TMC Line Model].&amp;[СТУЛ УЧЕН. E-274]" c="СТУЛ УЧЕН. E-274"/>
        <s v="[Dim TMC].[TMC Line Model].&amp;[СТУЛ УЧЕН. E-278]" c="СТУЛ УЧЕН. E-278"/>
        <s v="[Dim TMC].[TMC Line Model].&amp;[СТУЛ УЧЕН. E-279]" c="СТУЛ УЧЕН. E-279"/>
        <s v="[Dim TMC].[TMC Line Model].&amp;[ТКАНЬ]" c="ТКАНЬ"/>
        <s v="[Dim TMC].[TMC Line Model].&amp;[ТРУБА]" c="ТРУБА"/>
        <s v="[Dim TMC].[TMC Line Model].&amp;[Флекс]" c="Флекс"/>
      </sharedItems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ntainsSemiMixedTypes="0" containsString="0"/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  <cacheField name="[Measures].[Fact Margine2022 2 Base Currency Fact]" caption="Ф_UCH_М2" numFmtId="0" hierarchy="708" level="32767"/>
    <cacheField name="Dummy0" numFmtId="0" hierarchy="11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57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0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0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0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0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0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0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0" unbalanced="0"/>
    <cacheHierarchy uniqueName="[Dim Plans].[PlanType]" caption="Типы планов" defaultMemberUniqueName="[Dim Plans].[PlanType].[All]" allUniqueName="[Dim Plans].[PlanType].[All]" dimensionUniqueName="[Dim Plans]" displayFolder="" count="0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0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0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0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0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0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0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0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0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0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0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0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0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0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0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0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0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 oneField="1">
      <fieldsUsage count="1">
        <fieldUsage x="73"/>
      </fieldsUsage>
    </cacheHierarchy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  <cacheHierarchy uniqueName="Dummy0" caption="ЦФО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Охотюк Любовь Павловна" refreshedDate="46083.650365740737" backgroundQuery="1" createdVersion="4" refreshedVersion="6" minRefreshableVersion="3" recordCount="0" supportSubquery="1" supportAdvancedDrill="1">
  <cacheSource type="external" connectionId="1"/>
  <cacheFields count="73">
    <cacheField name="[Dim TMC].[Product Type].[TMC Type]" caption="Тип ТМЦ" numFmtId="0" hierarchy="91" level="1">
      <sharedItems count="3">
        <s v="[Dim TMC].[Product Type].[TMC Type].&amp;[Мебель ГП]" c="Мебель ГП"/>
        <s v="[Dim TMC].[Product Type].[TMC Type].&amp;[Стулья ГП]" c="Стулья ГП"/>
        <s v="[Dim TMC].[Product Type].[TMC Type].&amp;[Товары]" c="Товары"/>
      </sharedItems>
    </cacheField>
    <cacheField name="[Dim TMC].[Product Type].[TMC Name Base]" caption="Базовое ТМЦ" numFmtId="0" hierarchy="91" level="2">
      <sharedItems containsSemiMixedTypes="0" containsString="0"/>
    </cacheField>
    <cacheField name="[Dim TMC].[Product Type].[TMCID]" caption="ТМЦ" numFmtId="0" hierarchy="91" level="3">
      <sharedItems containsSemiMixedTypes="0" containsString="0"/>
    </cacheField>
    <cacheField name="[Dim TMC].[Product Type].[TMCID].[TMC Accounting Group]" caption="Учетная группа" propertyName="TMC Accounting Group" numFmtId="0" hierarchy="91" level="3" memberPropertyField="1">
      <sharedItems containsSemiMixedTypes="0" containsString="0"/>
    </cacheField>
    <cacheField name="[Dim TMC].[Product Type].[TMCID].[TMC Category]" caption="Категория" propertyName="TMC Category" numFmtId="0" hierarchy="91" level="3" memberPropertyField="1">
      <sharedItems containsSemiMixedTypes="0" containsString="0"/>
    </cacheField>
    <cacheField name="[Dim TMC].[Product Type].[TMCID].[TMC Code]" caption="Код ТМЦ" propertyName="TMC Code" numFmtId="0" hierarchy="91" level="3" memberPropertyField="1">
      <sharedItems containsSemiMixedTypes="0" containsString="0"/>
    </cacheField>
    <cacheField name="[Dim TMC].[Product Type].[TMCID].[TMC Cover Color]" caption="Цвет обивки" propertyName="TMC Cover Color" numFmtId="0" hierarchy="91" level="3" memberPropertyField="1">
      <sharedItems containsSemiMixedTypes="0" containsString="0"/>
    </cacheField>
    <cacheField name="[Dim TMC].[Product Type].[TMCID].[TMC Cover Type]" caption="Тип обивки" propertyName="TMC Cover Type" numFmtId="0" hierarchy="91" level="3" memberPropertyField="1">
      <sharedItems containsSemiMixedTypes="0" containsString="0"/>
    </cacheField>
    <cacheField name="[Dim TMC].[Product Type].[TMCID].[TMC Group]" caption="Группа" propertyName="TMC Group" numFmtId="0" hierarchy="91" level="3" memberPropertyField="1">
      <sharedItems containsSemiMixedTypes="0" containsString="0"/>
    </cacheField>
    <cacheField name="[Dim TMC].[Product Type].[TMCID].[TMC Line Model]" caption="Линия модели" propertyName="TMC Line Model" numFmtId="0" hierarchy="91" level="3" memberPropertyField="1">
      <sharedItems containsSemiMixedTypes="0" containsString="0"/>
    </cacheField>
    <cacheField name="[Dim TMC].[Product Type].[TMCID].[TMC Manufacture Segment]" caption="Производственный участок" propertyName="TMC Manufacture Segment" numFmtId="0" hierarchy="91" level="3" memberPropertyField="1">
      <sharedItems containsSemiMixedTypes="0" containsString="0"/>
    </cacheField>
    <cacheField name="[Dim TMC].[Product Type].[TMCID].[TMC Name]" caption="TMC Name" propertyName="TMC Name" numFmtId="0" hierarchy="91" level="3" memberPropertyField="1">
      <sharedItems containsSemiMixedTypes="0" containsString="0"/>
    </cacheField>
    <cacheField name="[Dim TMC].[Product Type].[TMCID].[TMC Name Base]" caption="Базовый ТМЦ" propertyName="TMC Name Base" numFmtId="0" hierarchy="91" level="3" memberPropertyField="1">
      <sharedItems containsSemiMixedTypes="0" containsString="0"/>
    </cacheField>
    <cacheField name="[Dim TMC].[Product Type].[TMCID].[TMC Name Planning]" caption="ТМЦ планирования" propertyName="TMC Name Planning" numFmtId="0" hierarchy="91" level="3" memberPropertyField="1">
      <sharedItems containsSemiMixedTypes="0" containsString="0"/>
    </cacheField>
    <cacheField name="[Dim TMC].[Product Type].[TMCID].[TMC Product Type]" caption="Тип ТМЦ для KPI" propertyName="TMC Product Type" numFmtId="0" hierarchy="91" level="3" memberPropertyField="1">
      <sharedItems containsSemiMixedTypes="0" containsString="0"/>
    </cacheField>
    <cacheField name="[Dim TMC].[Product Type].[TMCID].[TMC Segment]" caption="Сегмент" propertyName="TMC Segment" numFmtId="0" hierarchy="91" level="3" memberPropertyField="1">
      <sharedItems containsSemiMixedTypes="0" containsString="0"/>
    </cacheField>
    <cacheField name="[Dim TMC].[Product Type].[TMCID].[TMC Sub Segment]" caption="СубСегмент" propertyName="TMC Sub Segment" numFmtId="0" hierarchy="91" level="3" memberPropertyField="1">
      <sharedItems containsSemiMixedTypes="0" containsString="0"/>
    </cacheField>
    <cacheField name="[Dim TMC].[Product Type].[TMCID].[TMC Type]" caption="Тип ТМЦ" propertyName="TMC Type" numFmtId="0" hierarchy="91" level="3" memberPropertyField="1">
      <sharedItems containsSemiMixedTypes="0" containsString="0"/>
    </cacheField>
    <cacheField name="[Dim CFO].[CFO Parent ID].[Уровень]" caption="Уровень" numFmtId="0" level="1">
      <sharedItems count="3">
        <s v="[Dim CFO].[CFO Parent ID].&amp;[27]" c="NOWY STYL KZ  ТОО"/>
        <s v="[Dim CFO].[CFO Parent ID].&amp;[28]" c="Новый Стиль (Россия)"/>
        <s v="[Dim CFO].[CFO Parent ID].&amp;[74]" c="Украина"/>
      </sharedItems>
    </cacheField>
    <cacheField name="[Dim CFO].[CFO Parent ID].[Уровень 1]" caption="Уровень 1" numFmtId="0" level="2">
      <sharedItems containsSemiMixedTypes="0" containsString="0"/>
    </cacheField>
    <cacheField name="[Dim CFO].[CFO Parent ID].[CFO Parent ID]" caption="ЦФО" propertyName="CFO Parent ID" numFmtId="0" level="32767" memberPropertyField="1">
      <sharedItems containsSemiMixedTypes="0" containsString="0"/>
    </cacheField>
    <cacheField name="[Dim TMC].[Product Type].[TMCID].[TMC Block Group]" caption="Группа блокирования" propertyName="TMC Block Group" numFmtId="0" hierarchy="91" level="3" memberPropertyField="1">
      <sharedItems containsSemiMixedTypes="0" containsString="0"/>
    </cacheField>
    <cacheField name="[Dim Clearance Date].[Year].[Year]" caption="Год" numFmtId="0" hierarchy="8" level="1">
      <sharedItems containsSemiMixedTypes="0" containsString="0"/>
    </cacheField>
    <cacheField name="[Dim Clearance Date].[Month].[Month]" caption="Месяц" numFmtId="0" hierarchy="5" level="1" mappingCount="1">
      <sharedItems count="12">
        <s v="[Dim Clearance Date].[Month].&amp;[2024-10-01T00:00:00]" c="Октябрь 2024" cp="1">
          <x/>
        </s>
        <s v="[Dim Clearance Date].[Month].&amp;[2024-11-01T00:00:00]" c="Ноябрь 2024" cp="1">
          <x/>
        </s>
        <s v="[Dim Clearance Date].[Month].&amp;[2024-12-01T00:00:00]" c="Декабрь 2024" cp="1">
          <x/>
        </s>
        <s v="[Dim Clearance Date].[Month].&amp;[2025-04-01T00:00:00]" c="Апрель 2025" cp="1">
          <x v="1"/>
        </s>
        <s v="[Dim Clearance Date].[Month].&amp;[2025-05-01T00:00:00]" c="Май 2025" cp="1">
          <x v="1"/>
        </s>
        <s v="[Dim Clearance Date].[Month].&amp;[2025-06-01T00:00:00]" c="Июнь 2025" cp="1">
          <x v="1"/>
        </s>
        <s v="[Dim Clearance Date].[Month].&amp;[2025-07-01T00:00:00]" c="Июль 2025" cp="1">
          <x v="1"/>
        </s>
        <s v="[Dim Clearance Date].[Month].&amp;[2025-08-01T00:00:00]" c="Август 2025" cp="1">
          <x v="1"/>
        </s>
        <s v="[Dim Clearance Date].[Month].&amp;[2025-09-01T00:00:00]" c="Сентябрь 2025" cp="1">
          <x v="1"/>
        </s>
        <s v="[Dim Clearance Date].[Month].&amp;[2025-10-01T00:00:00]" c="Октябрь 2025" cp="1">
          <x v="1"/>
        </s>
        <s v="[Dim Clearance Date].[Month].&amp;[2025-11-01T00:00:00]" c="Ноябрь 2025" cp="1">
          <x v="1"/>
        </s>
        <s v="[Dim Clearance Date].[Month].&amp;[2025-12-01T00:00:00]" c="Декабрь 2025" cp="1">
          <x v="1"/>
        </s>
      </sharedItems>
      <mpMap v="24"/>
    </cacheField>
    <cacheField name="[Dim Clearance Date].[Month].[Month].[Year]" caption="Год" propertyName="Year" numFmtId="0" hierarchy="5" level="1" memberPropertyField="1">
      <sharedItems count="2">
        <s v="2024"/>
        <s v="2025"/>
      </sharedItems>
    </cacheField>
    <cacheField name="[Dim TMC].[Product Type].[TMCID].[Catalog Group Desc]" caption="Группа сбыта" propertyName="Catalog Group Desc" numFmtId="0" hierarchy="91" level="3" memberPropertyField="1">
      <sharedItems containsSemiMixedTypes="0" containsString="0"/>
    </cacheField>
    <cacheField name="[Dim TMC].[Product Type].[TMCID].[TMC Product Place]" caption="Место производства (текущее значение)" propertyName="TMC Product Place" numFmtId="0" hierarchy="91" level="3" memberPropertyField="1">
      <sharedItems containsSemiMixedTypes="0" containsString="0"/>
    </cacheField>
    <cacheField name="[Dim TMC].[TMC_KPI].[TMC Product Type]" caption="Тип ТМЦ для KPI" numFmtId="0" hierarchy="115" level="1">
      <sharedItems containsSemiMixedTypes="0" containsString="0"/>
    </cacheField>
    <cacheField name="[Dim TMC].[TMC_KPI].[TMC Type]" caption="TMC Type" numFmtId="0" hierarchy="115" level="2">
      <sharedItems containsSemiMixedTypes="0" containsString="0"/>
    </cacheField>
    <cacheField name="[Dim TMC].[TMC_KPI].[TMCID]" caption="ТМЦ" numFmtId="0" hierarchy="115" level="3">
      <sharedItems containsSemiMixedTypes="0" containsString="0"/>
    </cacheField>
    <cacheField name="[Dim TMC].[TMC_KPI].[TMCID].[Catalog Group Desc]" caption="Группа сбыта" propertyName="Catalog Group Desc" numFmtId="0" hierarchy="115" level="3" memberPropertyField="1">
      <sharedItems containsSemiMixedTypes="0" containsString="0"/>
    </cacheField>
    <cacheField name="[Dim TMC].[TMC_KPI].[TMCID].[TMC Accounting Group]" caption="Учетная группа" propertyName="TMC Accounting Group" numFmtId="0" hierarchy="115" level="3" memberPropertyField="1">
      <sharedItems containsSemiMixedTypes="0" containsString="0"/>
    </cacheField>
    <cacheField name="[Dim TMC].[TMC_KPI].[TMCID].[TMC Block Group]" caption="Группа блокирования" propertyName="TMC Block Group" numFmtId="0" hierarchy="115" level="3" memberPropertyField="1">
      <sharedItems containsSemiMixedTypes="0" containsString="0"/>
    </cacheField>
    <cacheField name="[Dim TMC].[TMC_KPI].[TMCID].[TMC Category]" caption="Категория" propertyName="TMC Category" numFmtId="0" hierarchy="115" level="3" memberPropertyField="1">
      <sharedItems containsSemiMixedTypes="0" containsString="0"/>
    </cacheField>
    <cacheField name="[Dim TMC].[TMC_KPI].[TMCID].[TMC Code]" caption="Код ТМЦ" propertyName="TMC Code" numFmtId="0" hierarchy="115" level="3" memberPropertyField="1">
      <sharedItems containsSemiMixedTypes="0" containsString="0"/>
    </cacheField>
    <cacheField name="[Dim TMC].[TMC_KPI].[TMCID].[TMC Cover Color]" caption="Цвет обивки" propertyName="TMC Cover Color" numFmtId="0" hierarchy="115" level="3" memberPropertyField="1">
      <sharedItems containsSemiMixedTypes="0" containsString="0"/>
    </cacheField>
    <cacheField name="[Dim TMC].[TMC_KPI].[TMCID].[TMC Cover Type]" caption="Тип обивки" propertyName="TMC Cover Type" numFmtId="0" hierarchy="115" level="3" memberPropertyField="1">
      <sharedItems containsSemiMixedTypes="0" containsString="0"/>
    </cacheField>
    <cacheField name="[Dim TMC].[TMC_KPI].[TMCID].[TMC Group]" caption="Группа" propertyName="TMC Group" numFmtId="0" hierarchy="115" level="3" memberPropertyField="1">
      <sharedItems containsSemiMixedTypes="0" containsString="0"/>
    </cacheField>
    <cacheField name="[Dim TMC].[TMC_KPI].[TMCID].[TMC Line Model]" caption="Линия модели" propertyName="TMC Line Model" numFmtId="0" hierarchy="115" level="3" memberPropertyField="1">
      <sharedItems containsSemiMixedTypes="0" containsString="0"/>
    </cacheField>
    <cacheField name="[Dim TMC].[TMC_KPI].[TMCID].[TMC Manufacture Segment]" caption="Производственный участок" propertyName="TMC Manufacture Segment" numFmtId="0" hierarchy="115" level="3" memberPropertyField="1">
      <sharedItems containsSemiMixedTypes="0" containsString="0"/>
    </cacheField>
    <cacheField name="[Dim TMC].[TMC_KPI].[TMCID].[TMC Name]" caption="TMC Name" propertyName="TMC Name" numFmtId="0" hierarchy="115" level="3" memberPropertyField="1">
      <sharedItems containsSemiMixedTypes="0" containsString="0"/>
    </cacheField>
    <cacheField name="[Dim TMC].[TMC_KPI].[TMCID].[TMC Name Base]" caption="Базовый ТМЦ" propertyName="TMC Name Base" numFmtId="0" hierarchy="115" level="3" memberPropertyField="1">
      <sharedItems containsSemiMixedTypes="0" containsString="0"/>
    </cacheField>
    <cacheField name="[Dim TMC].[TMC_KPI].[TMCID].[TMC Name Planning]" caption="ТМЦ планирования" propertyName="TMC Name Planning" numFmtId="0" hierarchy="115" level="3" memberPropertyField="1">
      <sharedItems containsSemiMixedTypes="0" containsString="0"/>
    </cacheField>
    <cacheField name="[Dim TMC].[TMC_KPI].[TMCID].[TMC Product Place]" caption="Место производства (текущее значение)" propertyName="TMC Product Place" numFmtId="0" hierarchy="115" level="3" memberPropertyField="1">
      <sharedItems containsSemiMixedTypes="0" containsString="0"/>
    </cacheField>
    <cacheField name="[Dim TMC].[TMC_KPI].[TMCID].[TMC Product Type]" caption="Тип ТМЦ для KPI" propertyName="TMC Product Type" numFmtId="0" hierarchy="115" level="3" memberPropertyField="1">
      <sharedItems containsSemiMixedTypes="0" containsString="0"/>
    </cacheField>
    <cacheField name="[Dim TMC].[TMC_KPI].[TMCID].[TMC Segment]" caption="Сегмент" propertyName="TMC Segment" numFmtId="0" hierarchy="115" level="3" memberPropertyField="1">
      <sharedItems containsSemiMixedTypes="0" containsString="0"/>
    </cacheField>
    <cacheField name="[Dim TMC].[TMC_KPI].[TMCID].[TMC Sub Segment]" caption="СубСегмент" propertyName="TMC Sub Segment" numFmtId="0" hierarchy="115" level="3" memberPropertyField="1">
      <sharedItems containsSemiMixedTypes="0" containsString="0"/>
    </cacheField>
    <cacheField name="[Dim TMC].[TMC_KPI].[TMCID].[TMC Type]" caption="Тип ТМЦ" propertyName="TMC Type" numFmtId="0" hierarchy="115" level="3" memberPropertyField="1">
      <sharedItems containsSemiMixedTypes="0" containsString="0"/>
    </cacheField>
    <cacheField name="[Dim TMC].[Product Type].[TMCID].[F]" caption="F" propertyName="F" numFmtId="0" hierarchy="91" level="3" memberPropertyField="1">
      <sharedItems containsSemiMixedTypes="0" containsString="0"/>
    </cacheField>
    <cacheField name="[Dim TMC].[TMC_KPI].[TMCID].[F]" caption="F" propertyName="F" numFmtId="0" hierarchy="115" level="3" memberPropertyField="1">
      <sharedItems containsSemiMixedTypes="0" containsString="0"/>
    </cacheField>
    <cacheField name="[Dim TMC].[Product Type].[TMCID].[Sales Price Group Desc]" caption="Ценовая группа" propertyName="Sales Price Group Desc" numFmtId="0" hierarchy="91" level="3" memberPropertyField="1">
      <sharedItems containsSemiMixedTypes="0" containsString="0"/>
    </cacheField>
    <cacheField name="[Dim TMC].[TMC_KPI].[TMCID].[Sales Price Group Desc]" caption="Ценовая группа" propertyName="Sales Price Group Desc" numFmtId="0" hierarchy="115" level="3" memberPropertyField="1">
      <sharedItems containsSemiMixedTypes="0" containsString="0"/>
    </cacheField>
    <cacheField name="[Dim Delivery Standards].[Standard ID].[Standard ID]" caption="Стандарт поставки" numFmtId="0" hierarchy="31" level="1">
      <sharedItems count="21">
        <s v="[Dim Delivery Standards].[Standard ID].&amp;[1531]" c="ООО НС Региональный склад - самовывоз со склада (Белгород)  UA"/>
        <s v="[Dim Delivery Standards].[Standard ID].&amp;[1512]" c="ООО НС Региональный склад - самовывоз со склада (Москва, Химки)  RU"/>
        <s v="[Dim Delivery Standards].[Standard ID].&amp;[1511]" c="ООО НС Региональный склад - самовывоз со склада (Москва, Химки)  UA"/>
        <s v="[Dim Delivery Standards].[Standard ID].&amp;[1552]" c="ООО НС Региональный склад - самовывоз со склада (Новосибирск)  RU"/>
        <s v="[Dim Delivery Standards].[Standard ID].&amp;[1551]" c="ООО НС Региональный склад - самовывоз со склада (Новосибирск)  UA"/>
        <s v="[Dim Delivery Standards].[Standard ID].&amp;[1522]" c="ООО НС Региональный склад - самовывоз со склада (Ростов на Дону)  RU"/>
        <s v="[Dim Delivery Standards].[Standard ID].&amp;[1521]" c="ООО НС Региональный склад - самовывоз со склада (Ростов на Дону)  UA"/>
        <s v="[Dim Delivery Standards].[Standard ID].&amp;[1542]" c="ООО НС Региональный склад - самовывоз со склада (Самара) RU"/>
        <s v="[Dim Delivery Standards].[Standard ID].&amp;[1541]" c="ООО НС Региональный склад - самовывоз со склада (Самара) UA"/>
        <s v="[Dim Delivery Standards].[Standard ID].&amp;[1312]" c="ООО НС С удаленного склада  - доставлено до клиента в регионе:со склада (Москва, Химки) в Центр RU"/>
        <s v="[Dim Delivery Standards].[Standard ID].&amp;[1311]" c="ООО НС С удаленного склада  - доставлено до клиента в регионе:со склада (Москва, Химки) в Центр UA"/>
        <s v="[Dim Delivery Standards].[Standard ID].&amp;[1352]" c="ООО НС С удаленного склада  - доставлено до клиента в регионе:со склада (Новосибирск) в Сибирь  RU"/>
        <s v="[Dim Delivery Standards].[Standard ID].&amp;[1351]" c="ООО НС С удаленного склада  - доставлено до клиента в регионе:со склада (Новосибирск) в Сибирь  UA"/>
        <s v="[Dim Delivery Standards].[Standard ID].&amp;[1322]" c="ООО НС С удаленного склада  - доставлено до клиента в регионе:со склада (Ростов на Дону) в Юг  RU"/>
        <s v="[Dim Delivery Standards].[Standard ID].&amp;[1321]" c="ООО НС С удаленного склада  - доставлено до клиента в регионе:со склада (Ростов на Дону) в Юг  UA"/>
        <s v="[Dim Delivery Standards].[Standard ID].&amp;[1382]" c="ООО НС С удаленного склада  - доставлено до клиента в регионе:со склада (Ростов) в Кавказ  RU"/>
        <s v="[Dim Delivery Standards].[Standard ID].&amp;[1381]" c="ООО НС С удаленного склада  - доставлено до клиента в регионе:со склада (Ростов) в Кавказ  UA"/>
        <s v="[Dim Delivery Standards].[Standard ID].&amp;[1342]" c="ООО НС С удаленного склада  - доставлено до клиента в регионе:со склада (Самара) в Поволжье RU"/>
        <s v="[Dim Delivery Standards].[Standard ID].&amp;[1341]" c="ООО НС С удаленного склада  - доставлено до клиента в регионе:со склада (Самара) в Поволжье UA"/>
        <s v="[Dim Delivery Standards].[Standard ID].&amp;[1371]" c="ООО НС С удаленного склада  - доставлено до клиента в регионе:со склада (Белгород) в Черноземье UA"/>
        <s v="[Dim Delivery Standards].[Standard ID].&amp;[1532]" u="1" c="ООО НС Региональный склад - самовывоз со склада (Белгород)  RU"/>
      </sharedItems>
    </cacheField>
    <cacheField name="[Dim Delivery Standards].[Standard ID].[Standard ID].[Standard ID Code]" caption="Код стандарта" propertyName="Standard ID Code" numFmtId="0" hierarchy="31" level="1" memberPropertyField="1">
      <sharedItems containsSemiMixedTypes="0" containsString="0"/>
    </cacheField>
    <cacheField name="[Dim Delivery Standards].[Standard ID].[Standard ID].[Standard Name Code]" caption="Стандарт поставки (код и наименов)" propertyName="Standard Name Code" numFmtId="0" hierarchy="31" level="1" memberPropertyField="1">
      <sharedItems containsSemiMixedTypes="0" containsString="0"/>
    </cacheField>
    <cacheField name="[Dim Delivery Standards].[Standard ID].[Standard ID].[Distribution Channel]" caption="Канал сбыта (стандарт поставки)" propertyName="Distribution Channel" numFmtId="0" hierarchy="31" level="1" memberPropertyField="1">
      <sharedItems containsSemiMixedTypes="0" containsString="0"/>
    </cacheField>
    <cacheField name="[Dim TMC].[Product Type].[TMCID].[TMC Trading Group]" caption="Торговая группа" propertyName="TMC Trading Group" numFmtId="0" hierarchy="91" level="3" memberPropertyField="1">
      <sharedItems containsSemiMixedTypes="0" containsString="0"/>
    </cacheField>
    <cacheField name="[Dim TMC].[TMC_KPI].[TMCID].[TMC Trading Group]" caption="Торговая группа" propertyName="TMC Trading Group" numFmtId="0" hierarchy="115" level="3" memberPropertyField="1">
      <sharedItems containsSemiMixedTypes="0" containsString="0"/>
    </cacheField>
    <cacheField name="[Dim TMC].[Product Type].[TMCID].[Sales Price Group ID]" caption="Ценовая группа Код" propertyName="Sales Price Group ID" numFmtId="0" hierarchy="91" level="3" memberPropertyField="1">
      <sharedItems containsSemiMixedTypes="0" containsString="0"/>
    </cacheField>
    <cacheField name="[Dim TMC].[TMC_KPI].[TMCID].[Sales Price Group ID]" caption="Ценовая группа Код" propertyName="Sales Price Group ID" numFmtId="0" hierarchy="115" level="3" memberPropertyField="1">
      <sharedItems containsSemiMixedTypes="0" containsString="0"/>
    </cacheField>
    <cacheField name="[Measures].[Sales QTY]" caption="Ф_Кол-во" numFmtId="0" hierarchy="178" level="32767"/>
    <cacheField name="[Dim TMC].[TMC Line Model].[TMC Line Model]" caption="Линия модели" numFmtId="0" hierarchy="103" level="1">
      <sharedItems count="290">
        <s v="[Dim TMC].[TMC Line Model].&amp;[4U]" c="4U"/>
        <s v="[Dim TMC].[TMC Line Model].&amp;[ABSOLUTE]" c="ABSOLUTE"/>
        <s v="[Dim TMC].[TMC Line Model].&amp;[ACTION GAME]" c="ACTION GAME"/>
        <s v="[Dim TMC].[TMC Line Model].&amp;[AIR]" c="AIR"/>
        <s v="[Dim TMC].[TMC Line Model].&amp;[ALFA]" c="ALFA"/>
        <s v="[Dim TMC].[TMC Line Model].&amp;[ALI]" c="ALI"/>
        <s v="[Dim TMC].[TMC Line Model].&amp;[ALICE]" c="ALICE"/>
        <s v="[Dim TMC].[TMC Line Model].&amp;[ALIYA]" c="ALIYA"/>
        <s v="[Dim TMC].[TMC Line Model].&amp;[ALLER]" c="ALLER"/>
        <s v="[Dim TMC].[TMC Line Model].&amp;[AMELY]" c="AMELY"/>
        <s v="[Dim TMC].[TMC Line Model].&amp;[ANGLE]" c="ANGLE"/>
        <s v="[Dim TMC].[TMC Line Model].&amp;[AQUA]" c="AQUA"/>
        <s v="[Dim TMC].[TMC Line Model].&amp;[ARGENTO]" c="ARGENTO"/>
        <s v="[Dim TMC].[TMC Line Model].&amp;[ARIZONA]" c="ARIZONA"/>
        <s v="[Dim TMC].[TMC Line Model].&amp;[ASCONA]" c="ASCONA"/>
        <s v="[Dim TMC].[TMC Line Model].&amp;[ATLANT]" c="ATLANT"/>
        <s v="[Dim TMC].[TMC Line Model].&amp;[BADEN]" c="BADEN"/>
        <s v="[Dim TMC].[TMC Line Model].&amp;[BAMBO]" c="BAMBO"/>
        <s v="[Dim TMC].[TMC Line Model].&amp;[BC-11]" c="BC-11"/>
        <s v="[Dim TMC].[TMC Line Model].&amp;[BERN]" c="BERN"/>
        <s v="[Dim TMC].[TMC Line Model].&amp;[BETTA]" c="BETTA"/>
        <s v="[Dim TMC].[TMC Line Model].&amp;[BLITZ]" c="BLITZ"/>
        <s v="[Dim TMC].[TMC Line Model].&amp;[BONN]" c="BONN"/>
        <s v="[Dim TMC].[TMC Line Model].&amp;[BOOM]" c="BOOM"/>
        <s v="[Dim TMC].[TMC Line Model].&amp;[BOOSTER]" c="BOOSTER"/>
        <s v="[Dim TMC].[TMC Line Model].&amp;[BOSS]" c="BOSS"/>
        <s v="[Dim TMC].[TMC Line Model].&amp;[BOSTON]" c="BOSTON"/>
        <s v="[Dim TMC].[TMC Line Model].&amp;[BRAVOS]" c="BRAVOS"/>
        <s v="[Dim TMC].[TMC Line Model].&amp;[BRUNO]" c="BRUNO"/>
        <s v="[Dim TMC].[TMC Line Model].&amp;[BUROKRAT]" c="BUROKRAT"/>
        <s v="[Dim TMC].[TMC Line Model].&amp;[CACTUS]" c="CACTUS"/>
        <s v="[Dim TMC].[TMC Line Model].&amp;[CADDY]" c="CADDY"/>
        <s v="[Dim TMC].[TMC Line Model].&amp;[CALIFORNIA]" c="CALIFORNIA"/>
        <s v="[Dim TMC].[TMC Line Model].&amp;[CAMILLA]" c="CAMILLA"/>
        <s v="[Dim TMC].[TMC Line Model].&amp;[CAMPARI]" c="CAMPARI"/>
        <s v="[Dim TMC].[TMC Line Model].&amp;[CARRY]" c="CARRY"/>
        <s v="[Dim TMC].[TMC Line Model].&amp;[CASEY]" c="CASEY"/>
        <s v="[Dim TMC].[TMC Line Model].&amp;[CHAMPION]" c="CHAMPION"/>
        <s v="[Dim TMC].[TMC Line Model].&amp;[CHESTER]" c="CHESTER"/>
        <s v="[Dim TMC].[TMC Line Model].&amp;[CHICO]" c="CHICO"/>
        <s v="[Dim TMC].[TMC Line Model].&amp;[CITY]" c="CITY"/>
        <s v="[Dim TMC].[TMC Line Model].&amp;[CLASSIC]" c="CLASSIC"/>
        <s v="[Dim TMC].[TMC Line Model].&amp;[CLEO]" c="CLEO"/>
        <s v="[Dim TMC].[TMC Line Model].&amp;[CLUB]" c="CLUB"/>
        <s v="[Dim TMC].[TMC Line Model].&amp;[COMBO]" c="COMBO"/>
        <s v="[Dim TMC].[TMC Line Model].&amp;[COMFORT]" c="COMFORT"/>
        <s v="[Dim TMC].[TMC Line Model].&amp;[CREDO]" c="CREDO"/>
        <s v="[Dim TMC].[TMC Line Model].&amp;[CRISTAL]" c="CRISTAL"/>
        <s v="[Dim TMC].[TMC Line Model].&amp;[CUBA]" c="CUBA"/>
        <s v="[Dim TMC].[TMC Line Model].&amp;[CUBIC]" c="CUBIC"/>
        <s v="[Dim TMC].[TMC Line Model].&amp;[DAKAR]" c="DAKAR"/>
        <s v="[Dim TMC].[TMC Line Model].&amp;[DELTA]" c="DELTA"/>
        <s v="[Dim TMC].[TMC Line Model].&amp;[DESILVA]" c="DESILVA"/>
        <s v="[Dim TMC].[TMC Line Model].&amp;[DIPLOMAT]" c="DIPLOMAT"/>
        <s v="[Dim TMC].[TMC Line Model].&amp;[DOLCE]" c="DOLCE"/>
        <s v="[Dim TMC].[TMC Line Model].&amp;[ELEGANT]" c="ELEGANT"/>
        <s v="[Dim TMC].[TMC Line Model].&amp;[ELLY]" c="ELLY"/>
        <s v="[Dim TMC].[TMC Line Model].&amp;[E-MOTION]" c="E-MOTION"/>
        <s v="[Dim TMC].[TMC Line Model].&amp;[ERA]" c="ERA"/>
        <s v="[Dim TMC].[TMC Line Model].&amp;[ERA GTP]" c="ERA GTP"/>
        <s v="[Dim TMC].[TMC Line Model].&amp;[EVOLUTION]" c="EVOLUTION"/>
        <s v="[Dim TMC].[TMC Line Model].&amp;[EXPERT]" c="EXPERT"/>
        <s v="[Dim TMC].[TMC Line Model].&amp;[FACTOR]" c="FACTOR"/>
        <s v="[Dim TMC].[TMC Line Model].&amp;[FALCON]" c="FALCON"/>
        <s v="[Dim TMC].[TMC Line Model].&amp;[FARAON]" c="FARAON"/>
        <s v="[Dim TMC].[TMC Line Model].&amp;[FAST-TIME]" c="FAST-TIME"/>
        <s v="[Dim TMC].[TMC Line Model].&amp;[FAVORIT]" c="FAVORIT"/>
        <s v="[Dim TMC].[TMC Line Model].&amp;[FENIX]" c="FENIX"/>
        <s v="[Dim TMC].[TMC Line Model].&amp;[FIDEL]" c="FIDEL"/>
        <s v="[Dim TMC].[TMC Line Model].&amp;[FLORIDA]" c="FLORIDA"/>
        <s v="[Dim TMC].[TMC Line Model].&amp;[FLORINO]" c="FLORINO"/>
        <s v="[Dim TMC].[TMC Line Model].&amp;[FLY]" c="FLY"/>
        <s v="[Dim TMC].[TMC Line Model].&amp;[FLY HB]" c="FLY HB"/>
        <s v="[Dim TMC].[TMC Line Model].&amp;[FORA]" c="FORA"/>
        <s v="[Dim TMC].[TMC Line Model].&amp;[FOREX]" c="FOREX"/>
        <s v="[Dim TMC].[TMC Line Model].&amp;[FORSAGE]" c="FORSAGE"/>
        <s v="[Dim TMC].[TMC Line Model].&amp;[FOSKA]" c="FOSKA"/>
        <s v="[Dim TMC].[TMC Line Model].&amp;[FOX]" c="FOX"/>
        <s v="[Dim TMC].[TMC Line Model].&amp;[FOX 12 +]" c="FOX 12 +"/>
        <s v="[Dim TMC].[TMC Line Model].&amp;[GALANT]" c="GALANT"/>
        <s v="[Dim TMC].[TMC Line Model].&amp;[GALAXY]" c="GALAXY"/>
        <s v="[Dim TMC].[TMC Line Model].&amp;[GAMER]" c="GAMER"/>
        <s v="[Dim TMC].[TMC Line Model].&amp;[GAMER TABLE]" c="GAMER TABLE"/>
        <s v="[Dim TMC].[TMC Line Model].&amp;[GEFEST]" c="GEFEST"/>
        <s v="[Dim TMC].[TMC Line Model].&amp;[GEOS]" c="GEOS"/>
        <s v="[Dim TMC].[TMC Line Model].&amp;[GERMES]" c="GERMES"/>
        <s v="[Dim TMC].[TMC Line Model].&amp;[GLEN]" c="GLEN"/>
        <s v="[Dim TMC].[TMC Line Model].&amp;[GLORY]" c="GLORY"/>
        <s v="[Dim TMC].[TMC Line Model].&amp;[GLORY KIDS]" c="GLORY KIDS"/>
        <s v="[Dim TMC].[TMC Line Model].&amp;[GOSU]" c="GOSU"/>
        <s v="[Dim TMC].[TMC Line Model].&amp;[HELLO]" c="HELLO"/>
        <s v="[Dim TMC].[TMC Line Model].&amp;[HEXTER ML]" c="HEXTER ML"/>
        <s v="[Dim TMC].[TMC Line Model].&amp;[HEXTER MX]" c="HEXTER MX"/>
        <s v="[Dim TMC].[TMC Line Model].&amp;[HEXTER PRO]" c="HEXTER PRO"/>
        <s v="[Dim TMC].[TMC Line Model].&amp;[HEXTER RC]" c="HEXTER RC"/>
        <s v="[Dim TMC].[TMC Line Model].&amp;[HEXTER XL]" c="HEXTER XL"/>
        <s v="[Dim TMC].[TMC Line Model].&amp;[HEXTER XR]" c="HEXTER XR"/>
        <s v="[Dim TMC].[TMC Line Model].&amp;[HIP-HOP]" c="HIP-HOP"/>
        <s v="[Dim TMC].[TMC Line Model].&amp;[INCANTO]" c="INCANTO"/>
        <s v="[Dim TMC].[TMC Line Model].&amp;[INTER]" c="INTER"/>
        <s v="[Dim TMC].[TMC Line Model].&amp;[IRIS]" c="IRIS"/>
        <s v="[Dim TMC].[TMC Line Model].&amp;[ISIT]" c="ISIT"/>
        <s v="[Dim TMC].[TMC Line Model].&amp;[ISO]" c="ISO"/>
        <s v="[Dim TMC].[TMC Line Model].&amp;[ISO GTP]" c="ISO GTP"/>
        <s v="[Dim TMC].[TMC Line Model].&amp;[ISO GTS]" c="ISO GTS"/>
        <s v="[Dim TMC].[TMC Line Model].&amp;[ISO NET]" c="ISO NET"/>
        <s v="[Dim TMC].[TMC Line Model].&amp;[JACK]" c="JACK"/>
        <s v="[Dim TMC].[TMC Line Model].&amp;[JOLA]" c="JOLA"/>
        <s v="[Dim TMC].[TMC Line Model].&amp;[JOY]" c="JOY"/>
        <s v="[Dim TMC].[TMC Line Model].&amp;[JUNIOR]" c="JUNIOR"/>
        <s v="[Dim TMC].[TMC Line Model].&amp;[JUPITER]" c="JUPITER"/>
        <s v="[Dim TMC].[TMC Line Model].&amp;[KAJA]" c="KAJA"/>
        <s v="[Dim TMC].[TMC Line Model].&amp;[KAJA EXT]" c="KAJA EXT"/>
        <s v="[Dim TMC].[TMC Line Model].&amp;[KARINA]" c="KARINA"/>
        <s v="[Dim TMC].[TMC Line Model].&amp;[KING]" c="KING"/>
        <s v="[Dim TMC].[TMC Line Model].&amp;[LABORANT]" c="LABORANT"/>
        <s v="[Dim TMC].[TMC Line Model].&amp;[LATINA]" c="LATINA"/>
        <s v="[Dim TMC].[TMC Line Model].&amp;[LEAVES]" c="LEAVES"/>
        <s v="[Dim TMC].[TMC Line Model].&amp;[LIBERTY]" c="LIBERTY"/>
        <s v="[Dim TMC].[TMC Line Model].&amp;[LILI]" c="LILI"/>
        <s v="[Dim TMC].[TMC Line Model].&amp;[LION]" c="LION"/>
        <s v="[Dim TMC].[TMC Line Model].&amp;[LIYA]" c="LIYA"/>
        <s v="[Dim TMC].[TMC Line Model].&amp;[LIYA GTS]" c="LIYA GTS"/>
        <s v="[Dim TMC].[TMC Line Model].&amp;[LOGICA]" c="LOGICA"/>
        <s v="[Dim TMC].[TMC Line Model].&amp;[LUIS]" c="LUIS"/>
        <s v="[Dim TMC].[TMC Line Model].&amp;[LUKAS]" c="LUKAS"/>
        <s v="[Dim TMC].[TMC Line Model].&amp;[MACRO]" c="MACRO"/>
        <s v="[Dim TMC].[TMC Line Model].&amp;[MALTA]" c="MALTA"/>
        <s v="[Dim TMC].[TMC Line Model].&amp;[MANAGER]" c="MANAGER"/>
        <s v="[Dim TMC].[TMC Line Model].&amp;[MARCO]" c="MARCO"/>
        <s v="[Dim TMC].[TMC Line Model].&amp;[MARINO]" c="MARINO"/>
        <s v="[Dim TMC].[TMC Line Model].&amp;[MARTIN]" c="MARTIN"/>
        <s v="[Dim TMC].[TMC Line Model].&amp;[MASTER]" c="MASTER"/>
        <s v="[Dim TMC].[TMC Line Model].&amp;[MASTER NET]" c="MASTER NET"/>
        <s v="[Dim TMC].[TMC Line Model].&amp;[MATRIX]" c="MATRIX"/>
        <s v="[Dim TMC].[TMC Line Model].&amp;[MEDICO]" c="MEDICO"/>
        <s v="[Dim TMC].[TMC Line Model].&amp;[MELANIA]" c="MELANIA"/>
        <s v="[Dim TMC].[TMC Line Model].&amp;[MERI]" c="MERI"/>
        <s v="[Dim TMC].[TMC Line Model].&amp;[MERI GTS]" c="MERI GTS"/>
        <s v="[Dim TMC].[TMC Line Model].&amp;[MEXICO]" c="MEXICO"/>
        <s v="[Dim TMC].[TMC Line Model].&amp;[MILANA]" c="MILANA"/>
        <s v="[Dim TMC].[TMC Line Model].&amp;[MILANA GTS]" c="MILANA GTS"/>
        <s v="[Dim TMC].[TMC Line Model].&amp;[MINISTER]" c="MINISTER"/>
        <s v="[Dim TMC].[TMC Line Model].&amp;[MINISTYLE]" c="MINISTYLE"/>
        <s v="[Dim TMC].[TMC Line Model].&amp;[MODERN]" c="MODERN"/>
        <s v="[Dim TMC].[TMC Line Model].&amp;[MODUS]" c="MODUS"/>
        <s v="[Dim TMC].[TMC Line Model].&amp;[MORFEO]" c="MORFEO"/>
        <s v="[Dim TMC].[TMC Line Model].&amp;[MUZA]" c="MUZA"/>
        <s v="[Dim TMC].[TMC Line Model].&amp;[NADIR]" c="NADIR"/>
        <s v="[Dim TMC].[TMC Line Model].&amp;[NAVIGO]" c="NAVIGO"/>
        <s v="[Dim TMC].[TMC Line Model].&amp;[NEO]" c="NEO"/>
        <s v="[Dim TMC].[TMC Line Model].&amp;[NERON]" c="NERON"/>
        <s v="[Dim TMC].[TMC Line Model].&amp;[NETWORK]" c="NETWORK"/>
        <s v="[Dim TMC].[TMC Line Model].&amp;[NETWORK CF]" c="NETWORK CF"/>
        <s v="[Dim TMC].[TMC Line Model].&amp;[NEXUS]" c="NEXUS"/>
        <s v="[Dim TMC].[TMC Line Model].&amp;[NICOLE]" c="NICOLE"/>
        <s v="[Dim TMC].[TMC Line Model].&amp;[NIK]" c="NIK"/>
        <s v="[Dim TMC].[TMC Line Model].&amp;[N-JOY]" c="N-JOY"/>
        <s v="[Dim TMC].[TMC Line Model].&amp;[NOVA]" c="NOVA"/>
        <s v="[Dim TMC].[TMC Line Model].&amp;[OFFICE]" c="OFFICE"/>
        <s v="[Dim TMC].[TMC Line Model].&amp;[OFFIX]" c="OFFIX"/>
        <s v="[Dim TMC].[TMC Line Model].&amp;[OLIVIA]" c="OLIVIA"/>
        <s v="[Dim TMC].[TMC Line Model].&amp;[OMEGA]" c="OMEGA"/>
        <s v="[Dim TMC].[TMC Line Model].&amp;[ORION]" c="ORION"/>
        <s v="[Dim TMC].[TMC Line Model].&amp;[ORLY]" c="ORLY"/>
        <s v="[Dim TMC].[TMC Line Model].&amp;[ORMAN]" c="ORMAN"/>
        <s v="[Dim TMC].[TMC Line Model].&amp;[OSTIN]" c="OSTIN"/>
        <s v="[Dim TMC].[TMC Line Model].&amp;[PARTNER]" c="PARTNER"/>
        <s v="[Dim TMC].[TMC Line Model].&amp;[PERFECT]" c="PERFECT"/>
        <s v="[Dim TMC].[TMC Line Model].&amp;[PIKE]" c="PIKE"/>
        <s v="[Dim TMC].[TMC Line Model].&amp;[PILOT]" c="PILOT"/>
        <s v="[Dim TMC].[TMC Line Model].&amp;[PINACOLADA]" c="PINACOLADA"/>
        <s v="[Dim TMC].[TMC Line Model].&amp;[POLLY]" c="POLLY"/>
        <s v="[Dim TMC].[TMC Line Model].&amp;[PRAGMATIC]" c="PRAGMATIC"/>
        <s v="[Dim TMC].[TMC Line Model].&amp;[PRESTIGE]" c="PRESTIGE"/>
        <s v="[Dim TMC].[TMC Line Model].&amp;[PRIME]" c="PRIME"/>
        <s v="[Dim TMC].[TMC Line Model].&amp;[PRINCESS]" c="PRINCESS"/>
        <s v="[Dim TMC].[TMC Line Model].&amp;[RACER]" c="RACER"/>
        <s v="[Dim TMC].[TMC Line Model].&amp;[RALPH]" c="RALPH"/>
        <s v="[Dim TMC].[TMC Line Model].&amp;[RALPH GTP]" c="RALPH GTP"/>
        <s v="[Dim TMC].[TMC Line Model].&amp;[RALPH HOKER]" c="RALPH HOKER"/>
        <s v="[Dim TMC].[TMC Line Model].&amp;[RAY]" c="RAY"/>
        <s v="[Dim TMC].[TMC Line Model].&amp;[RECORD]" c="RECORD"/>
        <s v="[Dim TMC].[TMC Line Model].&amp;[REGAL]" c="REGAL"/>
        <s v="[Dim TMC].[TMC Line Model].&amp;[RIGA]" c="RIGA"/>
        <s v="[Dim TMC].[TMC Line Model].&amp;[ROLLER]" c="ROLLER"/>
        <s v="[Dim TMC].[TMC Line Model].&amp;[ROSE]" c="ROSE"/>
        <s v="[Dim TMC].[TMC Line Model].&amp;[ROSE XL]" c="ROSE XL"/>
        <s v="[Dim TMC].[TMC Line Model].&amp;[ROZANA]" c="ROZANA"/>
        <s v="[Dim TMC].[TMC Line Model].&amp;[RUBY]" c="RUBY"/>
        <s v="[Dim TMC].[TMC Line Model].&amp;[SALSA]" c="SALSA"/>
        <s v="[Dim TMC].[TMC Line Model].&amp;[SAMBA]" c="SAMBA"/>
        <s v="[Dim TMC].[TMC Line Model].&amp;[SAMBA GTP]" c="SAMBA GTP"/>
        <s v="[Dim TMC].[TMC Line Model].&amp;[SATURN]" c="SATURN"/>
        <s v="[Dim TMC].[TMC Line Model].&amp;[SE]" c="SE"/>
        <s v="[Dim TMC].[TMC Line Model].&amp;[SEVEN]" c="SEVEN"/>
        <s v="[Dim TMC].[TMC Line Model].&amp;[SHELLI]" c="SHELLI"/>
        <s v="[Dim TMC].[TMC Line Model].&amp;[SLIM]" c="SLIM"/>
        <s v="[Dim TMC].[TMC Line Model].&amp;[SOFI]" c="SOFI"/>
        <s v="[Dim TMC].[TMC Line Model].&amp;[SOLO]" c="SOLO"/>
        <s v="[Dim TMC].[TMC Line Model].&amp;[SONATA]" c="SONATA"/>
        <s v="[Dim TMC].[TMC Line Model].&amp;[SONIA]" c="SONIA"/>
        <s v="[Dim TMC].[TMC Line Model].&amp;[SPLIT]" c="SPLIT"/>
        <s v="[Dim TMC].[TMC Line Model].&amp;[SPRINT]" c="SPRINT"/>
        <s v="[Dim TMC].[TMC Line Model].&amp;[STAFF]" c="STAFF"/>
        <s v="[Dim TMC].[TMC Line Model].&amp;[STANDART]" c="STANDART"/>
        <s v="[Dim TMC].[TMC Line Model].&amp;[STAR]" c="STAR"/>
        <s v="[Dim TMC].[TMC Line Model].&amp;[STARK]" c="STARK"/>
        <s v="[Dim TMC].[TMC Line Model].&amp;[STILO]" c="STILO"/>
        <s v="[Dim TMC].[TMC Line Model].&amp;[STOOL]" c="STOOL"/>
        <s v="[Dim TMC].[TMC Line Model].&amp;[SUCCESS]" c="SUCCESS"/>
        <s v="[Dim TMC].[TMC Line Model].&amp;[SWIFT]" c="SWIFT"/>
        <s v="[Dim TMC].[TMC Line Model].&amp;[SYLWIA]" c="SYLWIA"/>
        <s v="[Dim TMC].[TMC Line Model].&amp;[SYLWIA LUX]" c="SYLWIA LUX"/>
        <s v="[Dim TMC].[TMC Line Model].&amp;[TAILER]" c="TAILER"/>
        <s v="[Dim TMC].[TMC Line Model].&amp;[TAKTIK]" c="TAKTIK"/>
        <s v="[Dim TMC].[TMC Line Model].&amp;[TALIO]" c="TALIO"/>
        <s v="[Dim TMC].[TMC Line Model].&amp;[TASK]" c="TASK"/>
        <s v="[Dim TMC].[TMC Line Model].&amp;[TASK GTP]" c="TASK GTP"/>
        <s v="[Dim TMC].[TMC Line Model].&amp;[T-BOOK]" c="T-BOOK"/>
        <s v="[Dim TMC].[TMC Line Model].&amp;[TEDDY]" c="TEDDY"/>
        <s v="[Dim TMC].[TMC Line Model].&amp;[TELA]" c="TELA"/>
        <s v="[Dim TMC].[TMC Line Model].&amp;[TEMPO]" c="TEMPO"/>
        <s v="[Dim TMC].[TMC Line Model].&amp;[TETRA]" c="TETRA"/>
        <s v="[Dim TMC].[TMC Line Model].&amp;[TINA]" c="TINA"/>
        <s v="[Dim TMC].[TMC Line Model].&amp;[TIRAMISU]" c="TIRAMISU"/>
        <s v="[Dim TMC].[TMC Line Model].&amp;[TIZIANO]" c="TIZIANO"/>
        <s v="[Dim TMC].[TMC Line Model].&amp;[TOKYO]" c="TOKYO"/>
        <s v="[Dim TMC].[TMC Line Model].&amp;[TRACY]" c="TRACY"/>
        <s v="[Dim TMC].[TMC Line Model].&amp;[TRADE]" c="TRADE"/>
        <s v="[Dim TMC].[TMC Line Model].&amp;[TULIPAN]" c="TULIPAN"/>
        <s v="[Dim TMC].[TMC Line Model].&amp;[TURBO]" c="TURBO"/>
        <s v="[Dim TMC].[TMC Line Model].&amp;[TUTTI]" c="TUTTI"/>
        <s v="[Dim TMC].[TMC Line Model].&amp;[VALETTA]" c="VALETTA"/>
        <s v="[Dim TMC].[TMC Line Model].&amp;[VEGA]" c="VEGA"/>
        <s v="[Dim TMC].[TMC Line Model].&amp;[VENEZIA]" c="VENEZIA"/>
        <s v="[Dim TMC].[TMC Line Model].&amp;[VENSAN]" c="VENSAN"/>
        <s v="[Dim TMC].[TMC Line Model].&amp;[VENSAN GTP]" c="VENSAN GTP"/>
        <s v="[Dim TMC].[TMC Line Model].&amp;[VENTA]" c="VENTA"/>
        <s v="[Dim TMC].[TMC Line Model].&amp;[VENUS]" c="VENUS"/>
        <s v="[Dim TMC].[TMC Line Model].&amp;[VERONA]" c="VERONA"/>
        <s v="[Dim TMC].[TMC Line Model].&amp;[VICTORY]" c="VICTORY"/>
        <s v="[Dim TMC].[TMC Line Model].&amp;[VINNY]" c="VINNY"/>
        <s v="[Dim TMC].[TMC Line Model].&amp;[VIOLA]" c="VIOLA"/>
        <s v="[Dim TMC].[TMC Line Model].&amp;[VISION]" c="VISION"/>
        <s v="[Dim TMC].[TMC Line Model].&amp;[VISITOR]" c="VISITOR"/>
        <s v="[Dim TMC].[TMC Line Model].&amp;[VISTA]" c="VISTA"/>
        <s v="[Dim TMC].[TMC Line Model].&amp;[VULKANO]" c="VULKANO"/>
        <s v="[Dim TMC].[TMC Line Model].&amp;[WAIT]" c="WAIT"/>
        <s v="[Dim TMC].[TMC Line Model].&amp;[WAIT GTP]" c="WAIT GTP"/>
        <s v="[Dim TMC].[TMC Line Model].&amp;[WEBSTAR]" c="WEBSTAR"/>
        <s v="[Dim TMC].[TMC Line Model].&amp;[WERZALIT]" c="WERZALIT"/>
        <s v="[Dim TMC].[TMC Line Model].&amp;[WESTER]" c="WESTER"/>
        <s v="[Dim TMC].[TMC Line Model].&amp;[WESTER GTP]" c="WESTER GTP"/>
        <s v="[Dim TMC].[TMC Line Model].&amp;[WIKTOR]" c="WIKTOR"/>
        <s v="[Dim TMC].[TMC Line Model].&amp;[WINNER]" c="WINNER"/>
        <s v="[Dim TMC].[TMC Line Model].&amp;[XEON]" c="XEON"/>
        <s v="[Dim TMC].[TMC Line Model].&amp;[YAPPI]" c="YAPPI"/>
        <s v="[Dim TMC].[TMC Line Model].&amp;[ZENITH]" c="ZENITH"/>
        <s v="[Dim TMC].[TMC Line Model].&amp;[ZETA]" c="ZETA"/>
        <s v="[Dim TMC].[TMC Line Model].&amp;[РАМА  SUNNY]" c="РАМА  SUNNY"/>
        <s v="[Dim TMC].[TMC Line Model].&amp;[РАМА 4L]" c="РАМА 4L"/>
        <s v="[Dim TMC].[TMC Line Model].&amp;[РАМА 4LХ]" c="РАМА 4LХ"/>
        <s v="[Dim TMC].[TMC Line Model].&amp;[РАМА CF]" c="РАМА CF"/>
        <s v="[Dim TMC].[TMC Line Model].&amp;[РАМА CFS]" c="РАМА CFS"/>
        <s v="[Dim TMC].[TMC Line Model].&amp;[РАМА HANNA]" c="РАМА HANNA"/>
        <s v="[Dim TMC].[TMC Line Model].&amp;[РАМА LOFT]" c="РАМА LOFT"/>
        <s v="[Dim TMC].[TMC Line Model].&amp;[РАМА WOOD]" c="РАМА WOOD"/>
        <s v="[Dim TMC].[TMC Line Model].&amp;[СИДЕНЬЕ D34]" c="СИДЕНЬЕ D34"/>
        <s v="[Dim TMC].[TMC Line Model].&amp;[СИДЕНЬЕ D38]" c="СИДЕНЬЕ D38"/>
        <s v="[Dim TMC].[TMC Line Model].&amp;[СИДЕНЬЕ D40]" c="СИДЕНЬЕ D40"/>
        <s v="[Dim TMC].[TMC Line Model].&amp;[СКАМЬЯ E-661]" c="СКАМЬЯ E-661"/>
        <s v="[Dim TMC].[TMC Line Model].&amp;[СТОЛ ДЛЯ СТОЛОВОЙ E-561]" c="СТОЛ ДЛЯ СТОЛОВОЙ E-561"/>
        <s v="[Dim TMC].[TMC Line Model].&amp;[СТОЛ КОНФЕРЕНЦ. E-301]" c="СТОЛ КОНФЕРЕНЦ. E-301"/>
        <s v="[Dim TMC].[TMC Line Model].&amp;[Стол регулируемый OLLY]" c="Стол регулируемый OLLY"/>
        <s v="[Dim TMC].[TMC Line Model].&amp;[СТОЛ УЧЕН. E-161]" c="СТОЛ УЧЕН. E-161"/>
        <s v="[Dim TMC].[TMC Line Model].&amp;[СТОЛ УЧЕН. E-162]" c="СТОЛ УЧЕН. E-162"/>
        <s v="[Dim TMC].[TMC Line Model].&amp;[СТОЛ УЧЕН. E-163]" c="СТОЛ УЧЕН. E-163"/>
        <s v="[Dim TMC].[TMC Line Model].&amp;[СТОЛ УЧЕН. E-173]" c="СТОЛ УЧЕН. E-173"/>
        <s v="[Dim TMC].[TMC Line Model].&amp;[СТОЛ УЧЕН. E-174]" c="СТОЛ УЧЕН. E-174"/>
        <s v="[Dim TMC].[TMC Line Model].&amp;[СТОЛ УЧЕН. E-175]" c="СТОЛ УЧЕН. E-175"/>
        <s v="[Dim TMC].[TMC Line Model].&amp;[СТОЛ УЧЕН. E-178]" c="СТОЛ УЧЕН. E-178"/>
        <s v="[Dim TMC].[TMC Line Model].&amp;[Столешницы барного стола]" c="Столешницы барного стола"/>
        <s v="[Dim TMC].[TMC Line Model].&amp;[СТУЛ УЧЕН. E-261]" c="СТУЛ УЧЕН. E-261"/>
        <s v="[Dim TMC].[TMC Line Model].&amp;[СТУЛ УЧЕН. E-263]" c="СТУЛ УЧЕН. E-263"/>
        <s v="[Dim TMC].[TMC Line Model].&amp;[СТУЛ УЧЕН. E-264]" c="СТУЛ УЧЕН. E-264"/>
        <s v="[Dim TMC].[TMC Line Model].&amp;[СТУЛ УЧЕН. E-266]" c="СТУЛ УЧЕН. E-266"/>
        <s v="[Dim TMC].[TMC Line Model].&amp;[СТУЛ УЧЕН. E-273]" c="СТУЛ УЧЕН. E-273"/>
        <s v="[Dim TMC].[TMC Line Model].&amp;[СТУЛ УЧЕН. E-274]" c="СТУЛ УЧЕН. E-274"/>
        <s v="[Dim TMC].[TMC Line Model].&amp;[СТУЛ УЧЕН. E-275]" c="СТУЛ УЧЕН. E-275"/>
      </sharedItems>
    </cacheField>
    <cacheField name="[Dim TMC].[Product Type].[TMCID].[Project SSPV Name]" caption="Проект ССП(в)" propertyName="Project SSPV Name" numFmtId="0" hierarchy="91" level="3" memberPropertyField="1">
      <sharedItems containsSemiMixedTypes="0" containsString="0"/>
    </cacheField>
    <cacheField name="[Dim TMC].[Product Type].[TMCID].[Project SSPVID]" caption="Проект ССП(в) Код" propertyName="Project SSPVID" numFmtId="0" hierarchy="91" level="3" memberPropertyField="1">
      <sharedItems containsSemiMixedTypes="0" containsString="0"/>
    </cacheField>
    <cacheField name="[Dim TMC].[Product Type].[TMCID].[TMC Production Line Code]" caption="Производственная линия Код" propertyName="TMC Production Line Code" numFmtId="0" hierarchy="91" level="3" memberPropertyField="1">
      <sharedItems containsSemiMixedTypes="0" containsString="0"/>
    </cacheField>
    <cacheField name="[Dim TMC].[Product Type].[TMCID].[TMC Production Line Name]" caption="Производственная линия" propertyName="TMC Production Line Name" numFmtId="0" hierarchy="91" level="3" memberPropertyField="1">
      <sharedItems containsSemiMixedTypes="0" containsString="0"/>
    </cacheField>
    <cacheField name="[Dim TMC].[TMC_KPI].[TMCID].[Project SSPV Name]" caption="Проект ССП(в)" propertyName="Project SSPV Name" numFmtId="0" hierarchy="115" level="3" memberPropertyField="1">
      <sharedItems containsSemiMixedTypes="0" containsString="0"/>
    </cacheField>
    <cacheField name="[Dim TMC].[TMC_KPI].[TMCID].[Project SSPVID]" caption="Проект ССП(в) Код" propertyName="Project SSPVID" numFmtId="0" hierarchy="115" level="3" memberPropertyField="1">
      <sharedItems containsSemiMixedTypes="0" containsString="0"/>
    </cacheField>
    <cacheField name="[Dim TMC].[TMC_KPI].[TMCID].[TMC Production Line Code]" caption="Производственная линия Код" propertyName="TMC Production Line Code" numFmtId="0" hierarchy="115" level="3" memberPropertyField="1">
      <sharedItems containsSemiMixedTypes="0" containsString="0"/>
    </cacheField>
    <cacheField name="[Dim TMC].[TMC_KPI].[TMCID].[TMC Production Line Name]" caption="Производственная линия" propertyName="TMC Production Line Name" numFmtId="0" hierarchy="115" level="3" memberPropertyField="1">
      <sharedItems containsSemiMixedTypes="0" containsString="0"/>
    </cacheField>
    <cacheField name="[Dim CFO Simple].[CFOID].[CFOID]" caption="ЦФО без иерархии" numFmtId="0" hierarchy="1" level="1">
      <sharedItems containsSemiMixedTypes="0" containsString="0"/>
    </cacheField>
    <cacheField name="[Dim Market For Strategic].[Market For Strategic ID].[Market For Strategic ID]" caption="Рынок под стратегические цели" numFmtId="0" hierarchy="40" level="1">
      <sharedItems containsSemiMixedTypes="0" containsString="0"/>
    </cacheField>
    <cacheField name="[Measures].[Sales SUM Base Currency Fact]" caption="Ф_UCH_Доход" numFmtId="0" hierarchy="640" level="32767"/>
  </cacheFields>
  <cacheHierarchies count="1156">
    <cacheHierarchy uniqueName="[Dim CFO].[CFO Parent ID]" caption="ЦФО" defaultMemberUniqueName="[Dim CFO].[CFO Parent ID].[All]" allUniqueName="[Dim CFO].[CFO Parent ID].[All]" dimensionUniqueName="[Dim CFO]" displayFolder="" count="3" unbalanced="1">
      <fieldsUsage count="3">
        <fieldUsage x="-1"/>
        <fieldUsage x="18"/>
        <fieldUsage x="19"/>
      </fieldsUsage>
    </cacheHierarchy>
    <cacheHierarchy uniqueName="[Dim CFO Simple].[CFOID]" caption="ЦФО без иерархии" attribute="1" keyAttribute="1" defaultMemberUniqueName="[Dim CFO Simple].[CFOID].[All]" allUniqueName="[Dim CFO Simple].[CFOID].[All]" dimensionUniqueName="[Dim CFO Simple]" displayFolder="" count="2" unbalanced="0">
      <fieldsUsage count="2">
        <fieldUsage x="-1"/>
        <fieldUsage x="70"/>
      </fieldsUsage>
    </cacheHierarchy>
    <cacheHierarchy uniqueName="[Dim CityOrder].[City]" caption="Город Заказа" attribute="1" keyAttribute="1" defaultMemberUniqueName="[Dim CityOrder].[City].[All]" allUniqueName="[Dim CityOrder].[City].[All]" dimensionUniqueName="[Dim CityOrder]" displayFolder="" count="0" unbalanced="0"/>
    <cacheHierarchy uniqueName="[Dim Clearance Date].[Date ID]" caption="Дата ГТД.Дата" attribute="1" time="1" keyAttribute="1" defaultMemberUniqueName="[Dim Clearance Date].[Date ID].[All]" allUniqueName="[Dim Clearance Date].[Date ID].[All]" dimensionUniqueName="[Dim Clearance Date]" displayFolder="" count="0" memberValueDatatype="7" unbalanced="0"/>
    <cacheHierarchy uniqueName="[Dim Clearance Date].[Day Of Month]" caption="Дата ГТД.День месяца" attribute="1" time="1" defaultMemberUniqueName="[Dim Clearance Date].[Day Of Month].[All]" allUniqueName="[Dim Clearance Date].[Day Of Month].[All]" dimensionUniqueName="[Dim Clearance Date]" displayFolder="" count="0" unbalanced="0"/>
    <cacheHierarchy uniqueName="[Dim Clearance Date].[Month]" caption="Дата ГТД.Месяц" attribute="1" time="1" defaultMemberUniqueName="[Dim Clearance Date].[Month].[All]" allUniqueName="[Dim Clearance Date].[Month].[All]" dimensionUniqueName="[Dim Clearance Date]" displayFolder="" count="2" unbalanced="0">
      <fieldsUsage count="2">
        <fieldUsage x="-1"/>
        <fieldUsage x="23"/>
      </fieldsUsage>
    </cacheHierarchy>
    <cacheHierarchy uniqueName="[Dim Clearance Date].[Month Of Year]" caption="Дата ГТД.Месяц года" attribute="1" time="1" defaultMemberUniqueName="[Dim Clearance Date].[Month Of Year].[All]" allUniqueName="[Dim Clearance Date].[Month Of Year].[All]" dimensionUniqueName="[Dim Clearance Date]" displayFolder="" count="0" unbalanced="0"/>
    <cacheHierarchy uniqueName="[Dim Clearance Date].[Week]" caption="Дата ГТД.Неделя" attribute="1" time="1" defaultMemberUniqueName="[Dim Clearance Date].[Week].[All]" allUniqueName="[Dim Clearance Date].[Week].[All]" dimensionUniqueName="[Dim Clearance Date]" displayFolder="" count="0" unbalanced="0"/>
    <cacheHierarchy uniqueName="[Dim Clearance Date].[Year]" caption="Дата ГТД.Год" attribute="1" time="1" defaultMemberUniqueName="[Dim Clearance Date].[Year].[All]" allUniqueName="[Dim Clearance Date].[Year].[All]" dimensionUniqueName="[Dim Clearance Date]" displayFolder="" count="2" unbalanced="0">
      <fieldsUsage count="2">
        <fieldUsage x="-1"/>
        <fieldUsage x="22"/>
      </fieldsUsage>
    </cacheHierarchy>
    <cacheHierarchy uniqueName="[Dim Clearance Date].[Year - Month]" caption="Дата ГТД.Год - Месяц" time="1" defaultMemberUniqueName="[Dim Clearance Date].[Year - Month].[All]" allUniqueName="[Dim Clearance Date].[Year - Month].[All]" dimensionUniqueName="[Dim Clearance Date]" displayFolder="" count="0" unbalanced="0"/>
    <cacheHierarchy uniqueName="[Dim Clearance Date].[Year - Month - Day]" caption="Дата ГТД.Год - Месяц - Дата" time="1" defaultMemberUniqueName="[Dim Clearance Date].[Year - Month - Day].[All]" allUniqueName="[Dim Clearance Date].[Year - Month - Day].[All]" dimensionUniqueName="[Dim Clearance Date]" displayFolder="" count="0" unbalanced="0"/>
    <cacheHierarchy uniqueName="[Dim Clearance Date].[YWD]" caption="Дата ГТД.Год - Неделя - День" time="1" defaultMemberUniqueName="[Dim Clearance Date].[YWD].[All]" allUniqueName="[Dim Clearance Date].[YWD].[All]" dimensionUniqueName="[Dim Clearance Date]" displayFolder="" count="0" unbalanced="0"/>
    <cacheHierarchy uniqueName="[Dim Contract].[Contract]" caption="Участок" attribute="1" keyAttribute="1" defaultMemberUniqueName="[Dim Contract].[Contract].[All]" allUniqueName="[Dim Contract].[Contract].[All]" dimensionUniqueName="[Dim Contract]" displayFolder="" count="0" unbalanced="0"/>
    <cacheHierarchy uniqueName="[Dim Currency].[Currency ID]" caption="Валюта.Код валюты" attribute="1" keyAttribute="1" defaultMemberUniqueName="[Dim Currency].[Currency ID].[All]" allUniqueName="[Dim Currency].[Currency ID].[All]" dimensionUniqueName="[Dim Currency]" displayFolder="" count="0" unbalanced="0"/>
    <cacheHierarchy uniqueName="[Dim CurrencyBase].[Currency ID]" caption="Базовая валюта учета.Код валюты" attribute="1" keyAttribute="1" defaultMemberUniqueName="[Dim CurrencyBase].[Currency ID].[All]" allUniqueName="[Dim CurrencyBase].[Currency ID].[All]" dimensionUniqueName="[Dim CurrencyBase]" displayFolder="" count="0" unbalanced="0"/>
    <cacheHierarchy uniqueName="[Dim Customers].[Country]" caption="Страна-Клиент" defaultMemberUniqueName="[Dim Customers].[Country].[All]" allUniqueName="[Dim Customers].[Country].[All]" dimensionUniqueName="[Dim Customers]" displayFolder="" count="4" unbalanced="0"/>
    <cacheHierarchy uniqueName="[Dim Customers].[Country ID]" caption="Страна" attribute="1" defaultMemberUniqueName="[Dim Customers].[Country ID].[All]" allUniqueName="[Dim Customers].[Country ID].[All]" dimensionUniqueName="[Dim Customers]" displayFolder="" count="0" unbalanced="0"/>
    <cacheHierarchy uniqueName="[Dim Customers].[Customer Code]" caption="Код клиента" attribute="1" defaultMemberUniqueName="[Dim Customers].[Customer Code].[All]" allUniqueName="[Dim Customers].[Customer Code].[All]" dimensionUniqueName="[Dim Customers]" displayFolder="" count="0" unbalanced="0"/>
    <cacheHierarchy uniqueName="[Dim Customers].[Customer Hierarchy Name]" caption="Иерархия" attribute="1" defaultMemberUniqueName="[Dim Customers].[Customer Hierarchy Name].[All]" allUniqueName="[Dim Customers].[Customer Hierarchy Name].[All]" dimensionUniqueName="[Dim Customers]" displayFolder="" count="0" unbalanced="0"/>
    <cacheHierarchy uniqueName="[Dim Customers].[Customer ID]" caption="Клиент" attribute="1" keyAttribute="1" defaultMemberUniqueName="[Dim Customers].[Customer ID].[All]" allUniqueName="[Dim Customers].[Customer ID].[All]" dimensionUniqueName="[Dim Customers]" displayFolder="" count="0" unbalanced="0"/>
    <cacheHierarchy uniqueName="[Dim Customers].[Customer Workgroup]" caption="Рабочая группа" attribute="1" defaultMemberUniqueName="[Dim Customers].[Customer Workgroup].[All]" allUniqueName="[Dim Customers].[Customer Workgroup].[All]" dimensionUniqueName="[Dim Customers]" displayFolder="" count="0" unbalanced="0"/>
    <cacheHierarchy uniqueName="[Dim Customers].[Head Customer ID]" caption="Код головного клиента" attribute="1" defaultMemberUniqueName="[Dim Customers].[Head Customer ID].[All]" allUniqueName="[Dim Customers].[Head Customer ID].[All]" dimensionUniqueName="[Dim Customers]" displayFolder="" count="0" unbalanced="0"/>
    <cacheHierarchy uniqueName="[Dim Customers].[Head Customer Name]" caption="Головной клиент" attribute="1" defaultMemberUniqueName="[Dim Customers].[Head Customer Name].[All]" allUniqueName="[Dim Customers].[Head Customer Name].[All]" dimensionUniqueName="[Dim Customers]" displayFolder="" count="0" unbalanced="0"/>
    <cacheHierarchy uniqueName="[Dim Customers].[Market Name]" caption="Рынок блокирования" attribute="1" defaultMemberUniqueName="[Dim Customers].[Market Name].[All]" allUniqueName="[Dim Customers].[Market Name].[All]" dimensionUniqueName="[Dim Customers]" displayFolder="" count="0" unbalanced="0"/>
    <cacheHierarchy uniqueName="[Dim Customers].[Region ID]" caption="Регион по-умолчанию" attribute="1" defaultMemberUniqueName="[Dim Customers].[Region ID].[All]" allUniqueName="[Dim Customers].[Region ID].[All]" dimensionUniqueName="[Dim Customers]" displayFolder="" count="0" unbalanced="0"/>
    <cacheHierarchy uniqueName="[Dim Customers].[Sale Dept ID]" caption="Отдел Продаж" attribute="1" defaultMemberUniqueName="[Dim Customers].[Sale Dept ID].[All]" allUniqueName="[Dim Customers].[Sale Dept ID].[All]" dimensionUniqueName="[Dim Customers]" displayFolder="" count="0" unbalanced="0"/>
    <cacheHierarchy uniqueName="[Dim Customers].[Sale Man ID]" caption="Менеджер" attribute="1" defaultMemberUniqueName="[Dim Customers].[Sale Man ID].[All]" allUniqueName="[Dim Customers].[Sale Man ID].[All]" dimensionUniqueName="[Dim Customers]" displayFolder="" count="0" unbalanced="0"/>
    <cacheHierarchy uniqueName="[Dim Customers].[SaleMan]" caption="Менеджер - Клиент" defaultMemberUniqueName="[Dim Customers].[SaleMan].[All]" allUniqueName="[Dim Customers].[SaleMan].[All]" dimensionUniqueName="[Dim Customers]" displayFolder="" count="4" unbalanced="0"/>
    <cacheHierarchy uniqueName="[Dim Customers].[Sales Channel Default]" caption="Канал сбыта по умолчанию" attribute="1" defaultMemberUniqueName="[Dim Customers].[Sales Channel Default].[All]" allUniqueName="[Dim Customers].[Sales Channel Default].[All]" dimensionUniqueName="[Dim Customers]" displayFolder="" count="0" unbalanced="0"/>
    <cacheHierarchy uniqueName="[Dim Customers].[SalesDepart]" caption="ОП - Клиент" defaultMemberUniqueName="[Dim Customers].[SalesDepart].[All]" allUniqueName="[Dim Customers].[SalesDepart].[All]" dimensionUniqueName="[Dim Customers]" displayFolder="" count="4" unbalanced="0"/>
    <cacheHierarchy uniqueName="[Dim Delivery Standards].[Distribution Channel]" caption="Канал сбыта (стандарт поставки)" attribute="1" defaultMemberUniqueName="[Dim Delivery Standards].[Distribution Channel].[All]" allUniqueName="[Dim Delivery Standards].[Distribution Channel].[All]" dimensionUniqueName="[Dim Delivery Standards]" displayFolder="" count="2" unbalanced="0"/>
    <cacheHierarchy uniqueName="[Dim Delivery Standards].[Standard ID]" caption="Стандарт поставки" attribute="1" keyAttribute="1" defaultMemberUniqueName="[Dim Delivery Standards].[Standard ID].[All]" allUniqueName="[Dim Delivery Standards].[Standard ID].[All]" dimensionUniqueName="[Dim Delivery Standards]" displayFolder="" count="2" unbalanced="0">
      <fieldsUsage count="2">
        <fieldUsage x="-1"/>
        <fieldUsage x="52"/>
      </fieldsUsage>
    </cacheHierarchy>
    <cacheHierarchy uniqueName="[Dim Delivery Standards].[Standard Name Code]" caption="Стандарт поставки (код и наименов)" attribute="1" defaultMemberUniqueName="[Dim Delivery Standards].[Standard Name Code].[All]" allUniqueName="[Dim Delivery Standards].[Standard Name Code].[All]" dimensionUniqueName="[Dim Delivery Standards]" displayFolder="" count="0" unbalanced="0"/>
    <cacheHierarchy uniqueName="[Dim Distribution].[Distribution ID]" caption="Дистрибуция" attribute="1" keyAttribute="1" defaultMemberUniqueName="[Dim Distribution].[Distribution ID].[All]" allUniqueName="[Dim Distribution].[Distribution ID].[All]" dimensionUniqueName="[Dim Distribution]" displayFolder="" count="0" unbalanced="0"/>
    <cacheHierarchy uniqueName="[Dim Distribution].[Market Name]" caption="Рынок" attribute="1" defaultMemberUniqueName="[Dim Distribution].[Market Name].[All]" allUniqueName="[Dim Distribution].[Market Name].[All]" dimensionUniqueName="[Dim Distribution]" displayFolder="" count="0" unbalanced="0"/>
    <cacheHierarchy uniqueName="[Dim District].[District Code]" caption="Округ Код" attribute="1" keyAttribute="1" defaultMemberUniqueName="[Dim District].[District Code].[All]" allUniqueName="[Dim District].[District Code].[All]" dimensionUniqueName="[Dim District]" displayFolder="" count="0" unbalanced="0"/>
    <cacheHierarchy uniqueName="[Dim District].[District Name]" caption="Округ Наименование" attribute="1" defaultMemberUniqueName="[Dim District].[District Name].[All]" allUniqueName="[Dim District].[District Name].[All]" dimensionUniqueName="[Dim District]" displayFolder="" count="0" unbalanced="0"/>
    <cacheHierarchy uniqueName="[Dim Is Clearance Date].[Is Clearance Date]" caption="Признак (Дата ГТД)" attribute="1" keyAttribute="1" defaultMemberUniqueName="[Dim Is Clearance Date].[Is Clearance Date].[All]" allUniqueName="[Dim Is Clearance Date].[Is Clearance Date].[All]" dimensionUniqueName="[Dim Is Clearance Date]" displayFolder="" count="0" unbalanced="0"/>
    <cacheHierarchy uniqueName="[Dim Is Error Invoice].[Is Error Invoce ID]" caption="Признак &quot;Ошибка&quot; на счете" attribute="1" keyAttribute="1" defaultMemberUniqueName="[Dim Is Error Invoice].[Is Error Invoce ID].[All]" allUniqueName="[Dim Is Error Invoice].[Is Error Invoce ID].[All]" dimensionUniqueName="[Dim Is Error Invoice]" displayFolder="" count="0" unbalanced="0"/>
    <cacheHierarchy uniqueName="[Dim Is New Product].[TMC Is New Product]" caption="Признак (Новый продукт)" attribute="1" keyAttribute="1" defaultMemberUniqueName="[Dim Is New Product].[TMC Is New Product].[All]" allUniqueName="[Dim Is New Product].[TMC Is New Product].[All]" dimensionUniqueName="[Dim Is New Product]" displayFolder="" count="0" unbalanced="0"/>
    <cacheHierarchy uniqueName="[Dim Market For Strategic].[Market For Strategic ID]" caption="Рынок под стратегические цели" attribute="1" keyAttribute="1" defaultMemberUniqueName="[Dim Market For Strategic].[Market For Strategic ID].[All]" allUniqueName="[Dim Market For Strategic].[Market For Strategic ID].[All]" dimensionUniqueName="[Dim Market For Strategic]" displayFolder="" count="2" unbalanced="0">
      <fieldsUsage count="2">
        <fieldUsage x="-1"/>
        <fieldUsage x="71"/>
      </fieldsUsage>
    </cacheHierarchy>
    <cacheHierarchy uniqueName="[Dim Order Line States].[Order State ID]" caption="Статус строки заказа" attribute="1" keyAttribute="1" defaultMemberUniqueName="[Dim Order Line States].[Order State ID].[All]" allUniqueName="[Dim Order Line States].[Order State ID].[All]" dimensionUniqueName="[Dim Order Line States]" displayFolder="" count="0" unbalanced="0"/>
    <cacheHierarchy uniqueName="[Dim Order Num].[Order Num]" caption="Заказ (номер)" attribute="1" keyAttribute="1" defaultMemberUniqueName="[Dim Order Num].[Order Num].[All]" allUniqueName="[Dim Order Num].[Order Num].[All]" dimensionUniqueName="[Dim Order Num]" displayFolder="" count="0" unbalanced="0"/>
    <cacheHierarchy uniqueName="[Dim Order Num Doc Num].[Hierarchy]" caption="Заказ/Документ" defaultMemberUniqueName="[Dim Order Num Doc Num].[Hierarchy].[All]" allUniqueName="[Dim Order Num Doc Num].[Hierarchy].[All]" dimensionUniqueName="[Dim Order Num Doc Num]" displayFolder="" count="3" unbalanced="0"/>
    <cacheHierarchy uniqueName="[Dim Order Num Doc Num].[Order Num]" caption="Заказ" attribute="1" defaultMemberUniqueName="[Dim Order Num Doc Num].[Order Num].[All]" allUniqueName="[Dim Order Num Doc Num].[Order Num].[All]" dimensionUniqueName="[Dim Order Num Doc Num]" displayFolder="" count="0" unbalanced="0"/>
    <cacheHierarchy uniqueName="[Dim Order Num Doc Num].[Order Num Key]" caption="Документ" attribute="1" keyAttribute="1" defaultMemberUniqueName="[Dim Order Num Doc Num].[Order Num Key].[All]" allUniqueName="[Dim Order Num Doc Num].[Order Num Key].[All]" dimensionUniqueName="[Dim Order Num Doc Num]" displayFolder="" count="0" unbalanced="0"/>
    <cacheHierarchy uniqueName="[Dim Order Num Doc Num Invoice Num].[Doc Num]" caption="Документ" attribute="1" defaultMemberUniqueName="[Dim Order Num Doc Num Invoice Num].[Doc Num].[All]" allUniqueName="[Dim Order Num Doc Num Invoice Num].[Doc Num].[All]" dimensionUniqueName="[Dim Order Num Doc Num Invoice Num]" displayFolder="" count="0" unbalanced="0"/>
    <cacheHierarchy uniqueName="[Dim Order Num Doc Num Invoice Num].[Hierarchy]" caption="Заказ/Документ/Счет" defaultMemberUniqueName="[Dim Order Num Doc Num Invoice Num].[Hierarchy].[All]" allUniqueName="[Dim Order Num Doc Num Invoice Num].[Hierarchy].[All]" dimensionUniqueName="[Dim Order Num Doc Num Invoice Num]" displayFolder="" count="4" unbalanced="0"/>
    <cacheHierarchy uniqueName="[Dim Order Num Doc Num Invoice Num].[Key Order Num]" caption="Счет" attribute="1" keyAttribute="1" defaultMemberUniqueName="[Dim Order Num Doc Num Invoice Num].[Key Order Num].[All]" allUniqueName="[Dim Order Num Doc Num Invoice Num].[Key Order Num].[All]" dimensionUniqueName="[Dim Order Num Doc Num Invoice Num]" displayFolder="" count="0" unbalanced="0"/>
    <cacheHierarchy uniqueName="[Dim Order Num Doc Num Invoice Num].[Order Num]" caption="Заказ" attribute="1" defaultMemberUniqueName="[Dim Order Num Doc Num Invoice Num].[Order Num].[All]" allUniqueName="[Dim Order Num Doc Num Invoice Num].[Order Num].[All]" dimensionUniqueName="[Dim Order Num Doc Num Invoice Num]" displayFolder="" count="0" unbalanced="0"/>
    <cacheHierarchy uniqueName="[Dim Order States].[Parent State ID]" caption="Статус заказа" defaultMemberUniqueName="[Dim Order States].[Parent State ID].[All]" allUniqueName="[Dim Order States].[Parent State ID].[All]" dimensionUniqueName="[Dim Order States]" displayFolder="" count="3" unbalanced="1"/>
    <cacheHierarchy uniqueName="[Dim Organisations].[Organisation ID]" caption="Организация" attribute="1" keyAttribute="1" defaultMemberUniqueName="[Dim Organisations].[Organisation ID].[All]" allUniqueName="[Dim Organisations].[Organisation ID].[All]" dimensionUniqueName="[Dim Organisations]" displayFolder="" count="0" unbalanced="0"/>
    <cacheHierarchy uniqueName="[Dim Plans].[Plan ID]" caption="Редакция плана" attribute="1" keyAttribute="1" defaultMemberUniqueName="[Dim Plans].[Plan ID].[All]" allUniqueName="[Dim Plans].[Plan ID].[All]" dimensionUniqueName="[Dim Plans]" displayFolder="" count="0" unbalanced="0"/>
    <cacheHierarchy uniqueName="[Dim Plans].[Plan Year]" caption="Год редакции плана" attribute="1" defaultMemberUniqueName="[Dim Plans].[Plan Year].[All]" allUniqueName="[Dim Plans].[Plan Year].[All]" dimensionUniqueName="[Dim Plans]" displayFolder="" count="0" unbalanced="0"/>
    <cacheHierarchy uniqueName="[Dim Plans].[Plans]" caption="Редакция плана" defaultMemberUniqueName="[Dim Plans].[Plans].[All]" allUniqueName="[Dim Plans].[Plans].[All]" dimensionUniqueName="[Dim Plans]" displayFolder="" count="3" unbalanced="0"/>
    <cacheHierarchy uniqueName="[Dim Plans].[PlanType]" caption="Типы планов" defaultMemberUniqueName="[Dim Plans].[PlanType].[All]" allUniqueName="[Dim Plans].[PlanType].[All]" dimensionUniqueName="[Dim Plans]" displayFolder="" count="3" unbalanced="0"/>
    <cacheHierarchy uniqueName="[Dim Plans].[Row Type]" caption="План/Промо" attribute="1" defaultMemberUniqueName="[Dim Plans].[Row Type].[All]" allUniqueName="[Dim Plans].[Row Type].[All]" dimensionUniqueName="[Dim Plans]" displayFolder="" count="0" unbalanced="0"/>
    <cacheHierarchy uniqueName="[Dim Plans].[Rtype-Year-Plan]" caption="План/Промо-Год-План" defaultMemberUniqueName="[Dim Plans].[Rtype-Year-Plan].[All]" allUniqueName="[Dim Plans].[Rtype-Year-Plan].[All]" dimensionUniqueName="[Dim Plans]" displayFolder="" count="4" unbalanced="0"/>
    <cacheHierarchy uniqueName="[Dim Plans].[Type]" caption="Тип Плана" attribute="1" defaultMemberUniqueName="[Dim Plans].[Type].[All]" allUniqueName="[Dim Plans].[Type].[All]" dimensionUniqueName="[Dim Plans]" displayFolder="" count="0" unbalanced="0"/>
    <cacheHierarchy uniqueName="[Dim Plans].[Year-Rtype-Plan]" caption="Год-План/Промо-План" defaultMemberUniqueName="[Dim Plans].[Year-Rtype-Plan].[All]" allUniqueName="[Dim Plans].[Year-Rtype-Plan].[All]" dimensionUniqueName="[Dim Plans]" displayFolder="" count="4" unbalanced="0"/>
    <cacheHierarchy uniqueName="[Dim Project].[Attr Project Type]" caption="Вид бизнеса" attribute="1" defaultMemberUniqueName="[Dim Project].[Attr Project Type].[All]" allUniqueName="[Dim Project].[Attr Project Type].[All]" dimensionUniqueName="[Dim Project]" displayFolder="" count="0" unbalanced="0"/>
    <cacheHierarchy uniqueName="[Dim Project].[Project]" caption="Проект" defaultMemberUniqueName="[Dim Project].[Project].[All]" allUniqueName="[Dim Project].[Project].[All]" dimensionUniqueName="[Dim Project]" displayFolder="" count="3" unbalanced="0"/>
    <cacheHierarchy uniqueName="[Dim Project].[Project ID]" caption="Проект" attribute="1" keyAttribute="1" defaultMemberUniqueName="[Dim Project].[Project ID].[All]" allUniqueName="[Dim Project].[Project ID].[All]" dimensionUniqueName="[Dim Project]" displayFolder="" count="0" unbalanced="0"/>
    <cacheHierarchy uniqueName="[Dim Project Number].[Project Number]" caption="Проект проектных продаж" attribute="1" keyAttribute="1" defaultMemberUniqueName="[Dim Project Number].[Project Number].[All]" allUniqueName="[Dim Project Number].[Project Number].[All]" dimensionUniqueName="[Dim Project Number]" displayFolder="" count="0" unbalanced="0"/>
    <cacheHierarchy uniqueName="[Dim Promo Campaign].[Promo Campaign ID]" caption="Промо Кампания" attribute="1" keyAttribute="1" defaultMemberUniqueName="[Dim Promo Campaign].[Promo Campaign ID].[All]" allUniqueName="[Dim Promo Campaign].[Promo Campaign ID].[All]" dimensionUniqueName="[Dim Promo Campaign]" displayFolder="" count="0" unbalanced="0"/>
    <cacheHierarchy uniqueName="[Dim Promo Campaign].[Promo Type]" caption="Тип Промо Кампании" attribute="1" defaultMemberUniqueName="[Dim Promo Campaign].[Promo Type].[All]" allUniqueName="[Dim Promo Campaign].[Promo Type].[All]" dimensionUniqueName="[Dim Promo Campaign]" displayFolder="" count="0" unbalanced="0"/>
    <cacheHierarchy uniqueName="[Dim Promo Campaign].[Promo Year]" caption="Год Промо Кампании" attribute="1" defaultMemberUniqueName="[Dim Promo Campaign].[Promo Year].[All]" allUniqueName="[Dim Promo Campaign].[Promo Year].[All]" dimensionUniqueName="[Dim Promo Campaign]" displayFolder="" count="0" unbalanced="0"/>
    <cacheHierarchy uniqueName="[Dim Promo Campaign].[PromoType]" caption="Тип-Год-ПромоКампания" defaultMemberUniqueName="[Dim Promo Campaign].[PromoType].[All]" allUniqueName="[Dim Promo Campaign].[PromoType].[All]" dimensionUniqueName="[Dim Promo Campaign]" displayFolder="" count="3" unbalanced="0"/>
    <cacheHierarchy uniqueName="[Dim Promo Campaign].[YearPromo]" caption="Год-Тип-ПромоКампания" defaultMemberUniqueName="[Dim Promo Campaign].[YearPromo].[All]" allUniqueName="[Dim Promo Campaign].[YearPromo].[All]" dimensionUniqueName="[Dim Promo Campaign]" displayFolder="" count="3" unbalanced="0"/>
    <cacheHierarchy uniqueName="[Dim Provides Plan].[Provides Plan]" caption="Обеспечивает план" attribute="1" keyAttribute="1" defaultMemberUniqueName="[Dim Provides Plan].[Provides Plan].[All]" allUniqueName="[Dim Provides Plan].[Provides Plan].[All]" dimensionUniqueName="[Dim Provides Plan]" displayFolder="" count="0" unbalanced="0"/>
    <cacheHierarchy uniqueName="[Dim PseudoSales Date].[Date ID]" caption="Дата транзакции Псевдофакта.Дата" attribute="1" time="1" keyAttribute="1" defaultMemberUniqueName="[Dim PseudoSales Date].[Date ID].[All]" allUniqueName="[Dim PseudoSales Date].[Date ID].[All]" dimensionUniqueName="[Dim PseudoSales Date]" displayFolder="" count="0" memberValueDatatype="7" unbalanced="0"/>
    <cacheHierarchy uniqueName="[Dim PseudoSales Date].[Day Of Month]" caption="Дата транзакции Псевдофакта.День месяца" attribute="1" time="1" defaultMemberUniqueName="[Dim PseudoSales Date].[Day Of Month].[All]" allUniqueName="[Dim PseudoSales Date].[Day Of Month].[All]" dimensionUniqueName="[Dim PseudoSales Date]" displayFolder="" count="0" unbalanced="0"/>
    <cacheHierarchy uniqueName="[Dim PseudoSales Date].[Month]" caption="Дата транзакции Псевдофакта.Месяц" attribute="1" time="1" defaultMemberUniqueName="[Dim PseudoSales Date].[Month].[All]" allUniqueName="[Dim PseudoSales Date].[Month].[All]" dimensionUniqueName="[Dim PseudoSales Date]" displayFolder="" count="0" unbalanced="0"/>
    <cacheHierarchy uniqueName="[Dim PseudoSales Date].[Month Of Year]" caption="Дата транзакции Псевдофакта.Месяц года" attribute="1" time="1" defaultMemberUniqueName="[Dim PseudoSales Date].[Month Of Year].[All]" allUniqueName="[Dim PseudoSales Date].[Month Of Year].[All]" dimensionUniqueName="[Dim PseudoSales Date]" displayFolder="" count="0" unbalanced="0"/>
    <cacheHierarchy uniqueName="[Dim PseudoSales Date].[Week]" caption="Дата транзакции Псевдофакта.Неделя" attribute="1" time="1" defaultMemberUniqueName="[Dim PseudoSales Date].[Week].[All]" allUniqueName="[Dim PseudoSales Date].[Week].[All]" dimensionUniqueName="[Dim PseudoSales Date]" displayFolder="" count="0" unbalanced="0"/>
    <cacheHierarchy uniqueName="[Dim PseudoSales Date].[Year]" caption="Дата транзакции Псевдофакта.Год" attribute="1" time="1" defaultMemberUniqueName="[Dim PseudoSales Date].[Year].[All]" allUniqueName="[Dim PseudoSales Date].[Year].[All]" dimensionUniqueName="[Dim PseudoSales Date]" displayFolder="" count="0" unbalanced="0"/>
    <cacheHierarchy uniqueName="[Dim PseudoSales Date].[Year - Month]" caption="Дата транзакции Псевдофакта.Год - Месяц" time="1" defaultMemberUniqueName="[Dim PseudoSales Date].[Year - Month].[All]" allUniqueName="[Dim PseudoSales Date].[Year - Month].[All]" dimensionUniqueName="[Dim PseudoSales Date]" displayFolder="" count="3" unbalanced="0"/>
    <cacheHierarchy uniqueName="[Dim PseudoSales Date].[Year - Month - Day]" caption="Дата транзакции Псевдофакта.Год - Месяц - Дата" time="1" defaultMemberUniqueName="[Dim PseudoSales Date].[Year - Month - Day].[All]" allUniqueName="[Dim PseudoSales Date].[Year - Month - Day].[All]" dimensionUniqueName="[Dim PseudoSales Date]" displayFolder="" count="4" unbalanced="0"/>
    <cacheHierarchy uniqueName="[Dim PseudoSales Date].[YWD]" caption="Дата транзакции Псевдофакта.Год - Неделя - День" time="1" defaultMemberUniqueName="[Dim PseudoSales Date].[YWD].[All]" allUniqueName="[Dim PseudoSales Date].[YWD].[All]" dimensionUniqueName="[Dim PseudoSales Date]" displayFolder="" count="4" unbalanced="0"/>
    <cacheHierarchy uniqueName="[Dim QualityResponsibilityCenter].[Quality Responsibility Center]" caption="Центр ответственности по качеству" attribute="1" keyAttribute="1" defaultMemberUniqueName="[Dim QualityResponsibilityCenter].[Quality Responsibility Center].[All]" allUniqueName="[Dim QualityResponsibilityCenter].[Quality Responsibility Center].[All]" dimensionUniqueName="[Dim QualityResponsibilityCenter]" displayFolder="" count="0" unbalanced="0"/>
    <cacheHierarchy uniqueName="[Dim Region].[Region ID]" caption="Регион" attribute="1" keyAttribute="1" defaultMemberUniqueName="[Dim Region].[Region ID].[All]" allUniqueName="[Dim Region].[Region ID].[All]" dimensionUniqueName="[Dim Region]" displayFolder="" count="0" unbalanced="0"/>
    <cacheHierarchy uniqueName="[Dim Sale Man].[Sale Man]" caption="Продавец" attribute="1" keyAttribute="1" defaultMemberUniqueName="[Dim Sale Man].[Sale Man].[All]" allUniqueName="[Dim Sale Man].[Sale Man].[All]" dimensionUniqueName="[Dim Sale Man]" displayFolder="" count="0" unbalanced="0"/>
    <cacheHierarchy uniqueName="[Dim Sales Channel].[Sales Channel]" caption="Канал сбыта Код" attribute="1" keyAttribute="1" defaultMemberUniqueName="[Dim Sales Channel].[Sales Channel].[All]" allUniqueName="[Dim Sales Channel].[Sales Channel].[All]" dimensionUniqueName="[Dim Sales Channel]" displayFolder="" count="0" unbalanced="0"/>
    <cacheHierarchy uniqueName="[Dim Sales Channel].[Sales Channel Name]" caption="Канал сбыта" attribute="1" defaultMemberUniqueName="[Dim Sales Channel].[Sales Channel Name].[All]" allUniqueName="[Dim Sales Channel].[Sales Channel Name].[All]" dimensionUniqueName="[Dim Sales Channel]" displayFolder="" count="0" unbalanced="0"/>
    <cacheHierarchy uniqueName="[Dim Sales Responsibility Centers].[Sales Responsibility Centers]" caption="Центры ответственности за продажи" attribute="1" keyAttribute="1" defaultMemberUniqueName="[Dim Sales Responsibility Centers].[Sales Responsibility Centers].[All]" allUniqueName="[Dim Sales Responsibility Centers].[Sales Responsibility Centers].[All]" dimensionUniqueName="[Dim Sales Responsibility Centers]" displayFolder="" count="0" unbalanced="0"/>
    <cacheHierarchy uniqueName="[Dim TMC].[Accounting product]" caption="Учетная группа" defaultMemberUniqueName="[Dim TMC].[Accounting product].[All]" allUniqueName="[Dim TMC].[Accounting product].[All]" dimensionUniqueName="[Dim TMC]" displayFolder="" count="0" unbalanced="0"/>
    <cacheHierarchy uniqueName="[Dim TMC].[Catalog Group Desc]" caption="Группа сбыта" attribute="1" defaultMemberUniqueName="[Dim TMC].[Catalog Group Desc].[All]" allUniqueName="[Dim TMC].[Catalog Group Desc].[All]" dimensionUniqueName="[Dim TMC]" displayFolder="" count="0" unbalanced="0"/>
    <cacheHierarchy uniqueName="[Dim TMC].[F]" caption="F" attribute="1" defaultMemberUniqueName="[Dim TMC].[F].[All]" allUniqueName="[Dim TMC].[F].[All]" dimensionUniqueName="[Dim TMC]" displayFolder="" count="0" unbalanced="0"/>
    <cacheHierarchy uniqueName="[Dim TMC].[Manufacture product]" caption="Производственная сегментация" defaultMemberUniqueName="[Dim TMC].[Manufacture product].[All]" allUniqueName="[Dim TMC].[Manufacture product].[All]" dimensionUniqueName="[Dim TMC]" displayFolder="" count="0" unbalanced="0"/>
    <cacheHierarchy uniqueName="[Dim TMC].[Planning product]" caption="Планирование" defaultMemberUniqueName="[Dim TMC].[Planning product].[All]" allUniqueName="[Dim TMC].[Planning product].[All]" dimensionUniqueName="[Dim TMC]" displayFolder="" count="0" unbalanced="0"/>
    <cacheHierarchy uniqueName="[Dim TMC].[Product]" caption="Маркетинговая сегментация" defaultMemberUniqueName="[Dim TMC].[Product].[All]" allUniqueName="[Dim TMC].[Product].[All]" dimensionUniqueName="[Dim TMC]" displayFolder="" count="9" unbalanced="0"/>
    <cacheHierarchy uniqueName="[Dim TMC].[Product Type]" caption="Тип продукции" defaultMemberUniqueName="[Dim TMC].[Product Type].[All]" allUniqueName="[Dim TMC].[Product Type].[All]" dimensionUniqueName="[Dim TMC]" displayFolder="" count="4" unbalanced="0">
      <fieldsUsage count="4">
        <fieldUsage x="-1"/>
        <fieldUsage x="0"/>
        <fieldUsage x="1"/>
        <fieldUsage x="2"/>
      </fieldsUsage>
    </cacheHierarchy>
    <cacheHierarchy uniqueName="[Dim TMC].[Project SSPV Name]" caption="Проект ССП(в)" attribute="1" defaultMemberUniqueName="[Dim TMC].[Project SSPV Name].[All]" allUniqueName="[Dim TMC].[Project SSPV Name].[All]" dimensionUniqueName="[Dim TMC]" displayFolder="" count="0" unbalanced="0"/>
    <cacheHierarchy uniqueName="[Dim TMC].[Project SSPVID]" caption="Проект ССП(в) Код" attribute="1" defaultMemberUniqueName="[Dim TMC].[Project SSPVID].[All]" allUniqueName="[Dim TMC].[Project SSPVID].[All]" dimensionUniqueName="[Dim TMC]" displayFolder="" count="0" unbalanced="0"/>
    <cacheHierarchy uniqueName="[Dim TMC].[Sales Price Group Desc]" caption="Ценовая группа" attribute="1" defaultMemberUniqueName="[Dim TMC].[Sales Price Group Desc].[All]" allUniqueName="[Dim TMC].[Sales Price Group Desc].[All]" dimensionUniqueName="[Dim TMC]" displayFolder="" count="0" unbalanced="0"/>
    <cacheHierarchy uniqueName="[Dim TMC].[Sales Price Group ID]" caption="Ценовая группа Код" attribute="1" defaultMemberUniqueName="[Dim TMC].[Sales Price Group ID].[All]" allUniqueName="[Dim TMC].[Sales Price Group ID].[All]" dimensionUniqueName="[Dim TMC]" displayFolder="" count="0" unbalanced="0"/>
    <cacheHierarchy uniqueName="[Dim TMC].[TMC Accounting Group]" caption="Учетная группа" attribute="1" defaultMemberUniqueName="[Dim TMC].[TMC Accounting Group].[All]" allUniqueName="[Dim TMC].[TMC Accounting Group].[All]" dimensionUniqueName="[Dim TMC]" displayFolder="" count="0" unbalanced="0"/>
    <cacheHierarchy uniqueName="[Dim TMC].[TMC Block Group]" caption="Группа блокирования" attribute="1" defaultMemberUniqueName="[Dim TMC].[TMC Block Group].[All]" allUniqueName="[Dim TMC].[TMC Block Group].[All]" dimensionUniqueName="[Dim TMC]" displayFolder="" count="0" unbalanced="0"/>
    <cacheHierarchy uniqueName="[Dim TMC].[TMC Category]" caption="Категория" attribute="1" defaultMemberUniqueName="[Dim TMC].[TMC Category].[All]" allUniqueName="[Dim TMC].[TMC Category].[All]" dimensionUniqueName="[Dim TMC]" displayFolder="" count="0" unbalanced="0"/>
    <cacheHierarchy uniqueName="[Dim TMC].[TMC Code]" caption="Код ТМЦ" attribute="1" defaultMemberUniqueName="[Dim TMC].[TMC Code].[All]" allUniqueName="[Dim TMC].[TMC Code].[All]" dimensionUniqueName="[Dim TMC]" displayFolder="" count="0" unbalanced="0"/>
    <cacheHierarchy uniqueName="[Dim TMC].[TMC Cover Color]" caption="Цвет обивки" attribute="1" defaultMemberUniqueName="[Dim TMC].[TMC Cover Color].[All]" allUniqueName="[Dim TMC].[TMC Cover Color].[All]" dimensionUniqueName="[Dim TMC]" displayFolder="" count="0" unbalanced="0"/>
    <cacheHierarchy uniqueName="[Dim TMC].[TMC Cover Type]" caption="Тип обивки" attribute="1" defaultMemberUniqueName="[Dim TMC].[TMC Cover Type].[All]" allUniqueName="[Dim TMC].[TMC Cover Type].[All]" dimensionUniqueName="[Dim TMC]" displayFolder="" count="0" unbalanced="0"/>
    <cacheHierarchy uniqueName="[Dim TMC].[TMC Group]" caption="Группа" attribute="1" defaultMemberUniqueName="[Dim TMC].[TMC Group].[All]" allUniqueName="[Dim TMC].[TMC Group].[All]" dimensionUniqueName="[Dim TMC]" displayFolder="" count="0" unbalanced="0"/>
    <cacheHierarchy uniqueName="[Dim TMC].[TMC Line Model]" caption="Линия модели" attribute="1" defaultMemberUniqueName="[Dim TMC].[TMC Line Model].[All]" allUniqueName="[Dim TMC].[TMC Line Model].[All]" dimensionUniqueName="[Dim TMC]" displayFolder="" count="2" unbalanced="0">
      <fieldsUsage count="2">
        <fieldUsage x="-1"/>
        <fieldUsage x="61"/>
      </fieldsUsage>
    </cacheHierarchy>
    <cacheHierarchy uniqueName="[Dim TMC].[TMC Manufacture Segment]" caption="Производственный участок" attribute="1" defaultMemberUniqueName="[Dim TMC].[TMC Manufacture Segment].[All]" allUniqueName="[Dim TMC].[TMC Manufacture Segment].[All]" dimensionUniqueName="[Dim TMC]" displayFolder="" count="0" unbalanced="0"/>
    <cacheHierarchy uniqueName="[Dim TMC].[TMC Name Base]" caption="Базовый ТМЦ" attribute="1" defaultMemberUniqueName="[Dim TMC].[TMC Name Base].[All]" allUniqueName="[Dim TMC].[TMC Name Base].[All]" dimensionUniqueName="[Dim TMC]" displayFolder="" count="0" unbalanced="0"/>
    <cacheHierarchy uniqueName="[Dim TMC].[TMC Name Planning]" caption="ТМЦ планирования" attribute="1" defaultMemberUniqueName="[Dim TMC].[TMC Name Planning].[All]" allUniqueName="[Dim TMC].[TMC Name Planning].[All]" dimensionUniqueName="[Dim TMC]" displayFolder="" count="0" unbalanced="0"/>
    <cacheHierarchy uniqueName="[Dim TMC].[TMC Product Place]" caption="Место производства (текущее значение)" attribute="1" defaultMemberUniqueName="[Dim TMC].[TMC Product Place].[All]" allUniqueName="[Dim TMC].[TMC Product Place].[All]" dimensionUniqueName="[Dim TMC]" displayFolder="" count="0" unbalanced="0"/>
    <cacheHierarchy uniqueName="[Dim TMC].[TMC Product Type]" caption="Тип ТМЦ для KPI" attribute="1" defaultMemberUniqueName="[Dim TMC].[TMC Product Type].[All]" allUniqueName="[Dim TMC].[TMC Product Type].[All]" dimensionUniqueName="[Dim TMC]" displayFolder="" count="0" unbalanced="0"/>
    <cacheHierarchy uniqueName="[Dim TMC].[TMC Production Line Code]" caption="Производственная линия Код" attribute="1" defaultMemberUniqueName="[Dim TMC].[TMC Production Line Code].[All]" allUniqueName="[Dim TMC].[TMC Production Line Code].[All]" dimensionUniqueName="[Dim TMC]" displayFolder="" count="0" unbalanced="0"/>
    <cacheHierarchy uniqueName="[Dim TMC].[TMC Production Line Name]" caption="Производственная линия" attribute="1" defaultMemberUniqueName="[Dim TMC].[TMC Production Line Name].[All]" allUniqueName="[Dim TMC].[TMC Production Line Name].[All]" dimensionUniqueName="[Dim TMC]" displayFolder="" count="0" unbalanced="0"/>
    <cacheHierarchy uniqueName="[Dim TMC].[TMC Segment]" caption="Сегмент" attribute="1" defaultMemberUniqueName="[Dim TMC].[TMC Segment].[All]" allUniqueName="[Dim TMC].[TMC Segment].[All]" dimensionUniqueName="[Dim TMC]" displayFolder="" count="0" unbalanced="0"/>
    <cacheHierarchy uniqueName="[Dim TMC].[TMC Sub Segment]" caption="СубСегмент" attribute="1" defaultMemberUniqueName="[Dim TMC].[TMC Sub Segment].[All]" allUniqueName="[Dim TMC].[TMC Sub Segment].[All]" dimensionUniqueName="[Dim TMC]" displayFolder="" count="0" unbalanced="0"/>
    <cacheHierarchy uniqueName="[Dim TMC].[TMC Trading Group]" caption="Торговая группа" attribute="1" defaultMemberUniqueName="[Dim TMC].[TMC Trading Group].[All]" allUniqueName="[Dim TMC].[TMC Trading Group].[All]" dimensionUniqueName="[Dim TMC]" displayFolder="" count="0" unbalanced="0"/>
    <cacheHierarchy uniqueName="[Dim TMC].[TMC Type]" caption="Тип ТМЦ" attribute="1" defaultMemberUniqueName="[Dim TMC].[TMC Type].[All]" allUniqueName="[Dim TMC].[TMC Type].[All]" dimensionUniqueName="[Dim TMC]" displayFolder="" count="0" unbalanced="0"/>
    <cacheHierarchy uniqueName="[Dim TMC].[TMC_KPI]" caption="Тип ТМЦ для KPI" defaultMemberUniqueName="[Dim TMC].[TMC_KPI].[All]" allUniqueName="[Dim TMC].[TMC_KPI].[All]" dimensionUniqueName="[Dim TMC]" displayFolder="" count="4" unbalanced="0">
      <fieldsUsage count="4">
        <fieldUsage x="-1"/>
        <fieldUsage x="27"/>
        <fieldUsage x="28"/>
        <fieldUsage x="29"/>
      </fieldsUsage>
    </cacheHierarchy>
    <cacheHierarchy uniqueName="[Dim TMC].[TMCID]" caption="ТМЦ" attribute="1" keyAttribute="1" defaultMemberUniqueName="[Dim TMC].[TMCID].[All]" allUniqueName="[Dim TMC].[TMCID].[All]" dimensionUniqueName="[Dim TMC]" displayFolder="" count="0" unbalanced="0"/>
    <cacheHierarchy uniqueName="[Dim TMC Assortment Tree].[Hierarchy]" caption="Дерево сегментации ТМЦ" defaultMemberUniqueName="[Dim TMC Assortment Tree].[Hierarchy].[All]" allUniqueName="[Dim TMC Assortment Tree].[Hierarchy].[All]" dimensionUniqueName="[Dim TMC Assortment Tree]" displayFolder="" count="0" unbalanced="0"/>
    <cacheHierarchy uniqueName="[Dim TMC Assortment Tree].[TMC Tree Category]" caption="Категория" attribute="1" defaultMemberUniqueName="[Dim TMC Assortment Tree].[TMC Tree Category].[All]" allUniqueName="[Dim TMC Assortment Tree].[TMC Tree Category].[All]" dimensionUniqueName="[Dim TMC Assortment Tree]" displayFolder="" count="0" unbalanced="0"/>
    <cacheHierarchy uniqueName="[Dim TMC Assortment Tree].[TMC Tree Name]" caption="Направление бизнеса" attribute="1" defaultMemberUniqueName="[Dim TMC Assortment Tree].[TMC Tree Name].[All]" allUniqueName="[Dim TMC Assortment Tree].[TMC Tree Name].[All]" dimensionUniqueName="[Dim TMC Assortment Tree]" displayFolder="" count="0" unbalanced="0"/>
    <cacheHierarchy uniqueName="[Dim TMC Assortment Tree].[TMC Tree Segment]" caption="Сегмент" attribute="1" defaultMemberUniqueName="[Dim TMC Assortment Tree].[TMC Tree Segment].[All]" allUniqueName="[Dim TMC Assortment Tree].[TMC Tree Segment].[All]" dimensionUniqueName="[Dim TMC Assortment Tree]" displayFolder="" count="0" unbalanced="0"/>
    <cacheHierarchy uniqueName="[Dim TMC Product Place].[TMC Product Place]" caption="ТМЦ Место производства" attribute="1" keyAttribute="1" defaultMemberUniqueName="[Dim TMC Product Place].[TMC Product Place].[All]" allUniqueName="[Dim TMC Product Place].[TMC Product Place].[All]" dimensionUniqueName="[Dim TMC Product Place]" displayFolder="" count="0" unbalanced="0"/>
    <cacheHierarchy uniqueName="[Dim Transaction Direction].[Transaction Direction]" caption="Вид движения" attribute="1" keyAttribute="1" defaultMemberUniqueName="[Dim Transaction Direction].[Transaction Direction].[All]" allUniqueName="[Dim Transaction Direction].[Transaction Direction].[All]" dimensionUniqueName="[Dim Transaction Direction]" displayFolder="" count="0" unbalanced="0"/>
    <cacheHierarchy uniqueName="[Dim Unit].[Unit ID]" caption="Единица измерения" attribute="1" keyAttribute="1" defaultMemberUniqueName="[Dim Unit].[Unit ID].[All]" allUniqueName="[Dim Unit].[Unit ID].[All]" dimensionUniqueName="[Dim Unit]" displayFolder="" count="0" unbalanced="0"/>
    <cacheHierarchy uniqueName="[Dim Warehouse].[Responsible Dept]" caption="Ответственное подразделение" attribute="1" defaultMemberUniqueName="[Dim Warehouse].[Responsible Dept].[All]" allUniqueName="[Dim Warehouse].[Responsible Dept].[All]" dimensionUniqueName="[Dim Warehouse]" displayFolder="" count="0" unbalanced="0"/>
    <cacheHierarchy uniqueName="[Dim Warehouse].[Responsible Name]" caption="Мат. ответственный" attribute="1" defaultMemberUniqueName="[Dim Warehouse].[Responsible Name].[All]" allUniqueName="[Dim Warehouse].[Responsible Name].[All]" dimensionUniqueName="[Dim Warehouse]" displayFolder="" count="0" unbalanced="0"/>
    <cacheHierarchy uniqueName="[Dim Warehouse].[Warehouse Code]" caption="Склад Код" attribute="1" defaultMemberUniqueName="[Dim Warehouse].[Warehouse Code].[All]" allUniqueName="[Dim Warehouse].[Warehouse Code].[All]" dimensionUniqueName="[Dim Warehouse]" displayFolder="" count="0" unbalanced="0"/>
    <cacheHierarchy uniqueName="[Dim Warehouse].[Warehouse Group Code]" caption="Группа складов Код" attribute="1" defaultMemberUniqueName="[Dim Warehouse].[Warehouse Group Code].[All]" allUniqueName="[Dim Warehouse].[Warehouse Group Code].[All]" dimensionUniqueName="[Dim Warehouse]" displayFolder="" count="0" unbalanced="0"/>
    <cacheHierarchy uniqueName="[Dim Warehouse].[Warehouse ID]" caption="Склад" attribute="1" keyAttribute="1" defaultMemberUniqueName="[Dim Warehouse].[Warehouse ID].[All]" allUniqueName="[Dim Warehouse].[Warehouse ID].[All]" dimensionUniqueName="[Dim Warehouse]" displayFolder="" count="0" unbalanced="0"/>
    <cacheHierarchy uniqueName="[Dim Warehouse].[Warehouse Parent Dept Name]" caption="Подразделение" attribute="1" defaultMemberUniqueName="[Dim Warehouse].[Warehouse Parent Dept Name].[All]" allUniqueName="[Dim Warehouse].[Warehouse Parent Dept Name].[All]" dimensionUniqueName="[Dim Warehouse]" displayFolder="" count="0" unbalanced="0"/>
    <cacheHierarchy uniqueName="[Dim Warehouse].[Warehouse Type]" caption="Тип склада" attribute="1" defaultMemberUniqueName="[Dim Warehouse].[Warehouse Type].[All]" allUniqueName="[Dim Warehouse].[Warehouse Type].[All]" dimensionUniqueName="[Dim Warehouse]" displayFolder="" count="0" unbalanced="0"/>
    <cacheHierarchy uniqueName="[Dim Warehouse].[WH Group Name]" caption="Группа складов" attribute="1" defaultMemberUniqueName="[Dim Warehouse].[WH Group Name].[All]" allUniqueName="[Dim Warehouse].[WH Group Name].[All]" dimensionUniqueName="[Dim Warehouse]" displayFolder="" count="0" unbalanced="0"/>
    <cacheHierarchy uniqueName="[Dim Warehouse].[WH-Group]" caption="Склад" defaultMemberUniqueName="[Dim Warehouse].[WH-Group].[All]" allUniqueName="[Dim Warehouse].[WH-Group].[All]" dimensionUniqueName="[Dim Warehouse]" displayFolder="" count="3" unbalanced="0"/>
    <cacheHierarchy uniqueName="[Order Creation Date].[Date ID]" caption="Дата создания заказа.Дата" attribute="1" time="1" keyAttribute="1" defaultMemberUniqueName="[Order Creation Date].[Date ID].[All]" allUniqueName="[Order Creation Date].[Date ID].[All]" dimensionUniqueName="[Order Creation Date]" displayFolder="" count="0" memberValueDatatype="7" unbalanced="0"/>
    <cacheHierarchy uniqueName="[Order Creation Date].[Day Of Month]" caption="Дата создания заказа.День месяца" attribute="1" time="1" defaultMemberUniqueName="[Order Creation Date].[Day Of Month].[All]" allUniqueName="[Order Creation Date].[Day Of Month].[All]" dimensionUniqueName="[Order Creation Date]" displayFolder="" count="0" unbalanced="0"/>
    <cacheHierarchy uniqueName="[Order Creation Date].[Month]" caption="Дата создания заказа.Месяц" attribute="1" time="1" defaultMemberUniqueName="[Order Creation Date].[Month].[All]" allUniqueName="[Order Creation Date].[Month].[All]" dimensionUniqueName="[Order Creation Date]" displayFolder="" count="0" unbalanced="0"/>
    <cacheHierarchy uniqueName="[Order Creation Date].[Month Of Year]" caption="Дата создания заказа.Месяц года" attribute="1" time="1" defaultMemberUniqueName="[Order Creation Date].[Month Of Year].[All]" allUniqueName="[Order Creation Date].[Month Of Year].[All]" dimensionUniqueName="[Order Creation Date]" displayFolder="" count="0" unbalanced="0"/>
    <cacheHierarchy uniqueName="[Order Creation Date].[Week]" caption="Дата создания заказа.Неделя" attribute="1" time="1" defaultMemberUniqueName="[Order Creation Date].[Week].[All]" allUniqueName="[Order Creation Date].[Week].[All]" dimensionUniqueName="[Order Creation Date]" displayFolder="" count="0" unbalanced="0"/>
    <cacheHierarchy uniqueName="[Order Creation Date].[Year]" caption="Дата создания заказа.Год" attribute="1" time="1" defaultMemberUniqueName="[Order Creation Date].[Year].[All]" allUniqueName="[Order Creation Date].[Year].[All]" dimensionUniqueName="[Order Creation Date]" displayFolder="" count="0" unbalanced="0"/>
    <cacheHierarchy uniqueName="[Order Creation Date].[Year - Month]" caption="Дата создания заказа.Год - Месяц" time="1" defaultMemberUniqueName="[Order Creation Date].[Year - Month].[All]" allUniqueName="[Order Creation Date].[Year - Month].[All]" dimensionUniqueName="[Order Creation Date]" displayFolder="" count="3" unbalanced="0"/>
    <cacheHierarchy uniqueName="[Order Creation Date].[Year - Month - Day]" caption="Дата создания заказа.Год - Месяц - Дата" time="1" defaultMemberUniqueName="[Order Creation Date].[Year - Month - Day].[All]" allUniqueName="[Order Creation Date].[Year - Month - Day].[All]" dimensionUniqueName="[Order Creation Date]" displayFolder="" count="4" unbalanced="0"/>
    <cacheHierarchy uniqueName="[Order Creation Date].[YWD]" caption="Дата создания заказа.Год - Неделя - День" time="1" defaultMemberUniqueName="[Order Creation Date].[YWD].[All]" allUniqueName="[Order Creation Date].[YWD].[All]" dimensionUniqueName="[Order Creation Date]" displayFolder="" count="4" unbalanced="0"/>
    <cacheHierarchy uniqueName="[Sales Date].[Date ID]" caption="Дата Отгрузки.Дата" attribute="1" time="1" keyAttribute="1" defaultMemberUniqueName="[Sales Date].[Date ID].[All]" allUniqueName="[Sales Date].[Date ID].[All]" dimensionUniqueName="[Sales Date]" displayFolder="" count="0" memberValueDatatype="7" unbalanced="0"/>
    <cacheHierarchy uniqueName="[Sales Date].[Day Of Month]" caption="Дата Отгрузки.День месяца" attribute="1" time="1" defaultMemberUniqueName="[Sales Date].[Day Of Month].[All]" allUniqueName="[Sales Date].[Day Of Month].[All]" dimensionUniqueName="[Sales Date]" displayFolder="" count="0" unbalanced="0"/>
    <cacheHierarchy uniqueName="[Sales Date].[Month]" caption="Дата Отгрузки.Месяц" attribute="1" time="1" defaultMemberUniqueName="[Sales Date].[Month].[All]" allUniqueName="[Sales Date].[Month].[All]" dimensionUniqueName="[Sales Date]" displayFolder="" count="0" unbalanced="0"/>
    <cacheHierarchy uniqueName="[Sales Date].[Month Of Year]" caption="Дата Отгрузки.Месяц года" attribute="1" time="1" defaultMemberUniqueName="[Sales Date].[Month Of Year].[All]" allUniqueName="[Sales Date].[Month Of Year].[All]" dimensionUniqueName="[Sales Date]" displayFolder="" count="0" unbalanced="0"/>
    <cacheHierarchy uniqueName="[Sales Date].[Week]" caption="Дата Отгрузки.Неделя" attribute="1" time="1" defaultMemberUniqueName="[Sales Date].[Week].[All]" allUniqueName="[Sales Date].[Week].[All]" dimensionUniqueName="[Sales Date]" displayFolder="" count="0" unbalanced="0"/>
    <cacheHierarchy uniqueName="[Sales Date].[Year]" caption="Дата Отгрузки.Год" attribute="1" time="1" defaultMemberUniqueName="[Sales Date].[Year].[All]" allUniqueName="[Sales Date].[Year].[All]" dimensionUniqueName="[Sales Date]" displayFolder="" count="0" unbalanced="0"/>
    <cacheHierarchy uniqueName="[Sales Date].[Year - Month]" caption="Дата Отгрузки.Год - Месяц" time="1" defaultMemberUniqueName="[Sales Date].[Year - Month].[All]" allUniqueName="[Sales Date].[Year - Month].[All]" dimensionUniqueName="[Sales Date]" displayFolder="" count="3" unbalanced="0"/>
    <cacheHierarchy uniqueName="[Sales Date].[Year - Month - Day]" caption="Дата Отгрузки.Год - Месяц - Дата" time="1" defaultMemberUniqueName="[Sales Date].[Year - Month - Day].[All]" allUniqueName="[Sales Date].[Year - Month - Day].[All]" dimensionUniqueName="[Sales Date]" displayFolder="" count="4" unbalanced="0"/>
    <cacheHierarchy uniqueName="[Sales Date].[YWD]" caption="Дата Отгрузки.Год - Неделя - День" time="1" defaultMemberUniqueName="[Sales Date].[YWD].[All]" allUniqueName="[Sales Date].[YWD].[All]" dimensionUniqueName="[Sales Date]" displayFolder="" count="4" unbalanced="0"/>
    <cacheHierarchy uniqueName="[Dim Active Row For Plan].[Active Row For Plan]" caption="Active Row For Plan" attribute="1" keyAttribute="1" defaultMemberUniqueName="[Dim Active Row For Plan].[Active Row For Plan].[All]" allUniqueName="[Dim Active Row For Plan].[Active Row For Plan].[All]" dimensionUniqueName="[Dim Active Row For Plan]" displayFolder="" count="0" unbalanced="0" hidden="1"/>
    <cacheHierarchy uniqueName="[Dim CFO].[CFOID]" caption="ЦФО" attribute="1" keyAttribute="1" defaultMemberUniqueName="[Dim CFO].[CFOID].[All]" allUniqueName="[Dim CFO].[CFOID].[All]" dimensionUniqueName="[Dim CFO]" displayFolder="" count="0" unbalanced="0" hidden="1"/>
    <cacheHierarchy uniqueName="[Dim Clearance Date].[Date Name]" caption="Дата ГТД.Дата" attribute="1" time="1" defaultMemberUniqueName="[Dim Clearance Date].[Date Name].[All]" allUniqueName="[Dim Clearance Date].[Date Name].[All]" dimensionUniqueName="[Dim Clearance Date]" displayFolder="" count="0" unbalanced="0" hidden="1"/>
    <cacheHierarchy uniqueName="[Dim Clearance Date].[IsWorkDate]" caption="Дата ГТД.IsWorkDate" attribute="1" time="1" defaultMemberUniqueName="[Dim Clearance Date].[IsWorkDate].[All]" allUniqueName="[Dim Clearance Date].[IsWorkDate].[All]" dimensionUniqueName="[Dim Clearance Date]" displayFolder="" count="0" unbalanced="0" hidden="1"/>
    <cacheHierarchy uniqueName="[Dim Clearance Date].[Year Name]" caption="Дата ГТД.Год" attribute="1" time="1" defaultMemberUniqueName="[Dim Clearance Date].[Year Name].[All]" allUniqueName="[Dim Clearance Date].[Year Name].[All]" dimensionUniqueName="[Dim Clearance Date]" displayFolder="" count="0" unbalanced="0" hidden="1"/>
    <cacheHierarchy uniqueName="[Dim Customers].[Customer With Bonuses Flag]" caption="Customer With Bonuses Flag" attribute="1" defaultMemberUniqueName="[Dim Customers].[Customer With Bonuses Flag].[All]" allUniqueName="[Dim Customers].[Customer With Bonuses Flag].[All]" dimensionUniqueName="[Dim Customers]" displayFolder="" count="0" unbalanced="0" hidden="1"/>
    <cacheHierarchy uniqueName="[Dim Customers].[Customer With Lo Bonuses Flag]" caption="Customer With Lo Bonuses Flag" attribute="1" defaultMemberUniqueName="[Dim Customers].[Customer With Lo Bonuses Flag].[All]" allUniqueName="[Dim Customers].[Customer With Lo Bonuses Flag].[All]" dimensionUniqueName="[Dim Customers]" displayFolder="" count="0" unbalanced="0" hidden="1"/>
    <cacheHierarchy uniqueName="[Dim Order Num].[Order Num Not A]" caption="Order Num Not A" attribute="1" defaultMemberUniqueName="[Dim Order Num].[Order Num Not A].[All]" allUniqueName="[Dim Order Num].[Order Num Not A].[All]" dimensionUniqueName="[Dim Order Num]" displayFolder="" count="0" unbalanced="0" hidden="1"/>
    <cacheHierarchy uniqueName="[Dim Order States].[Order State ID]" caption="Статус заказа" attribute="1" keyAttribute="1" defaultMemberUniqueName="[Dim Order States].[Order State ID].[All]" allUniqueName="[Dim Order States].[Order State ID].[All]" dimensionUniqueName="[Dim Order States]" displayFolder="" count="0" unbalanced="0" hidden="1"/>
    <cacheHierarchy uniqueName="[Dim Plans].[Plan Date From]" caption="Plan Date From" attribute="1" defaultMemberUniqueName="[Dim Plans].[Plan Date From].[All]" allUniqueName="[Dim Plans].[Plan Date From].[All]" dimensionUniqueName="[Dim Plans]" displayFolder="" count="0" unbalanced="0" hidden="1"/>
    <cacheHierarchy uniqueName="[Dim Plans].[Plan Date From 1]" caption="Plan Date From 1" attribute="1" defaultMemberUniqueName="[Dim Plans].[Plan Date From 1].[All]" allUniqueName="[Dim Plans].[Plan Date From 1].[All]" dimensionUniqueName="[Dim Plans]" displayFolder="" count="0" unbalanced="0" hidden="1"/>
    <cacheHierarchy uniqueName="[Dim Plans].[Plan Date From 2]" caption="Plan Date From 2" attribute="1" defaultMemberUniqueName="[Dim Plans].[Plan Date From 2].[All]" allUniqueName="[Dim Plans].[Plan Date From 2].[All]" dimensionUniqueName="[Dim Plans]" displayFolder="" count="0" unbalanced="0" hidden="1"/>
    <cacheHierarchy uniqueName="[Dim Plans].[Plan Month From]" caption="Plan Month From" attribute="1" defaultMemberUniqueName="[Dim Plans].[Plan Month From].[All]" allUniqueName="[Dim Plans].[Plan Month From].[All]" dimensionUniqueName="[Dim Plans]" displayFolder="" count="0" unbalanced="0" hidden="1"/>
    <cacheHierarchy uniqueName="[Dim Plans].[Plan Name]" caption="Редакция плана" attribute="1" defaultMemberUniqueName="[Dim Plans].[Plan Name].[All]" allUniqueName="[Dim Plans].[Plan Name].[All]" dimensionUniqueName="[Dim Plans]" displayFolder="" count="0" unbalanced="0" hidden="1"/>
    <cacheHierarchy uniqueName="[Dim PseudoSales Date].[Date Name]" caption="Дата транзакции Псевдофакта.Дата" attribute="1" time="1" defaultMemberUniqueName="[Dim PseudoSales Date].[Date Name].[All]" allUniqueName="[Dim PseudoSales Date].[Date Name].[All]" dimensionUniqueName="[Dim PseudoSales Date]" displayFolder="" count="0" unbalanced="0" hidden="1"/>
    <cacheHierarchy uniqueName="[Dim PseudoSales Date].[IsWorkDate]" caption="Дата транзакции Псевдофакта.IsWorkDate" attribute="1" time="1" defaultMemberUniqueName="[Dim PseudoSales Date].[IsWorkDate].[All]" allUniqueName="[Dim PseudoSales Date].[IsWorkDate].[All]" dimensionUniqueName="[Dim PseudoSales Date]" displayFolder="" count="0" unbalanced="0" hidden="1"/>
    <cacheHierarchy uniqueName="[Dim PseudoSales Date].[Year Name]" caption="Дата транзакции Псевдофакта.Год" attribute="1" time="1" defaultMemberUniqueName="[Dim PseudoSales Date].[Year Name].[All]" allUniqueName="[Dim PseudoSales Date].[Year Name].[All]" dimensionUniqueName="[Dim PseudoSales Date]" displayFolder="" count="0" unbalanced="0" hidden="1"/>
    <cacheHierarchy uniqueName="[Dim TMC].[Hierarchy]" caption="Hierarchy" defaultMemberUniqueName="[Dim TMC].[Hierarchy].[All]" allUniqueName="[Dim TMC].[Hierarchy].[All]" dimensionUniqueName="[Dim TMC]" displayFolder="" count="0" unbalanced="0" hidden="1"/>
    <cacheHierarchy uniqueName="[Dim TMC].[TMC Name]" caption="TMC Name" attribute="1" defaultMemberUniqueName="[Dim TMC].[TMC Name].[All]" allUniqueName="[Dim TMC].[TMC Name].[All]" dimensionUniqueName="[Dim TMC]" displayFolder="" count="0" unbalanced="0" hidden="1"/>
    <cacheHierarchy uniqueName="[Dim TMC Assortment Tree].[TMC Tree Key]" caption="TMC Tree Key" attribute="1" keyAttribute="1" defaultMemberUniqueName="[Dim TMC Assortment Tree].[TMC Tree Key].[All]" allUniqueName="[Dim TMC Assortment Tree].[TMC Tree Key].[All]" dimensionUniqueName="[Dim TMC Assortment Tree]" displayFolder="" count="0" unbalanced="0" hidden="1"/>
    <cacheHierarchy uniqueName="[Order Creation Date].[Date Name]" caption="Дата создания заказа.Дата" attribute="1" time="1" defaultMemberUniqueName="[Order Creation Date].[Date Name].[All]" allUniqueName="[Order Creation Date].[Date Name].[All]" dimensionUniqueName="[Order Creation Date]" displayFolder="" count="0" unbalanced="0" hidden="1"/>
    <cacheHierarchy uniqueName="[Order Creation Date].[IsWorkDate]" caption="Дата создания заказа.IsWorkDate" attribute="1" time="1" defaultMemberUniqueName="[Order Creation Date].[IsWorkDate].[All]" allUniqueName="[Order Creation Date].[IsWorkDate].[All]" dimensionUniqueName="[Order Creation Date]" displayFolder="" count="0" unbalanced="0" hidden="1"/>
    <cacheHierarchy uniqueName="[Order Creation Date].[Year Name]" caption="Дата создания заказа.Год" attribute="1" time="1" defaultMemberUniqueName="[Order Creation Date].[Year Name].[All]" allUniqueName="[Order Creation Date].[Year Name].[All]" dimensionUniqueName="[Order Creation Date]" displayFolder="" count="0" unbalanced="0" hidden="1"/>
    <cacheHierarchy uniqueName="[Sales Date].[Date Name]" caption="Дата Отгрузки.Дата" attribute="1" time="1" defaultMemberUniqueName="[Sales Date].[Date Name].[All]" allUniqueName="[Sales Date].[Date Name].[All]" dimensionUniqueName="[Sales Date]" displayFolder="" count="0" unbalanced="0" hidden="1"/>
    <cacheHierarchy uniqueName="[Sales Date].[IsWorkDate]" caption="Дата Отгрузки.IsWorkDate" attribute="1" time="1" defaultMemberUniqueName="[Sales Date].[IsWorkDate].[All]" allUniqueName="[Sales Date].[IsWorkDate].[All]" dimensionUniqueName="[Sales Date]" displayFolder="" count="0" unbalanced="0" hidden="1"/>
    <cacheHierarchy uniqueName="[Sales Date].[Year Name]" caption="Дата Отгрузки.Год" attribute="1" time="1" defaultMemberUniqueName="[Sales Date].[Year Name].[All]" allUniqueName="[Sales Date].[Year Name].[All]" dimensionUniqueName="[Sales Date]" displayFolder="" count="0" unbalanced="0" hidden="1"/>
    <cacheHierarchy uniqueName="[Measures].[Active Customer]" caption="Количество активных клиентов" measure="1" displayFolder="Отдел Продаж" measureGroup="Fact Sales" count="0"/>
    <cacheHierarchy uniqueName="[Measures].[Sales QTY]" caption="Ф_Кол-во" measure="1" displayFolder="" measureGroup="Fact Sales" count="0" oneField="1">
      <fieldsUsage count="1">
        <fieldUsage x="60"/>
      </fieldsUsage>
    </cacheHierarchy>
    <cacheHierarchy uniqueName="[Measures].[Sales Sum Currency]" caption="Ф_OPR_Доход" measure="1" displayFolder="" measureGroup="Fact Sales" count="0"/>
    <cacheHierarchy uniqueName="[Measures].[Sales Sum Accounting]" caption="Ф_UCH_УЦ" measure="1" displayFolder="" measureGroup="Fact Sales" count="0"/>
    <cacheHierarchy uniqueName="[Measures].[Planned Sum Currency]" caption="Сумма факт прайсовые цены (вал)" measure="1" displayFolder="Отдел Продаж" measureGroup="Fact Sales" count="0"/>
    <cacheHierarchy uniqueName="[Measures].[SalesDiscount]" caption="Скидка факт" measure="1" displayFolder="Отдел Продаж" measureGroup="Fact Sales" count="0"/>
    <cacheHierarchy uniqueName="[Measures].[TMC Volume]" caption="Ф_Объём" measure="1" displayFolder="" measureGroup="Fact Sales" count="0"/>
    <cacheHierarchy uniqueName="[Measures].[TMC Weight]" caption="Ф_Вес" measure="1" displayFolder="" measureGroup="Fact Sales" count="0"/>
    <cacheHierarchy uniqueName="[Measures].[Sales SUM EUR Current Plan]" caption="Сумма факт EUR (тек.сценарий)" measure="1" displayFolder="Доходы в валютах" measureGroup="Fact Sales" count="0"/>
    <cacheHierarchy uniqueName="[Measures].[Sales SUM EUR Year Plan]" caption="Сумма факт EUR (год.сценарий)" measure="1" displayFolder="Доходы в валютах" measureGroup="Fact Sales" count="0"/>
    <cacheHierarchy uniqueName="[Measures].[Sales SUM RUB Current Plan]" caption="Сумма факт RUB (тек.сценарий)" measure="1" displayFolder="Доходы в валютах" measureGroup="Fact Sales" count="0"/>
    <cacheHierarchy uniqueName="[Measures].[Sales SUM RUB Year Plan]" caption="Сумма факт RUB (год.сценарий)" measure="1" displayFolder="Доходы в валютах" measureGroup="Fact Sales" count="0"/>
    <cacheHierarchy uniqueName="[Measures].[Sales SUM RUB Fact]" caption="Сумма факт RUB (факт.курс)" measure="1" displayFolder="Доходы в валютах" measureGroup="Fact Sales" count="0"/>
    <cacheHierarchy uniqueName="[Measures].[Sales SUM KZT Current Plan]" caption="Сумма факт KZT (тек.сценарий)" measure="1" displayFolder="Доходы в валютах" measureGroup="Fact Sales" count="0"/>
    <cacheHierarchy uniqueName="[Measures].[Sales SUM KZT Year Plan]" caption="Сумма факт KZT (год.сценарий)" measure="1" displayFolder="Доходы в валютах" measureGroup="Fact Sales" count="0"/>
    <cacheHierarchy uniqueName="[Measures].[Sales SUM KZT Fact]" caption="Сумма факт KZT (факт.курс)" measure="1" displayFolder="Доходы в валютах" measureGroup="Fact Sales" count="0"/>
    <cacheHierarchy uniqueName="[Measures].[Sales SUM PLN Current Plan]" caption="Сумма факт PLN (тек.сценарий)" measure="1" displayFolder="Доходы в валютах" measureGroup="Fact Sales" count="0"/>
    <cacheHierarchy uniqueName="[Measures].[Sales SUM PLN Year Plan]" caption="Сумма факт PLN (год.сценарий)" measure="1" displayFolder="Доходы в валютах" measureGroup="Fact Sales" count="0"/>
    <cacheHierarchy uniqueName="[Measures].[Sales SUM PLN Fact]" caption="Сумма факт PLN (факт.курс)" measure="1" displayFolder="Доходы в валютах" measureGroup="Fact Sales" count="0"/>
    <cacheHierarchy uniqueName="[Measures].[Sales SUM USD Current Plan]" caption="Сумма факт USD (тек.сценарий)" measure="1" displayFolder="Доходы в валютах" measureGroup="Fact Sales" count="0"/>
    <cacheHierarchy uniqueName="[Measures].[Sales SUM USD Year Plan]" caption="Сумма факт USD (год.сценарий)" measure="1" displayFolder="Доходы в валютах" measureGroup="Fact Sales" count="0"/>
    <cacheHierarchy uniqueName="[Measures].[Sales SUM USD Fact]" caption="Сумма факт USD (факт.курс)" measure="1" displayFolder="Доходы в валютах" measureGroup="Fact Sales" count="0"/>
    <cacheHierarchy uniqueName="[Measures].[Sales SUM UAH Current Plan]" caption="Сумма факт UAH (тек.сценарий)" measure="1" displayFolder="Доходы в валютах" measureGroup="Fact Sales" count="0"/>
    <cacheHierarchy uniqueName="[Measures].[Sales SUM UAH Year Plan]" caption="Сумма факт UAH (год.сценарий)" measure="1" displayFolder="Доходы в валютах" measureGroup="Fact Sales" count="0"/>
    <cacheHierarchy uniqueName="[Measures].[Sales SUM UAH Fact]" caption="Сумма факт UAH (факт.курс)" measure="1" displayFolder="Доходы в валютах" measureGroup="Fact Sales" count="0"/>
    <cacheHierarchy uniqueName="[Measures].[Planned SUM UAH Current Plan]" caption="Сумма факт планируемые цены UAH (тек.сценарий)" measure="1" displayFolder="Факторный анализ абсол" measureGroup="Fact Sales" count="0"/>
    <cacheHierarchy uniqueName="[Measures].[Planned SUM UAH Fact]" caption="Сумма факт планируемые цены UAH (факт.курс)" measure="1" displayFolder="Факторный анализ абсол" measureGroup="Fact Sales" count="0"/>
    <cacheHierarchy uniqueName="[Measures].[Sales Sum Transfert]" caption="Сумма факт трансфертные цены (вал)" measure="1" displayFolder="Трансфертные цены" measureGroup="Fact Sales" count="0"/>
    <cacheHierarchy uniqueName="[Measures].[Sales Sum Transfert UAH Fact]" caption="Сумма факт трансфертные цены UAH (факт.курс)" measure="1" displayFolder="Трансфертные цены" measureGroup="Fact Sales" count="0"/>
    <cacheHierarchy uniqueName="[Measures].[Sales Sum Transfert UAH Year]" caption="Сумма факт трансфертные цены UAH (год.сценарий)" measure="1" displayFolder="Трансфертные цены" measureGroup="Fact Sales" count="0"/>
    <cacheHierarchy uniqueName="[Measures].[Sales Sum Transfert UAH Current]" caption="Сумма факт трансфертные цены UAH (тек.сценарий)" measure="1" displayFolder="Трансфертные цены" measureGroup="Fact Sales" count="0"/>
    <cacheHierarchy uniqueName="[Measures].[Sales Sum Transfert RUB Fact]" caption="Сумма факт трансфертные цены RUB (факт.курс)" measure="1" displayFolder="Трансфертные цены" measureGroup="Fact Sales" count="0"/>
    <cacheHierarchy uniqueName="[Measures].[Sales Sum Transfert RUB Year]" caption="Сумма факт трансфертные цены RUB (год.сценарий)" measure="1" displayFolder="Трансфертные цены" measureGroup="Fact Sales" count="0"/>
    <cacheHierarchy uniqueName="[Measures].[Sales Sum Transfert RUB Current]" caption="Сумма факт трансфертные цены RUB (тек.сценарий)" measure="1" displayFolder="Трансфертные цены" measureGroup="Fact Sales" count="0"/>
    <cacheHierarchy uniqueName="[Measures].[Sales Sum Transfert KZT Fact]" caption="Сумма факт трансфертные цены KZT (факт.курс)" measure="1" displayFolder="Трансфертные цены" measureGroup="Fact Sales" count="0"/>
    <cacheHierarchy uniqueName="[Measures].[Sales Sum Transfert KZT Year]" caption="Сумма факт трансфертные цены KZT (год.сценарий)" measure="1" displayFolder="Трансфертные цены" measureGroup="Fact Sales" count="0"/>
    <cacheHierarchy uniqueName="[Measures].[Sales Sum Transfert KZT Current]" caption="Сумма факт трансфертные цены KZT (тек.сценарий)" measure="1" displayFolder="Трансфертные цены" measureGroup="Fact Sales" count="0"/>
    <cacheHierarchy uniqueName="[Measures].[Sales DC1 fact water]" caption="С/с Вода факт" measure="1" displayFolder="Себестоимость" measureGroup="Fact Sales" count="0"/>
    <cacheHierarchy uniqueName="[Measures].[Sales DC2 fact Gas]" caption="С/с Газ факт" measure="1" displayFolder="Себестоимость" measureGroup="Fact Sales" count="0"/>
    <cacheHierarchy uniqueName="[Measures].[Sales DC3 Material]" caption="С/с мат.затраты факт" measure="1" displayFolder="Себестоимость" measureGroup="Fact Sales" count="0"/>
    <cacheHierarchy uniqueName="[Measures].[Sales DC4 Defect]" caption="С/с Брак факт" measure="1" displayFolder="Себестоимость" measureGroup="Fact Sales" count="0"/>
    <cacheHierarchy uniqueName="[Measures].[Sales DC5 NoAlt]" caption="С/с альтерн. факт" measure="1" displayFolder="Себестоимость" measureGroup="Fact Sales" count="0"/>
    <cacheHierarchy uniqueName="[Measures].[Sales DC6 Bol]" caption="С/с Больничные факт" measure="1" displayFolder="Себестоимость" measureGroup="Fact Sales" count="0"/>
    <cacheHierarchy uniqueName="[Measures].[Sales DC7 Uch]" caption="С/с Сверхнормативные выплаты факт" measure="1" displayFolder="Себестоимость" measureGroup="Fact Sales" count="0"/>
    <cacheHierarchy uniqueName="[Measures].[Sales DC8 Transport]" caption="С/с Транспорт факт" measure="1" displayFolder="Себестоимость" measureGroup="Fact Sales" count="0"/>
    <cacheHierarchy uniqueName="[Measures].[Sales DC9 Payroll]" caption="С/с ФОТ факт" measure="1" displayFolder="Себестоимость" measureGroup="Fact Sales" count="0"/>
    <cacheHierarchy uniqueName="[Measures].[Sales DC10 Electro]" caption="С/с ЭЭ факт" measure="1" displayFolder="Себестоимость" measureGroup="Fact Sales" count="0"/>
    <cacheHierarchy uniqueName="[Measures].[Sales DC11 Pa]" caption="С/с Пар факт" measure="1" displayFolder="Себестоимость" measureGroup="Fact Sales" count="0"/>
    <cacheHierarchy uniqueName="[Measures].[Sales DC12 Diezel]" caption="С/с Диз.топливо факт" measure="1" displayFolder="Себестоимость" measureGroup="Fact Sales" count="0"/>
    <cacheHierarchy uniqueName="[Measures].[Sales DC13 Sub]" caption="С/с субподряд факт" measure="1" displayFolder="Себестоимость" measureGroup="Fact Sales" count="0"/>
    <cacheHierarchy uniqueName="[Measures].[Sales DC14 Vozd]" caption="С/с Воздух технол. факт" measure="1" displayFolder="Себестоимость" measureGroup="Fact Sales" count="0"/>
    <cacheHierarchy uniqueName="[Measures].[Sales DC15 Teplo]" caption="С/с Тепло факт" measure="1" displayFolder="Себестоимость" measureGroup="Fact Sales" count="0"/>
    <cacheHierarchy uniqueName="[Measures].[Sales DC16 Otpusk]" caption="С/с Отпускные факт" measure="1" displayFolder="Себестоимость" measureGroup="Fact Sales" count="0"/>
    <cacheHierarchy uniqueName="[Measures].[Sales DC fact UAH]" caption="Себестоимость UAH факт" measure="1" displayFolder="Себестоимость" measureGroup="Fact Sales" count="0"/>
    <cacheHierarchy uniqueName="[Measures].[Sales DC fact UAH Current]" caption="Себестоимость UAH факт  (тек.сценарий)" measure="1" displayFolder="Себестоимость" measureGroup="Fact Sales" count="0"/>
    <cacheHierarchy uniqueName="[Measures].[Sales DC fact UAH Year]" caption="Себестоимость UAH факт  (год.сценарий)" measure="1" displayFolder="Себестоимость" measureGroup="Fact Sales" count="0"/>
    <cacheHierarchy uniqueName="[Measures].[Planned Sum Year UAH Year Plan]" caption="Сумма факт год.планируемые цены UAH (год.сценарий)" measure="1" displayFolder="Факторный анализ абсол" measureGroup="Fact Sales" count="0"/>
    <cacheHierarchy uniqueName="[Measures].[Planned Sum Year UAH Fact]" caption="Сумма факт год.планируемые цены UAH (факт.курс)" measure="1" displayFolder="Факторный анализ абсол" measureGroup="Fact Sales" count="0"/>
    <cacheHierarchy uniqueName="[Measures].[sales FA Weight Net]" caption="Кол-во (для факторного анализа)" measure="1" displayFolder="Факторный анализ абсол" measureGroup="Fact Sales" count="0"/>
    <cacheHierarchy uniqueName="[Measures].[Com Bonuses Currency]" caption="Ф_OPR_ЗС Ком бонус" measure="1" displayFolder="Коммерческие бонусы Факт" measureGroup="Fact Sales" count="0"/>
    <cacheHierarchy uniqueName="[Measures].[Com Bonuses UAH Current Plan]" caption="Коммерческий Бонус факт UAH (тек.сценарий)" measure="1" displayFolder="Коммерческие бонусы Факт" measureGroup="Fact Sales" count="0"/>
    <cacheHierarchy uniqueName="[Measures].[Com Bonuses UAH Year Plan]" caption="Коммерческий Бонус факт UAH (год.сценарий)" measure="1" displayFolder="Коммерческие бонусы Факт" measureGroup="Fact Sales" count="0"/>
    <cacheHierarchy uniqueName="[Measures].[Com Bonuses UAH Fact]" caption="Коммерческий Бонус факт UAH (факт.курс)" measure="1" displayFolder="Коммерческие бонусы Факт" measureGroup="Fact Sales" count="0"/>
    <cacheHierarchy uniqueName="[Measures].[Com Bonuses RUB Current Plan]" caption="Коммерческий Бонус факт RUB (тек.сценарий)" measure="1" displayFolder="Коммерческие бонусы Факт" measureGroup="Fact Sales" count="0"/>
    <cacheHierarchy uniqueName="[Measures].[Sales Profit UAH Fact]" caption="Маржинальный доход (СтП) факт, UAH (факт.курс)" measure="1" displayFolder="Маржинальный доход факт" measureGroup="Fact Sales" count="0"/>
    <cacheHierarchy uniqueName="[Measures].[Sales Profit UAH Year]" caption="Маржинальный доход (СтП) факт, UAH (год. сценарий)" measure="1" displayFolder="Маржинальный доход факт" measureGroup="Fact Sales" count="0"/>
    <cacheHierarchy uniqueName="[Measures].[Sales Profit UAH Current]" caption="Маржинальный доход (СтП) факт, UAH (тек. сценарий)" measure="1" displayFolder="Маржинальный доход факт" measureGroup="Fact Sales" count="0"/>
    <cacheHierarchy uniqueName="[Measures].[SalesProfitUAHFactTransport]" caption="Маржинальный доход (СтП) факт (факт транспорт), UAH  (факт курс)" measure="1" displayFolder="Маржинальный доход факт" measureGroup="Fact Sales" count="0"/>
    <cacheHierarchy uniqueName="[Measures].[Sales Profit UAH Curr New]" caption="Маржинальный доход (СтП) нов. факт, UAH (тек.сценарий) для показателей" measure="1" displayFolder="Маржинальный доход факт" measureGroup="Fact Sales" count="0"/>
    <cacheHierarchy uniqueName="[Measures].[Sales Profit RUB Curr New]" caption="Маржинальный доход (СтП) нов. факт, RUB (тек.сценарий) для показателей" measure="1" displayFolder="Маржинальный доход факт" measureGroup="Fact Sales" count="0"/>
    <cacheHierarchy uniqueName="[Measures].[Sales Profit EUR Curr New]" caption="Маржинальный доход (СтП) нов. факт, EUR (тек.сценарий) для показателей" measure="1" displayFolder="Маржинальный доход факт" measureGroup="Fact Sales" count="0"/>
    <cacheHierarchy uniqueName="[Measures].[Sales Profit KZT Curr New]" caption="Маржинальный доход (СтП) нов. факт, KZT (тек.сценарий) для показателей" measure="1" displayFolder="Маржинальный доход факт" measureGroup="Fact Sales" count="0"/>
    <cacheHierarchy uniqueName="[Measures].[Sales Profit UAH Year New]" caption="Маржинальный доход (СтП) нов. факт, UAH (год.сценарий) для показателей" measure="1" displayFolder="Маржинальный доход факт" measureGroup="Fact Sales" count="0"/>
    <cacheHierarchy uniqueName="[Measures].[Sales Profit RUB Year New]" caption="Маржинальный доход (СтП) нов. факт, RUB (год.сценарий) для показателей" measure="1" displayFolder="Маржинальный доход факт" measureGroup="Fact Sales" count="0"/>
    <cacheHierarchy uniqueName="[Measures].[Sales Profit EUR Year New]" caption="Маржинальный доход (СтП) нов. факт, EUR (год.сценарий) для показателей" measure="1" displayFolder="Маржинальный доход факт" measureGroup="Fact Sales" count="0"/>
    <cacheHierarchy uniqueName="[Measures].[Sales Profit KZT Year New]" caption="Маржинальный доход (СтП) нов. факт, KZT (год.сценарий) для показателей" measure="1" displayFolder="Маржинальный доход факт" measureGroup="Fact Sales" count="0"/>
    <cacheHierarchy uniqueName="[Measures].[Sales Profit 1 UAH Year]" caption="Маржинальный доход 1 (по прямым затратам) факт, UAH (год. сценарий)" measure="1" displayFolder="Маржинальный доход факт" measureGroup="Fact Sales" count="0"/>
    <cacheHierarchy uniqueName="[Measures].[Sales Profit 1 UAH Current]" caption="Маржинальный доход 1 (по прямым затратам) факт, UAH (тек. сценарий)" measure="1" displayFolder="Маржинальный доход факт" measureGroup="Fact Sales" count="0"/>
    <cacheHierarchy uniqueName="[Measures].[Sales Profit 1 UAH Fact]" caption="Маржинальный доход 1 (по прямым затратам) факт, UAH (факт.курс)" measure="1" displayFolder="Маржинальный доход факт" measureGroup="Fact Sales" count="0"/>
    <cacheHierarchy uniqueName="[Measures].[Sales Profit Pers Fact]" caption="Рентабельность продаж (СтП) факт, % (факт. курс)" measure="1" displayFolder="Рентабельность продаж факт" measureGroup="Fact Sales" count="0"/>
    <cacheHierarchy uniqueName="[Measures].[Sales Profit Pers Pokazatel Year]" caption="Рентабельность продаж (СтП) факт для показателей, (год.сценарий) %" measure="1" displayFolder="Рентабельность продаж факт" measureGroup="Fact Sales" count="0"/>
    <cacheHierarchy uniqueName="[Measures].[Sales Profit Pers Pokazatel Current]" caption="Рентабельность продаж (СтП) факт для показателей, (тек.сценарий) %" measure="1" displayFolder="Рентабельность продаж факт" measureGroup="Fact Sales" count="0"/>
    <cacheHierarchy uniqueName="[Measures].[SalesProfitPercFactTransport]" caption="Рентабельность продаж (СтП) факт, (факт транспорт) % (факт.курс)" measure="1" displayFolder="Рентабельность продаж факт" measureGroup="Fact Sales" count="0"/>
    <cacheHierarchy uniqueName="[Measures].[Sales Profit Pers Year New]" caption="Рентабельность продаж (СтП) факт, % (год.сценарий)" measure="1" displayFolder="Рентабельность продаж факт" measureGroup="Fact Sales" count="0"/>
    <cacheHierarchy uniqueName="[Measures].[Sales Profit Pers Curr New]" caption="Рентабельность продаж (СтП) факт, % (тек.сценарий)" measure="1" displayFolder="Рентабельность продаж факт" measureGroup="Fact Sales" count="0"/>
    <cacheHierarchy uniqueName="[Measures].[Sales Profit 1 Pers Year]" caption="Рентабельность продаж 1 (по прямым затратам) факт, % (год.сценарий)" measure="1" displayFolder="Рентабельность продаж факт" measureGroup="Fact Sales" count="0"/>
    <cacheHierarchy uniqueName="[Measures].[Sales Profit 1 Pers Curr]" caption="Рентабельность продаж 1 (по прямым затратам) факт, % (тек.сценарий)" measure="1" displayFolder="Рентабельность продаж факт" measureGroup="Fact Sales" count="0"/>
    <cacheHierarchy uniqueName="[Measures].[Sales Profit 1 Pers Fact]" caption="Рентабельность продаж 1 (по прямым затратам) факт, % (факт.курс)" measure="1" displayFolder="Рентабельность продаж факт" measureGroup="Fact Sales" count="0"/>
    <cacheHierarchy uniqueName="[Measures].[SZ Transportation Costs]" caption="Транспорт - доставка до Дистрибуций Показатель, вал. факт" measure="1" displayFolder="Транспорт и таможня (не актуально)" measureGroup="Fact Sales" count="0"/>
    <cacheHierarchy uniqueName="[Measures].[SZ Transportation Costs UAH Year]" caption="Транспорт - доставка до Дистрибуций Показатель, UAH. факт (год. сценарий)" measure="1" displayFolder="Транспорт и таможня (не актуально)" measureGroup="Fact Sales" count="0"/>
    <cacheHierarchy uniqueName="[Measures].[SZ Transportation Costs UAH Current]" caption="Транспорт - доставка до Дистрибуций Показатель, UAH. факт (тек. сценарий)" measure="1" displayFolder="Транспорт и таможня (не актуально)" measureGroup="Fact Sales" count="0"/>
    <cacheHierarchy uniqueName="[Measures].[SZ Transportation Costs BDR]" caption="Транспорт - доставка до Дистрибуций БДР, вал. факт" measure="1" displayFolder="Транспорт и таможня (не актуально)" measureGroup="Fact Sales" count="0"/>
    <cacheHierarchy uniqueName="[Measures].[SZ Transportation Costs BDR UAH Fact]" caption="Транспорт - доставка до Дистрибуций БДР, UAH факт (факт.курс)" measure="1" displayFolder="Транспорт и таможня (не актуально)" measureGroup="Fact Sales" count="0"/>
    <cacheHierarchy uniqueName="[Measures].[SZ Transportation Costs BDR UAH Current]" caption="Транспорт - доставка до Дистрибуций БДР, UAH факт (тек.сценарий)" measure="1" displayFolder="Транспорт и таможня (не актуально)" measureGroup="Fact Sales" count="0"/>
    <cacheHierarchy uniqueName="[Measures].[SZ Transportation Costs BDR UAH Year]" caption="Транспорт - доставка до Дистрибуций БДР, UAH факт (год.сценарий)" measure="1" displayFolder="Транспорт и таможня (не актуально)" measureGroup="Fact Sales" count="0"/>
    <cacheHierarchy uniqueName="[Measures].[SZ Customs Charges]" caption="Таможня - доставка до Дистрибуций Показатель, вал. факт" measure="1" displayFolder="Транспорт и таможня (не актуально)" measureGroup="Fact Sales" count="0"/>
    <cacheHierarchy uniqueName="[Measures].[SZ Customs Charges UAH Current]" caption="Таможня - доставка до Дистрибуций Показатель, UAH факт (тек. сценарий)" measure="1" displayFolder="Транспорт и таможня (не актуально)" measureGroup="Fact Sales" count="0"/>
    <cacheHierarchy uniqueName="[Measures].[SZ Customs Charges UAH Year]" caption="Таможня - доставка до Дистрибуций Показатель, UAH факт (год. сценарий)" measure="1" displayFolder="Транспорт и таможня (не актуально)" measureGroup="Fact Sales" count="0"/>
    <cacheHierarchy uniqueName="[Measures].[SZ Customs Charges BDR]" caption="Таможня - доставка до Дистрибуций БДР, вал. факт" measure="1" displayFolder="Транспорт и таможня (не актуально)" measureGroup="Fact Sales" count="0"/>
    <cacheHierarchy uniqueName="[Measures].[SZ Customs Charges BDR UAH Fact]" caption="Таможня - доставка до Дистрибуций БДР, UAH факт (факт.курс)" measure="1" displayFolder="Транспорт и таможня (не актуально)" measureGroup="Fact Sales" count="0"/>
    <cacheHierarchy uniqueName="[Measures].[SZ Customs Charges BDR UAH Current]" caption="Таможня - доставка до Дистрибуций БДР, UAH факт (тек.сценарий)" measure="1" displayFolder="Транспорт и таможня (не актуально)" measureGroup="Fact Sales" count="0"/>
    <cacheHierarchy uniqueName="[Measures].[SZ Customs Charges BDR UAH Year]" caption="Таможня - доставка до Дистрибуций БДР, UAH факт (год.сценарий)" measure="1" displayFolder="Транспорт и таможня (не актуально)" measureGroup="Fact Sales" count="0"/>
    <cacheHierarchy uniqueName="[Measures].[SSP Current]" caption="Себестоимость для Показателей факт, UAH (тек. сценарий)" measure="1" displayFolder="Себестоимость для Показателя" measureGroup="Fact Sales" count="0"/>
    <cacheHierarchy uniqueName="[Measures].[SSP Year]" caption="Себестоимость для Показателей факт, UAH (год. сценарий)" measure="1" displayFolder="Себестоимость для Показателя" measureGroup="Fact Sales" count="0"/>
    <cacheHierarchy uniqueName="[Measures].[SSP RUB Year]" caption="Себестоимость для Показателей факт, RUB (год.сценарий)" measure="1" displayFolder="Себестоимость для Показателя" measureGroup="Fact Sales" count="0"/>
    <cacheHierarchy uniqueName="[Measures].[SSP RUB Current]" caption="Себестоимость для Показателей факт, RUB (тек.сценарий)" measure="1" displayFolder="Себестоимость для Показателя" measureGroup="Fact Sales" count="0"/>
    <cacheHierarchy uniqueName="[Measures].[SSP KZT Current]" caption="Себестоимость для Показателей факт, KZT (тек.сценарий)" measure="1" displayFolder="Себестоимость для Показателя" measureGroup="Fact Sales" count="0"/>
    <cacheHierarchy uniqueName="[Measures].[SSP KZT Year]" caption="Себестоимость для Показателей факт, KZT (год.сценарий)" measure="1" displayFolder="Себестоимость для Показателя" measureGroup="Fact Sales" count="0"/>
    <cacheHierarchy uniqueName="[Measures].[SSP EUR Current]" caption="Себестоимость для Показателей факт, EUR (тек.сценарий)" measure="1" displayFolder="Себестоимость для Показателя" measureGroup="Fact Sales" count="0"/>
    <cacheHierarchy uniqueName="[Measures].[SSP EUR Year]" caption="Себестоимость для Показателей факт, EUR (год.сценарий)" measure="1" displayFolder="Себестоимость для Показателя" measureGroup="Fact Sales" count="0"/>
    <cacheHierarchy uniqueName="[Measures].[SS RUB Year]" caption="Себестоимость факт, RUB (год.сценарий)" measure="1" displayFolder="Себестоимость" measureGroup="Fact Sales" count="0"/>
    <cacheHierarchy uniqueName="[Measures].[SS RUB Current]" caption="Себестоимость факт, RUB (тек.сценарий)" measure="1" displayFolder="Себестоимость" measureGroup="Fact Sales" count="0"/>
    <cacheHierarchy uniqueName="[Measures].[SS KZT Year]" caption="Себестоимость факт, KZT (год.сценарий)" measure="1" displayFolder="Себестоимость" measureGroup="Fact Sales" count="0"/>
    <cacheHierarchy uniqueName="[Measures].[SS KZT Current]" caption="Себестоимость факт, KZT (тек.сценарий)" measure="1" displayFolder="Себестоимость" measureGroup="Fact Sales" count="0"/>
    <cacheHierarchy uniqueName="[Measures].[SS EUR Year]" caption="Себестоимость факт, EUR (год.сценарий)" measure="1" displayFolder="Себестоимость" measureGroup="Fact Sales" count="0"/>
    <cacheHierarchy uniqueName="[Measures].[SS EUR Current]" caption="Себестоимость факт, EUR (тек.сценарий)" measure="1" displayFolder="Себестоимость" measureGroup="Fact Sales" count="0"/>
    <cacheHierarchy uniqueName="[Measures].[SS Plan Current]" caption="Себестоимость факт по плановым калькуляциям, UAH (тек. сценарий)" measure="1" displayFolder="Себестоимость" measureGroup="Fact Sales" count="0"/>
    <cacheHierarchy uniqueName="[Measures].[SS Plan Year]" caption="Себестоимость факт по плановым калькуляциям, UAH (год. сценарий)" measure="1" displayFolder="Себестоимость" measureGroup="Fact Sales" count="0"/>
    <cacheHierarchy uniqueName="[Measures].[SS Plan EUR Current]" caption="Себестоимость факт по плановым калькуляциям, EUR (тек. сценарий)" measure="1" displayFolder="Себестоимость" measureGroup="Fact Sales" count="0"/>
    <cacheHierarchy uniqueName="[Measures].[SS Plan RUB Current]" caption="Себестоимость факт по плановым калькуляциям, RUB (тек. сценарий)" measure="1" displayFolder="Себестоимость" measureGroup="Fact Sales" count="0"/>
    <cacheHierarchy uniqueName="[Measures].[SS Plan KZT Current]" caption="Себестоимость факт по плановым калькуляциям, KZT (тек. сценарий)" measure="1" displayFolder="Себестоимость" measureGroup="Fact Sales" count="0"/>
    <cacheHierarchy uniqueName="[Measures].[SS Plan EUR Year]" caption="Себестоимость факт по плановым калькуляциям, EUR (год. сценарий)" measure="1" displayFolder="Себестоимость" measureGroup="Fact Sales" count="0"/>
    <cacheHierarchy uniqueName="[Measures].[SS Plan RUB Year]" caption="Себестоимость факт по плановым калькуляциям, RUB (год. сценарий)" measure="1" displayFolder="Себестоимость" measureGroup="Fact Sales" count="0"/>
    <cacheHierarchy uniqueName="[Measures].[SS Plan KZT Year]" caption="Себестоимость факт по плановым калькуляциям, KZT (год. сценарий)" measure="1" displayFolder="Себестоимость" measureGroup="Fact Sales" count="0"/>
    <cacheHierarchy uniqueName="[Measures].[Accounting SUM UAH Current Plan]" caption="Сумма факт учетные цены, UAH (тек.сценарий)" measure="1" displayFolder="Отдел Продаж" measureGroup="Fact Sales" count="0"/>
    <cacheHierarchy uniqueName="[Measures].[Accounting SUM UAH Year Plan]" caption="Сумма факт учетные цены, UAH (год.сценарий)" measure="1" displayFolder="Отдел Продаж" measureGroup="Fact Sales" count="0"/>
    <cacheHierarchy uniqueName="[Measures].[Accounting SUM UAH Fact]" caption="Сумма факт учетные цены, UAH (факт.курс)" measure="1" displayFolder="Отдел Продаж" measureGroup="Fact Sales" count="0"/>
    <cacheHierarchy uniqueName="[Measures].[FA Dev QTY]" caption="Абсол Отклонение за счет кол-ва (в грн)" measure="1" displayFolder="Факторный анализ абсол" measureGroup="Fact Sales" count="0"/>
    <cacheHierarchy uniqueName="[Measures].[FA Dev Cur Rate]" caption="Абсол Отклонение за счет курса валюты" measure="1" displayFolder="Факторный анализ абсол" measureGroup="Fact Sales" count="0"/>
    <cacheHierarchy uniqueName="[Measures].[FA Dev Struct]" caption="Абсол Отклонение за счет структуры (в грн)" measure="1" displayFolder="Факторный анализ абсол" measureGroup="Fact Sales" count="0"/>
    <cacheHierarchy uniqueName="[Measures].[FA Dev Price]" caption="Абсол Отклонение за счет цены (в грн)" measure="1" displayFolder="Факторный анализ абсол" measureGroup="Fact Sales" count="0"/>
    <cacheHierarchy uniqueName="[Measures].[FA DC Dev QTY]" caption="Отклонение СС за счет количества (грн)" measure="1" displayFolder="Факторный анализ Себестоимости DC" measureGroup="Fact Sales" count="0"/>
    <cacheHierarchy uniqueName="[Measures].[FA DC Dev Cur Rate]" caption="Отклонение СС за счет курсов (грн)" measure="1" displayFolder="Факторный анализ Себестоимости DC" measureGroup="Fact Sales" count="0"/>
    <cacheHierarchy uniqueName="[Measures].[FA DC Dev Struct]" caption="Отклонение СС за счет структуры (грн)" measure="1" displayFolder="Факторный анализ Себестоимости DC" measureGroup="Fact Sales" count="0"/>
    <cacheHierarchy uniqueName="[Measures].[FA DC Dev Price]" caption="Отклонение CC за счет цены (грн)" measure="1" displayFolder="Факторный анализ Себестоимости DC" measureGroup="Fact Sales" count="0"/>
    <cacheHierarchy uniqueName="[Measures].[FA COM Dev QTY]" caption="Коммерческий бонус Отклонение за счет кол-ва (в грн)" measure="1" displayFolder="Факторный анализ Коммерческих бонусов" measureGroup="Fact Sales" count="0"/>
    <cacheHierarchy uniqueName="[Measures].[FA COM Dev Struct]" caption="Коммерческий бонус Отклонение за счет структуры (в грн)" measure="1" displayFolder="Факторный анализ Коммерческих бонусов" measureGroup="Fact Sales" count="0"/>
    <cacheHierarchy uniqueName="[Measures].[FA COM Dev Price]" caption="Коммерческий бонус Отклонение за счет цены (в грн)" measure="1" displayFolder="Факторный анализ Коммерческих бонусов" measureGroup="Fact Sales" count="0"/>
    <cacheHierarchy uniqueName="[Measures].[FA COM Dev Cur Rate]" caption="Коммерческий бонус Отклонение за счет курса валюты" measure="1" displayFolder="Факторный анализ Коммерческих бонусов" measureGroup="Fact Sales" count="0"/>
    <cacheHierarchy uniqueName="[Measures].[FA LO Dev QTY]" caption="Логистический бонус Отклонение за счет кол-ва (в грн)" measure="1" displayFolder="Факторный анализ Логистических бонусов" measureGroup="Fact Sales" count="0"/>
    <cacheHierarchy uniqueName="[Measures].[FA LO Dev Struct]" caption="Логистический бонус Отклонение за счет структуры (в грн)" measure="1" displayFolder="Факторный анализ Логистических бонусов" measureGroup="Fact Sales" count="0"/>
    <cacheHierarchy uniqueName="[Measures].[FA LO Dev Price]" caption="Логистический бонус Отклонение за счет цены (в грн)" measure="1" displayFolder="Факторный анализ Логистических бонусов" measureGroup="Fact Sales" count="0"/>
    <cacheHierarchy uniqueName="[Measures].[FA LO Dev Cur Rate]" caption="Логистический бонус Отклонение за счет курса валюты" measure="1" displayFolder="Факторный анализ Логистических бонусов" measureGroup="Fact Sales" count="0"/>
    <cacheHierarchy uniqueName="[Measures].[Re Transport SUM Currency]" caption="Сумма перевыставленного транспорта экспорт факт, (вал)" measure="1" displayFolder="Перевыставленный транспорт" measureGroup="Fact Sales" count="0"/>
    <cacheHierarchy uniqueName="[Measures].[ReTransportSUMUAHFact]" caption="Сумма перевыставленного транспорта экспорт факт UAH, (факт.курс)" measure="1" displayFolder="Перевыставленный транспорт" measureGroup="Fact Sales" count="0"/>
    <cacheHierarchy uniqueName="[Measures].[ReTransportSUMUAHYearPlan]" caption="Сумма перевыставленного транспорта экспорт факт UAH, (год.сценарий)" measure="1" displayFolder="Перевыставленный транспорт" measureGroup="Fact Sales" count="0"/>
    <cacheHierarchy uniqueName="[Measures].[ReTransportProfitUAHFact]" caption="Доход от перепродажи транспортных услуг, UAH (факт.курс)" measure="1" displayFolder="Перевыставленный транспорт" measureGroup="Fact Sales" count="0"/>
    <cacheHierarchy uniqueName="[Measures].[ReTransportProfitUAHYearPlan]" caption="Доход от перепродажи транспортных услуг, UAH (год. сценарий)" measure="1" displayFolder="Перевыставленный транспорт" measureGroup="Fact Sales" count="0"/>
    <cacheHierarchy uniqueName="[Measures].[SZ Permanent Customs Costs Import]" caption="Факт. постоянные таможенные расходы (импорт) RUB" measure="1" displayFolder="Логистические затраты" measureGroup="Fact Sales" count="0"/>
    <cacheHierarchy uniqueName="[Measures].[SZ Permanent Customs Costs Import UAH Fact]" caption="Факт. постоянные таможенные расходы (импорт) UAH (факт.курс)" measure="1" displayFolder="Логистические затраты" measureGroup="Fact Sales" count="0"/>
    <cacheHierarchy uniqueName="[Measures].[SZ Permanent Customs Costs Import UAH Year]" caption="Факт. постоянные таможенные расходы (импорт) UAH (год.сценарий)" measure="1" displayFolder="Логистические затраты" measureGroup="Fact Sales" count="0"/>
    <cacheHierarchy uniqueName="[Measures].[SZ Permanent Customs Costs Import UAH Current]" caption="Факт. постоянные таможенные расходы (импорт) UAH (тек.сценарий)" measure="1" displayFolder="Логистические затраты" measureGroup="Fact Sales" count="0"/>
    <cacheHierarchy uniqueName="[Measures].[SZ Permanent Customs Costs Export]" caption="Факт. постоянные таможенные расходы (экспорт)" measure="1" displayFolder="Логистические затраты" measureGroup="Fact Sales" count="0"/>
    <cacheHierarchy uniqueName="[Measures].[SZ Permanent Customs Costs Export RUB Fact]" caption="Факт. постоянные таможенные расходы (экспорт) RUB (факт.курс)" measure="1" displayFolder="Логистические затраты" measureGroup="Fact Sales" count="0"/>
    <cacheHierarchy uniqueName="[Measures].[SZ Permanent Customs Costs Export RUB Year]" caption="Факт. постоянные таможенные расходы (экспорт) RUB (год.сценарий)" measure="1" displayFolder="Логистические затраты" measureGroup="Fact Sales" count="0"/>
    <cacheHierarchy uniqueName="[Measures].[SZ Permanent Customs Costs Export RUB Current]" caption="Факт. постоянные таможенные расходы (экспорт) RUB (тек.сценарий)" measure="1" displayFolder="Логистические затраты" measureGroup="Fact Sales" count="0"/>
    <cacheHierarchy uniqueName="[Measures].[SZ Permanent Customs Costs Export KZT Fact]" caption="Факт. постоянные таможенные расходы (экспорт) KZT (факт.курс)" measure="1" displayFolder="Логистические затраты" measureGroup="Fact Sales" count="0"/>
    <cacheHierarchy uniqueName="[Measures].[SZ Permanent Customs Costs Export KZT Year]" caption="Факт. постоянные таможенные расходы (экспорт) KZT (год.сценарий)" measure="1" displayFolder="Логистические затраты" measureGroup="Fact Sales" count="0"/>
    <cacheHierarchy uniqueName="[Measures].[SZ Permanent Customs Costs Export KZT Current]" caption="Факт. постоянные таможенные расходы (экспорт) KZT (тек.сценарий)" measure="1" displayFolder="Логистические затраты" measureGroup="Fact Sales" count="0"/>
    <cacheHierarchy uniqueName="[Measures].[SZ Permanent Customs Costs Export EUR Fact]" caption="Факт. постоянные таможенные расходы (экспорт) EUR (факт.курс)" measure="1" displayFolder="Логистические затраты" measureGroup="Fact Sales" count="0"/>
    <cacheHierarchy uniqueName="[Measures].[SZ Permanent Customs Costs Export EUR Year]" caption="Факт. постоянные таможенные расходы (экспорт) EUR (год.сценарий)" measure="1" displayFolder="Логистические затраты" measureGroup="Fact Sales" count="0"/>
    <cacheHierarchy uniqueName="[Measures].[SZ Permanent Customs Costs Export EUR Current]" caption="Факт. постоянные таможенные расходы (экспорт) EUR (тек.сценарий)" measure="1" displayFolder="Логистические затраты" measureGroup="Fact Sales" count="0"/>
    <cacheHierarchy uniqueName="[Measures].[SZ Costs SGP Tula]" caption="Факт. расходы СГП Тула RUB" measure="1" displayFolder="Логистические затраты" measureGroup="Fact Sales" count="0"/>
    <cacheHierarchy uniqueName="[Measures].[SZ Costs SGP Tula UAH Fact]" caption="Факт. расходы СГП Тула UAH (факт.курс)" measure="1" displayFolder="Логистические затраты" measureGroup="Fact Sales" count="0"/>
    <cacheHierarchy uniqueName="[Measures].[SZ Costs SGP Tula UAH Year]" caption="Факт. расходы СГП Тула UAH (год.сценарий)" measure="1" displayFolder="Логистические затраты" measureGroup="Fact Sales" count="0"/>
    <cacheHierarchy uniqueName="[Measures].[SZ Costs SGP Tula UAH Current]" caption="Факт. расходы СГП Тула UAH (тек.сценарий)" measure="1" displayFolder="Логистические затраты" measureGroup="Fact Sales" count="0"/>
    <cacheHierarchy uniqueName="[Measures].[SZ Costs SGP Kharkov]" caption="Факт. расходы СГП Харьков UAH" measure="1" displayFolder="Логистические затраты" measureGroup="Fact Sales" count="0"/>
    <cacheHierarchy uniqueName="[Measures].[SZ Costs SGP Kharkov RUB Fact]" caption="Факт. расходы СГП Харьков RUB (факт.курс)" measure="1" displayFolder="Логистические затраты" measureGroup="Fact Sales" count="0"/>
    <cacheHierarchy uniqueName="[Measures].[SZ Costs SGP Kharkov RUB Year]" caption="Факт. расходы СГП Харьков RUB (год.сценарий)" measure="1" displayFolder="Логистические затраты" measureGroup="Fact Sales" count="0"/>
    <cacheHierarchy uniqueName="[Measures].[SZ Costs SGP Kharkov RUB Current]" caption="Факт. расходы СГП Харьков RUB (тек.сценарий)" measure="1" displayFolder="Логистические затраты" measureGroup="Fact Sales" count="0"/>
    <cacheHierarchy uniqueName="[Measures].[SZ Costs SGP Kharkov KZT Fact]" caption="Факт. расходы СГП Харьков KZT (факт.курс)" measure="1" displayFolder="Логистические затраты" measureGroup="Fact Sales" count="0"/>
    <cacheHierarchy uniqueName="[Measures].[SZ Costs SGP Kharkov KZT Year]" caption="Факт. расходы СГП Харьков KZT (год.сценарий)" measure="1" displayFolder="Логистические затраты" measureGroup="Fact Sales" count="0"/>
    <cacheHierarchy uniqueName="[Measures].[SZ Costs SGP Kharkov KZT Current]" caption="Факт. расходы СГП Харьков KZT (тек.сценарий)" measure="1" displayFolder="Логистические затраты" measureGroup="Fact Sales" count="0"/>
    <cacheHierarchy uniqueName="[Measures].[SZ Costs SGP Kharkov EUR Fact]" caption="Факт. расходы СГП Харьков EUR (факт.курс)" measure="1" displayFolder="Логистические затраты" measureGroup="Fact Sales" count="0"/>
    <cacheHierarchy uniqueName="[Measures].[SZ Costs SGP Kharkov EUR Year]" caption="Факт. расходы СГП Харьков EUR (год.сценарий)" measure="1" displayFolder="Логистические затраты" measureGroup="Fact Sales" count="0"/>
    <cacheHierarchy uniqueName="[Measures].[SZ Costs SGP Kharkov EUR Current]" caption="Факт. расходы СГП Харьков EUR (тек.сценарий)" measure="1" displayFolder="Логистические затраты" measureGroup="Fact Sales" count="0"/>
    <cacheHierarchy uniqueName="[Measures].[SZ Costs SGP Shebekino]" caption="Факт. расходы СГП Шебекино, RUB" measure="1" displayFolder="Логистические затраты" measureGroup="Fact Sales" count="0"/>
    <cacheHierarchy uniqueName="[Measures].[SZ Costs SGP Shebekino UAH Fact]" caption="Факт. расходы СГП Шебекино, UAH (факт.курс)" measure="1" displayFolder="Логистические затраты" measureGroup="Fact Sales" count="0"/>
    <cacheHierarchy uniqueName="[Measures].[SZ Costs SGP Shebekino UAH Year]" caption="Факт. расходы СГП Шебекино, UAH (год.сценарий)" measure="1" displayFolder="Логистические затраты" measureGroup="Fact Sales" count="0"/>
    <cacheHierarchy uniqueName="[Measures].[SZ Costs SGP Shebekino UAH Current]" caption="Факт. расходы СГП Шебекино, UAH (тек.сценарий)" measure="1" displayFolder="Логистические затраты" measureGroup="Fact Sales" count="0"/>
    <cacheHierarchy uniqueName="[Measures].[SZ Costs RC Belgorod]" caption="Факт расходы РЦ Белгород, RUB" measure="1" displayFolder="Логистические затраты" measureGroup="Fact Sales" count="0"/>
    <cacheHierarchy uniqueName="[Measures].[SZ Costs RC Belgorod UAH Fact]" caption="Факт расходы РЦ Белгород, UAH (факт.курс)" measure="1" displayFolder="Логистические затраты" measureGroup="Fact Sales" count="0"/>
    <cacheHierarchy uniqueName="[Measures].[SZ Costs RC Belgorod UAH Year]" caption="Факт расходы РЦ Белгород, UAH (год.сценарий)" measure="1" displayFolder="Логистические затраты" measureGroup="Fact Sales" count="0"/>
    <cacheHierarchy uniqueName="[Measures].[SZ Costs RC Belgorod UAH Current]" caption="Факт расходы РЦ Белгород, UAH (тек.сценарий)" measure="1" displayFolder="Логистические затраты" measureGroup="Fact Sales" count="0"/>
    <cacheHierarchy uniqueName="[Measures].[SZ Costs RC Belgorod KZT Fact]" caption="Факт расходы РЦ Белгород, KZT (факт.курс)" measure="1" displayFolder="Логистические затраты" measureGroup="Fact Sales" count="0"/>
    <cacheHierarchy uniqueName="[Measures].[SZ Costs RC Belgorod KZT Year]" caption="Факт расходы РЦ Белгород, KZT (год.сценарий)" measure="1" displayFolder="Логистические затраты" measureGroup="Fact Sales" count="0"/>
    <cacheHierarchy uniqueName="[Measures].[SZ Costs RC Belgorod KZT Current]" caption="Факт расходы РЦ Белгород, KZT (тек.сценарий)" measure="1" displayFolder="Логистические затраты" measureGroup="Fact Sales" count="0"/>
    <cacheHierarchy uniqueName="[Measures].[SZ Regional Warehouse Costs]" caption="Факт. содержание регионального склада вал." measure="1" displayFolder="Логистические затраты" measureGroup="Fact Sales" count="0"/>
    <cacheHierarchy uniqueName="[Measures].[SZ Regional Warehouse Costs UAH Fact]" caption="Факт. содержание регионального склада UAH (факт.курс)" measure="1" displayFolder="Логистические затраты" measureGroup="Fact Sales" count="0"/>
    <cacheHierarchy uniqueName="[Measures].[SZ Regional Warehouse Costs UAH Year]" caption="Факт. содержание регионального склада UAH (год.сценарий)" measure="1" displayFolder="Логистические затраты" measureGroup="Fact Sales" count="0"/>
    <cacheHierarchy uniqueName="[Measures].[SZ Regional Warehouse Costs UAH Current]" caption="Факт. содержание регионального склада UAH (тек.сценарий)" measure="1" displayFolder="Логистические затраты" measureGroup="Fact Sales" count="0"/>
    <cacheHierarchy uniqueName="[Measures].[SZ Logistics Bonuses]" caption="Факт. логистические бонусы вал." measure="1" displayFolder="Логистические затраты" measureGroup="Fact Sales" count="0"/>
    <cacheHierarchy uniqueName="[Measures].[SZ Logistics Bonuses UAH Fact]" caption="Факт. логистические бонусы UAH (факт.курс)" measure="1" displayFolder="Логистические затраты" measureGroup="Fact Sales" count="0"/>
    <cacheHierarchy uniqueName="[Measures].[SZ Logistics Bonuses UAH Year]" caption="Факт. логистические бонусы UAH (год.сценарий)" measure="1" displayFolder="Логистические затраты" measureGroup="Fact Sales" count="0"/>
    <cacheHierarchy uniqueName="[Measures].[SZ Logistics Bonuses UAH Current]" caption="Факт. логистические бонусы UAH (тек.сценарий)" measure="1" displayFolder="Логистические затраты" measureGroup="Fact Sales" count="0"/>
    <cacheHierarchy uniqueName="[Measures].[SZ Delivery To Customer In Region]" caption="Факт. доставка до клиента вал." measure="1" displayFolder="Логистические затраты" measureGroup="Fact Sales" count="0"/>
    <cacheHierarchy uniqueName="[Measures].[SZ Delivery To Customer In Region UAH Fact]" caption="Факт. доставка до клиента UAH (факт.курс)" measure="1" displayFolder="Логистические затраты" measureGroup="Fact Sales" count="0"/>
    <cacheHierarchy uniqueName="[Measures].[SZ Delivery To Customer In Region UAH Year]" caption="Факт. доставка до клиента UAH (год.сценарий)" measure="1" displayFolder="Логистические затраты" measureGroup="Fact Sales" count="0"/>
    <cacheHierarchy uniqueName="[Measures].[SZ Delivery To Customer In Region UAH Current]" caption="Факт. доставка до клиента UAH (тек.сценарий)" measure="1" displayFolder="Логистические затраты" measureGroup="Fact Sales" count="0"/>
    <cacheHierarchy uniqueName="[Measures].[SZ Delivery To Customer In Region RUB Fact]" caption="Факт. доставка до клиента RUB (факт.курс)" measure="1" displayFolder="Логистические затраты" measureGroup="Fact Sales" count="0"/>
    <cacheHierarchy uniqueName="[Measures].[SZ Delivery To Customer In Region RUB Year]" caption="Факт. доставка до клиента RUB (год.сценарий)" measure="1" displayFolder="Логистические затраты" measureGroup="Fact Sales" count="0"/>
    <cacheHierarchy uniqueName="[Measures].[SZ Delivery To Customer In Region RUB Current]" caption="Факт. доставка до клиента RUB (тек.сценарий)" measure="1" displayFolder="Логистические затраты" measureGroup="Fact Sales" count="0"/>
    <cacheHierarchy uniqueName="[Measures].[SZ Delivery To Customer In Region KZT Fact]" caption="Факт. доставка до клиента KZT (факт.курс)" measure="1" displayFolder="Логистические затраты" measureGroup="Fact Sales" count="0"/>
    <cacheHierarchy uniqueName="[Measures].[SZ Delivery To Customer In Region KZT Year]" caption="Факт. доставка до клиента KZT (год.сценарий)" measure="1" displayFolder="Логистические затраты" measureGroup="Fact Sales" count="0"/>
    <cacheHierarchy uniqueName="[Measures].[SZ Delivery To Customer In Region KZT Current]" caption="Факт. доставка до клиента KZT (тек.сценарий)" measure="1" displayFolder="Логистические затраты" measureGroup="Fact Sales" count="0"/>
    <cacheHierarchy uniqueName="[Measures].[SZ Delivery To Customer In Region EUR Fact]" caption="Факт. доставка до клиента EUR (факт.курс)" measure="1" displayFolder="Логистические затраты" measureGroup="Fact Sales" count="0"/>
    <cacheHierarchy uniqueName="[Measures].[SZ Delivery To Customer In Region EUR Year]" caption="Факт. доставка до клиента EUR (год.сценарий)" measure="1" displayFolder="Логистические затраты" measureGroup="Fact Sales" count="0"/>
    <cacheHierarchy uniqueName="[Measures].[SZ Delivery To Customer In Region EUR Current]" caption="Факт. доставка до клиента EUR (тек.сценарий)" measure="1" displayFolder="Логистические затраты" measureGroup="Fact Sales" count="0"/>
    <cacheHierarchy uniqueName="[Measures].[SZ Delivery To Regional Warehouse]" caption="Факт. Доставка до регионального склада" measure="1" displayFolder="Логистические затраты" measureGroup="Fact Sales" count="0"/>
    <cacheHierarchy uniqueName="[Measures].[SZ Delivery To Regional Warehouse UAH Fact]" caption="Факт. Доставка до регионального склада UAH (факт.курс)" measure="1" displayFolder="Логистические затраты" measureGroup="Fact Sales" count="0"/>
    <cacheHierarchy uniqueName="[Measures].[SZ Delivery To Regional Warehouse UAH Year]" caption="Факт. Доставка до регионального склада UAH (год.сценарий)" measure="1" displayFolder="Логистические затраты" measureGroup="Fact Sales" count="0"/>
    <cacheHierarchy uniqueName="[Measures].[SZ Delivery To Regional Warehouse UAH Current]" caption="Факт. Доставка до регионального склада UAH (тек.сценарий)" measure="1" displayFolder="Логистические затраты" measureGroup="Fact Sales" count="0"/>
    <cacheHierarchy uniqueName="[Measures].[SZ Delivery To Regional Warehouse RUB Fact]" caption="Факт. Доставка до регионального склада RUB (факт.курс)" measure="1" displayFolder="Логистические затраты" measureGroup="Fact Sales" count="0"/>
    <cacheHierarchy uniqueName="[Measures].[SZ Delivery To Regional Warehouse RUB Year]" caption="Факт. Доставка до регионального склада RUB (год.сценарий)" measure="1" displayFolder="Логистические затраты" measureGroup="Fact Sales" count="0"/>
    <cacheHierarchy uniqueName="[Measures].[SZ Delivery To Regional Warehouse RUB Current]" caption="Факт. Доставка до регионального склада RUB (тек.сценарий)" measure="1" displayFolder="Логистические затраты" measureGroup="Fact Sales" count="0"/>
    <cacheHierarchy uniqueName="[Measures].[SZ Delivery To Regional Warehouse KZT Fact]" caption="Факт. Доставка до регионального склада KZT (факт.курс)" measure="1" displayFolder="Логистические затраты" measureGroup="Fact Sales" count="0"/>
    <cacheHierarchy uniqueName="[Measures].[SZ Delivery To Regional Warehouse KZT Year]" caption="Факт. Доставка до регионального склада KZT (год.сценарий)" measure="1" displayFolder="Логистические затраты" measureGroup="Fact Sales" count="0"/>
    <cacheHierarchy uniqueName="[Measures].[SZ Delivery To Regional Warehouse KZT Current]" caption="Факт. Доставка до регионального склада KZT (тек.сценарий)" measure="1" displayFolder="Логистические затраты" measureGroup="Fact Sales" count="0"/>
    <cacheHierarchy uniqueName="[Measures].[SZ Delivery To Regional Warehouse EUR Fact]" caption="Факт. Доставка до регионального склада EUR (факт.курс)" measure="1" displayFolder="Логистические затраты" measureGroup="Fact Sales" count="0"/>
    <cacheHierarchy uniqueName="[Measures].[SZ Delivery To Regional Warehouse EUR Year]" caption="Факт. Доставка до регионального склада EUR (год.сценарий)" measure="1" displayFolder="Логистические затраты" measureGroup="Fact Sales" count="0"/>
    <cacheHierarchy uniqueName="[Measures].[SZ Delivery To Regional Warehouse EUR Current]" caption="Факт. Доставка до регионального склада EUR (тек.сценарий)" measure="1" displayFolder="Логистические затраты" measureGroup="Fact Sales" count="0"/>
    <cacheHierarchy uniqueName="[Measures].[SZ Delivery To RC Belgorod]" caption="Факт доставка до РЦ Белгород, вал." measure="1" displayFolder="Логистические затраты" measureGroup="Fact Sales" count="0"/>
    <cacheHierarchy uniqueName="[Measures].[SZ Delivery To RC Belgorod UAH Year]" caption="Факт доставка до РЦ Белгород, UAH (год.сценарий)" measure="1" displayFolder="Логистические затраты" measureGroup="Fact Sales" count="0"/>
    <cacheHierarchy uniqueName="[Measures].[SZ Delivery To RC Belgorod UAH Fact]" caption="Факт доставка до РЦ Белгород, UAH (факт.курс)" measure="1" displayFolder="Логистические затраты" measureGroup="Fact Sales" count="0"/>
    <cacheHierarchy uniqueName="[Measures].[SZ Delivery To RC Belgorod UAH Current]" caption="Факт доставка до РЦ Белгород, UAH (тек.сценарий)" measure="1" displayFolder="Логистические затраты" measureGroup="Fact Sales" count="0"/>
    <cacheHierarchy uniqueName="[Measures].[SZ Delivery To RC Belgorod RUB Year]" caption="Факт доставка до РЦ Белгород, RUB (год.сценарий)" measure="1" displayFolder="Логистические затраты" measureGroup="Fact Sales" count="0"/>
    <cacheHierarchy uniqueName="[Measures].[SZ Delivery To RC Belgorod RUB Fact]" caption="Факт доставка до РЦ Белгород, RUB (факт.курс)" measure="1" displayFolder="Логистические затраты" measureGroup="Fact Sales" count="0"/>
    <cacheHierarchy uniqueName="[Measures].[SZ Delivery To RC Belgorod RUB Current]" caption="Факт доставка до РЦ Белгород, RUB (тек.сценарий)" measure="1" displayFolder="Логистические затраты" measureGroup="Fact Sales" count="0"/>
    <cacheHierarchy uniqueName="[Measures].[SZ Delivery To RC Belgorod KZT Year]" caption="Факт доставка до РЦ Белгород, KZT (год.сценарий)" measure="1" displayFolder="Логистические затраты" measureGroup="Fact Sales" count="0"/>
    <cacheHierarchy uniqueName="[Measures].[SZ Delivery To RC Belgorod KZT Fact]" caption="Факт доставка до РЦ Белгород, KZT (факт.курс)" measure="1" displayFolder="Логистические затраты" measureGroup="Fact Sales" count="0"/>
    <cacheHierarchy uniqueName="[Measures].[SZ Delivery To RC Belgorod KZT Current]" caption="Факт доставка до РЦ Белгород, KZT (тек.сценарий)" measure="1" displayFolder="Логистические затраты" measureGroup="Fact Sales" count="0"/>
    <cacheHierarchy uniqueName="[Measures].[SZ Delivery To RC Belgorod EUR Fact]" caption="Факт доставка до РЦ Белгород, EUR (факт.курс)" measure="1" displayFolder="Логистические затраты" measureGroup="Fact Sales" count="0"/>
    <cacheHierarchy uniqueName="[Measures].[SZ Delivery To RC Belgorod EUR Year]" caption="Факт доставка до РЦ Белгород, EUR (год.сценарий)" measure="1" displayFolder="Логистические затраты" measureGroup="Fact Sales" count="0"/>
    <cacheHierarchy uniqueName="[Measures].[SZ Delivery To RC Belgorod EUR Current]" caption="Факт доставка до РЦ Белгород, EUR (тек.сценарий)" measure="1" displayFolder="Логистические затраты" measureGroup="Fact Sales" count="0"/>
    <cacheHierarchy uniqueName="[Measures].[SZ Variable Import Costs]" caption="Факт. переменные таможенные расходы импорт вал." measure="1" displayFolder="Логистические затраты" measureGroup="Fact Sales" count="0"/>
    <cacheHierarchy uniqueName="[Measures].[SZ Variable Import Costs UAH Current]" caption="Факт. переменные таможенные расходы импорт UAH (тек.сценарий)" measure="1" displayFolder="Логистические затраты" measureGroup="Fact Sales" count="0"/>
    <cacheHierarchy uniqueName="[Measures].[SZ Variable Import Costs UAH Year]" caption="Факт. переменные таможенные расходы импорт UAH (год.сценарий)" measure="1" displayFolder="Логистические затраты" measureGroup="Fact Sales" count="0"/>
    <cacheHierarchy uniqueName="[Measures].[SZ Variable Import Costs UAH Fact]" caption="Факт. переменные таможенные расходы импорт UAH (факт.курс)" measure="1" displayFolder="Логистические затраты" measureGroup="Fact Sales" count="0"/>
    <cacheHierarchy uniqueName="[Measures].[SZ Variable Import Costs KZT Fact]" caption="Факт. переменные таможенные расходы импорт KZT (факт.курс)" measure="1" displayFolder="Логистические затраты" measureGroup="Fact Sales" count="0"/>
    <cacheHierarchy uniqueName="[Measures].[SZ Variable Import Costs KZT Year]" caption="Факт. переменные таможенные расходы импорт KZT (год.сценарий)" measure="1" displayFolder="Логистические затраты" measureGroup="Fact Sales" count="0"/>
    <cacheHierarchy uniqueName="[Measures].[SZ Variable Import Costs KZT Current]" caption="Факт. переменные таможенные расходы импорт KZT (тек.сценарий)" measure="1" displayFolder="Логистические затраты" measureGroup="Fact Sales" count="0"/>
    <cacheHierarchy uniqueName="[Measures].[SZ Variable Import Costs EUR Fact]" caption="Факт. переменные таможенные расходы импорт EUR (факт. курс)" measure="1" displayFolder="Логистические затраты" measureGroup="Fact Sales" count="0"/>
    <cacheHierarchy uniqueName="[Measures].[SZ Variable Import Costs EUR Year]" caption="Факт. переменные таможенные расходы импорт EUR (год.сценарий)" measure="1" displayFolder="Логистические затраты" measureGroup="Fact Sales" count="0"/>
    <cacheHierarchy uniqueName="[Measures].[SZ Variable Import Costs EUR Current]" caption="Факт. переменные таможенные расходы импорт EUR (тек.сценарий)" measure="1" displayFolder="Логистические затраты" measureGroup="Fact Sales" count="0"/>
    <cacheHierarchy uniqueName="[Measures].[SZ Variable Export Costs]" caption="Факт. переменные таможенные расходы экспорт" measure="1" displayFolder="Логистические затраты" measureGroup="Fact Sales" count="0"/>
    <cacheHierarchy uniqueName="[Measures].[SZ Variable Export Costs RUB Fact]" caption="Факт. переменные таможенные расходы экспорт RUB (факт.курс)" measure="1" displayFolder="Логистические затраты" measureGroup="Fact Sales" count="0"/>
    <cacheHierarchy uniqueName="[Measures].[SZ Variable Export Costs RUB Year]" caption="Факт. переменные таможенные расходы экспорт RUB (год.сценарий)" measure="1" displayFolder="Логистические затраты" measureGroup="Fact Sales" count="0"/>
    <cacheHierarchy uniqueName="[Measures].[SZ Variable Export Costs RUB Current]" caption="Факт. переменные таможенные расходы экспорт RUB (тек.сценарий)" measure="1" displayFolder="Логистические затраты" measureGroup="Fact Sales" count="0"/>
    <cacheHierarchy uniqueName="[Measures].[SZ Variable Export Costs KZT Fact]" caption="Факт. переменные таможенные расходы экспорт KZT (факт.курс)" measure="1" displayFolder="Логистические затраты" measureGroup="Fact Sales" count="0"/>
    <cacheHierarchy uniqueName="[Measures].[SZ Variable Export Costs KZT Year]" caption="Факт. переменные таможенные расходы экспорт KZT (год.сценарий)" measure="1" displayFolder="Логистические затраты" measureGroup="Fact Sales" count="0"/>
    <cacheHierarchy uniqueName="[Measures].[SZ Variable Export Costs KZT Current]" caption="Факт. переменные таможенные расходы экспорт KZT (тек.сценарий)" measure="1" displayFolder="Логистические затраты" measureGroup="Fact Sales" count="0"/>
    <cacheHierarchy uniqueName="[Measures].[SZ Variable Export Costs EUR Fact]" caption="Факт. переменные таможенные расходы экспорт EUR (факт.курс)" measure="1" displayFolder="Логистические затраты" measureGroup="Fact Sales" count="0"/>
    <cacheHierarchy uniqueName="[Measures].[SZ Variable Export Costs EUR Year]" caption="Факт. переменные таможенные расходы экспорт EUR (год.сценарий)" measure="1" displayFolder="Логистические затраты" measureGroup="Fact Sales" count="0"/>
    <cacheHierarchy uniqueName="[Measures].[SZ Variable Export Costs EUR Current]" caption="Факт. переменные таможенные расходы экспорт EUR (тек.сценарий)" measure="1" displayFolder="Логистические затраты" measureGroup="Fact Sales" count="0"/>
    <cacheHierarchy uniqueName="[Measures].[SZ Permanent Logistics Costs]" caption="Факт. постоянные логистические расходы Украина" measure="1" displayFolder="Логистические затраты" measureGroup="Fact Sales" count="0"/>
    <cacheHierarchy uniqueName="[Measures].[SZ Permanent Logistics Costs RUB Fact]" caption="Факт. постоянные логистические расходы Украина RUB (факт.курс)" measure="1" displayFolder="Логистические затраты" measureGroup="Fact Sales" count="0"/>
    <cacheHierarchy uniqueName="[Measures].[SZ Permanent Logistics Costs RUB Year]" caption="Факт. постоянные логистические расходы Украина RUB (год.сценарий)" measure="1" displayFolder="Логистические затраты" measureGroup="Fact Sales" count="0"/>
    <cacheHierarchy uniqueName="[Measures].[SZ Permanent Logistics Costs RUB Current]" caption="Факт. постоянные логистические расходы Украина RUB (тек.сценарий)" measure="1" displayFolder="Логистические затраты" measureGroup="Fact Sales" count="0"/>
    <cacheHierarchy uniqueName="[Measures].[SZ Permanent Logistics Costs KZT Fact]" caption="Факт. постоянные логистические расходы Украина KZT (факт.курс)" measure="1" displayFolder="Логистические затраты" measureGroup="Fact Sales" count="0"/>
    <cacheHierarchy uniqueName="[Measures].[SZ Permanent Logistics Costs KZT Year]" caption="Факт. постоянные логистические расходы Украина KZT (год.сценарий)" measure="1" displayFolder="Логистические затраты" measureGroup="Fact Sales" count="0"/>
    <cacheHierarchy uniqueName="[Measures].[SZ Permanent Logistics Costs KZT Current]" caption="Факт. постоянные логистические расходы Украина KZT (тек.сценарий)" measure="1" displayFolder="Логистические затраты" measureGroup="Fact Sales" count="0"/>
    <cacheHierarchy uniqueName="[Measures].[SZ Permanent Logistics Costs EUR Fact]" caption="Факт. постоянные логистические расходы Украина EUR (факт.курс)" measure="1" displayFolder="Логистические затраты" measureGroup="Fact Sales" count="0"/>
    <cacheHierarchy uniqueName="[Measures].[SZ Permanent Logistics Costs EUR Year]" caption="Факт. постоянные логистические расходы Украина EUR (год.сценарий)" measure="1" displayFolder="Логистические затраты" measureGroup="Fact Sales" count="0"/>
    <cacheHierarchy uniqueName="[Measures].[SZ Permanent Logistics Costs EUR Current]" caption="Факт. постоянные логистические расходы Украина EUR (тек.сценарий)" measure="1" displayFolder="Логистические затраты" measureGroup="Fact Sales" count="0"/>
    <cacheHierarchy uniqueName="[Measures].[SZ Permanent Logistics Costs RU]" caption="Факт. постоянные логистические расходы Россия, RUB" measure="1" displayFolder="Логистические затраты" measureGroup="Fact Sales" count="0"/>
    <cacheHierarchy uniqueName="[Measures].[SZ Permanent Logistics Costs RUUAH Fact]" caption="Факт. постоянные логистические расходы Россия, UAH (факт.курс)" measure="1" displayFolder="Логистические затраты" measureGroup="Fact Sales" count="0"/>
    <cacheHierarchy uniqueName="[Measures].[SZ Permanent Logistics Costs RUUAH Year]" caption="Факт. постоянные логистические расходы Россия, UAH (год.сценарий)" measure="1" displayFolder="Логистические затраты" measureGroup="Fact Sales" count="0"/>
    <cacheHierarchy uniqueName="[Measures].[SZ Permanent Logistics Costs RUUAH Current]" caption="Факт. постоянные логистические расходы Россия, UAH (тек.сценарий)" measure="1" displayFolder="Логистические затраты" measureGroup="Fact Sales" count="0"/>
    <cacheHierarchy uniqueName="[Measures].[SZ Delivery To Client Export Currency]" caption="Факт доставка до клиента экспорт вал" measure="1" displayFolder="Логистические затраты" measureGroup="Fact Sales" count="0"/>
    <cacheHierarchy uniqueName="[Measures].[SZ Delivery To Client Export UAH Year]" caption="Факт доставка до клиента экспорт UAH (год.сценарий)" measure="1" displayFolder="Логистические затраты" measureGroup="Fact Sales" count="0"/>
    <cacheHierarchy uniqueName="[Measures].[SZ Delivery To Client Export UAH Current]" caption="Факт доставка до клиента экспорт UAH (тек.сценарий)" measure="1" displayFolder="Логистические затраты" measureGroup="Fact Sales" count="0"/>
    <cacheHierarchy uniqueName="[Measures].[SZ Delivery To Client Export UAH Fact]" caption="Факт доставка до клиента экспорт UAH (факт.курс)" measure="1" displayFolder="Логистические затраты" measureGroup="Fact Sales" count="0"/>
    <cacheHierarchy uniqueName="[Measures].[SZ Delivery To Client Export RUB Year]" caption="Факт доставка до клиента экспорт RUB (год.сценарий)" measure="1" displayFolder="Логистические затраты" measureGroup="Fact Sales" count="0"/>
    <cacheHierarchy uniqueName="[Measures].[SZ Delivery To Client Export RUB Current]" caption="Факт доставка до клиента экспорт RUB (тек.сценарий)" measure="1" displayFolder="Логистические затраты" measureGroup="Fact Sales" count="0"/>
    <cacheHierarchy uniqueName="[Measures].[SZ Delivery To Client Export RUB Fact]" caption="Факт доставка до клиента экспорт RUB (факт.курс)" measure="1" displayFolder="Логистические затраты" measureGroup="Fact Sales" count="0"/>
    <cacheHierarchy uniqueName="[Measures].[SZ Delivery To Client Export EUR Year]" caption="Факт доставка до клиента экспорт EUR (год.сценарий)" measure="1" displayFolder="Логистические затраты" measureGroup="Fact Sales" count="0"/>
    <cacheHierarchy uniqueName="[Measures].[SZ Delivery To Client Export EUR Current]" caption="Факт доставка до клиента экспорт EUR (тек.сценарий)" measure="1" displayFolder="Логистические затраты" measureGroup="Fact Sales" count="0"/>
    <cacheHierarchy uniqueName="[Measures].[SZ Delivery To Client Export EUR Fact]" caption="Факт доставка до клиента экспорт EUR (факт.курс)" measure="1" displayFolder="Логистические затраты" measureGroup="Fact Sales" count="0"/>
    <cacheHierarchy uniqueName="[Measures].[SZ Delivery To Client Export KZT Year]" caption="Факт доставка до клиента экспорт KZT (год.сценарий)" measure="1" displayFolder="Логистические затраты" measureGroup="Fact Sales" count="0"/>
    <cacheHierarchy uniqueName="[Measures].[SZ Delivery To Client Export KZT Current]" caption="Факт доставка до клиента экспорт KZT (тек.сценарий)" measure="1" displayFolder="Логистические затраты" measureGroup="Fact Sales" count="0"/>
    <cacheHierarchy uniqueName="[Measures].[SZ Delivery To Client Export KZT Fact]" caption="Факт доставка до клиента экспорт KZT (факт.курс)" measure="1" displayFolder="Логистические затраты" measureGroup="Fact Sales" count="0"/>
    <cacheHierarchy uniqueName="[Measures].[SZ Delivery To Custom_UA_RU]" caption="Факт Транспорт до таможни Украина-Россия вал." measure="1" displayFolder="Логистические затраты" measureGroup="Fact Sales" count="0"/>
    <cacheHierarchy uniqueName="[Measures].[SZ Delivery To Custom _UA_RU_RUB Fact]" caption="Факт Транспорт до таможни Украина-Россия RUB (факт.курс)" measure="1" displayFolder="Логистические затраты" measureGroup="Fact Sales" count="0"/>
    <cacheHierarchy uniqueName="[Measures].[SZ Delivery To Custom_UA_RU_RUB Year]" caption="Факт Транспорт до таможни Украина-Россия RUB (год.сценарий)" measure="1" displayFolder="Логистические затраты" measureGroup="Fact Sales" count="0"/>
    <cacheHierarchy uniqueName="[Measures].[SZ Delivery To Custom_UA_RU_RUB Current]" caption="Факт Транспорт до таможни Украина-Россия RUB (тек.сценарий)" measure="1" displayFolder="Логистические затраты" measureGroup="Fact Sales" count="0"/>
    <cacheHierarchy uniqueName="[Measures].[SZN Logistics Bonuses UAH Current]" caption="Факт. логистические бонусы (норматив) UAH (тек.сценарий)" measure="1" displayFolder="Логистические затраты факт норматив" measureGroup="Fact Sales" count="0"/>
    <cacheHierarchy uniqueName="[Measures].[SZN Regional Warehouse Costs UAH Current]" caption="Факт содержание регионального склада (норматив), UAH (тек.сценарий)" measure="1" displayFolder="Логистические затраты факт норматив" measureGroup="Fact Sales" count="0"/>
    <cacheHierarchy uniqueName="[Measures].[SZN Permanent Customs Costs Import UAH Current]" caption="Факт постоянные таможенные расходы (импорт) (норматив), UAH (тек.сценарий)" measure="1" displayFolder="Логистические затраты факт норматив" measureGroup="Fact Sales" count="0"/>
    <cacheHierarchy uniqueName="[Measures].[SZN Permanent Logistics Costs UAH Current]" caption="Факт постоянные логистические расходы Украина (норматив), UAH (тек.сценарий)" measure="1" displayFolder="Логистические затраты факт норматив" measureGroup="Fact Sales" count="0"/>
    <cacheHierarchy uniqueName="[Measures].[SZN Permanent Logistics Costs RU]" caption="Факт постоянные логистические расходы Россия (норматив), вал" measure="1" displayFolder="Логистические затраты факт норматив" measureGroup="Fact Sales" count="0"/>
    <cacheHierarchy uniqueName="[Measures].[SZN Permanent Logistics Costs RUUAH Current]" caption="Факт постоянные логистические расходы Россия (норматив), UAH (тек.сценарий)" measure="1" displayFolder="Логистические затраты факт норматив" measureGroup="Fact Sales" count="0"/>
    <cacheHierarchy uniqueName="[Measures].[SZN Permanent Customs Costs Export UAH Current]" caption="Факт постоянные таможенные расходы (экспорт) (норматив), UAH (тек.сценарий)" measure="1" displayFolder="Логистические затраты факт норматив" measureGroup="Fact Sales" count="0"/>
    <cacheHierarchy uniqueName="[Measures].[SZN Costs SGP Kharkov UAH Current]" caption="Факт расходы СГП Харьков (норматив), UAH (тек.сценарий)" measure="1" displayFolder="Логистические затраты факт норматив" measureGroup="Fact Sales" count="0"/>
    <cacheHierarchy uniqueName="[Measures].[SZN Costs SGP Tula UAH Current]" caption="Факт расходы СГП Тула (норматив), UAH (тек.сценарий)" measure="1" displayFolder="Логистические затраты факт норматив" measureGroup="Fact Sales" count="0"/>
    <cacheHierarchy uniqueName="[Measures].[SZN Costs SGP Shebekino]" caption="Факт расходы СГП Шебекино (норматив), вал" measure="1" displayFolder="Логистические затраты факт норматив" measureGroup="Fact Sales" count="0"/>
    <cacheHierarchy uniqueName="[Measures].[SZN Costs SGP Shebekino UAH Current]" caption="Факт расходы СГП Шебекино (норматив), UAH (тек.сценарий)" measure="1" displayFolder="Логистические затраты факт норматив" measureGroup="Fact Sales" count="0"/>
    <cacheHierarchy uniqueName="[Measures].[SZN Costs RC Belgorod]" caption="Факт расходы РЦ Белгород (норматив), вал" measure="1" displayFolder="Логистические затраты факт норматив" measureGroup="Fact Sales" count="0"/>
    <cacheHierarchy uniqueName="[Measures].[SZN Costs RC Belgorod UAH Current]" caption="Факт расходы РЦ Белгород (норматив), UAH (тек. сценарий)" measure="1" displayFolder="Логистические затраты факт норматив" measureGroup="Fact Sales" count="0"/>
    <cacheHierarchy uniqueName="[Measures].[SZP Permanent Logistics Costs Year]" caption="Факт по плану постоянные логистические расходы Украина год.план UAH" measure="1" displayFolder="Логистические затраты факт по плану" measureGroup="Fact Sales" count="0"/>
    <cacheHierarchy uniqueName="[Measures].[SZP Permanent Logistics Costs KZT Year]" caption="Факт по плану постоянные логистические расходы Украина год.план KZT (год.сценарий)" measure="1" displayFolder="Логистические затраты факт по плану" measureGroup="Fact Sales" count="0"/>
    <cacheHierarchy uniqueName="[Measures].[SZP Permanent Logistics Costs RUB Year]" caption="Факт по плану постоянные логистические расходы Украина год.план, RUB (год.сценарий)" measure="1" displayFolder="Логистические затраты факт по плану" measureGroup="Fact Sales" count="0"/>
    <cacheHierarchy uniqueName="[Measures].[SZP Permanent Logistics Costs EUR Year]" caption="Факт по плану постоянные логистические расходы Украина год.план, EUR (год.сценарий)" measure="1" displayFolder="Логистические затраты факт по плану" measureGroup="Fact Sales" count="0"/>
    <cacheHierarchy uniqueName="[Measures].[SZP Permanent Logistics Costs Current]" caption="Факт по плану постоянные логистические расходы Украина тек.план UAH" measure="1" displayFolder="Логистические затраты факт по плану" measureGroup="Fact Sales" count="0"/>
    <cacheHierarchy uniqueName="[Measures].[SZP Permanent Logistics Costs KZT Current]" caption="Факт по плану постоянные логистические расходы Украина тек.план KZT (тек.сценарий)" measure="1" displayFolder="Логистические затраты факт по плану" measureGroup="Fact Sales" count="0"/>
    <cacheHierarchy uniqueName="[Measures].[SZP Permanent Logistics Costs RUB Current]" caption="Факт по плану постоянные логистические расходы Украина тек.план, RUB (тек.сценарий)" measure="1" displayFolder="Логистические затраты факт по плану" measureGroup="Fact Sales" count="0"/>
    <cacheHierarchy uniqueName="[Measures].[SZP Permanent Logistics Costs EUR Current]" caption="Факт по плану постоянные логистические расходы Украина тек.план, EUR (тек.сценарий)" measure="1" displayFolder="Логистические затраты факт по плану" measureGroup="Fact Sales" count="0"/>
    <cacheHierarchy uniqueName="[Measures].[SZP Permanent Logistics Costs RU Year]" caption="Факт по плану постоянные логистические расходы Россия год.план, RUB" measure="1" displayFolder="Логистические затраты факт по плану" measureGroup="Fact Sales" count="0"/>
    <cacheHierarchy uniqueName="[Measures].[SZP Permanent Logistics Costs RUUAH Year]" caption="Факт по плану постоянные логистические расходы Россия год.план, UAH (год.сценарий)" measure="1" displayFolder="Логистические затраты факт по плану" measureGroup="Fact Sales" count="0"/>
    <cacheHierarchy uniqueName="[Measures].[SZP Permanent Logistics Costs RU Current]" caption="Факт по плану постоянные логистические расходы Россия тек.план, RUB" measure="1" displayFolder="Логистические затраты факт по плану" measureGroup="Fact Sales" count="0"/>
    <cacheHierarchy uniqueName="[Measures].[SZP Permanent Logistics Costs RUUAH Current]" caption="Факт по плану постоянные логистические расходы Россия тек.план, UAH (тек.сценарий)" measure="1" displayFolder="Логистические затраты факт по плану" measureGroup="Fact Sales" count="0"/>
    <cacheHierarchy uniqueName="[Measures].[SZP Permanent Logistics Costs RUKZT Current]" caption="Факт по плану постоянные логистические расходы Россия тек.план, KZT (тек.сценарий)" measure="1" displayFolder="Логистические затраты факт по плану" measureGroup="Fact Sales" count="0"/>
    <cacheHierarchy uniqueName="[Measures].[SZP Permanent Logistics Costs RUKZT Year]" caption="Факт по плану постоянные логистические расходы Россия год.план, KZT (год.сценарий)" measure="1" displayFolder="Логистические затраты факт по плану" measureGroup="Fact Sales" count="0"/>
    <cacheHierarchy uniqueName="[Measures].[SZP Permanent Logistics Costs RUEUR Year]" caption="Факт по плану постоянные логистические расходы Россия год.план, EUR (год.сценарий)" measure="1" displayFolder="Логистические затраты факт по плану" measureGroup="Fact Sales" count="0"/>
    <cacheHierarchy uniqueName="[Measures].[SZP Permanent Logistics Costs RUEUR Current]" caption="Факт по плану постоянные логистические расходы Россия тек.план, EUR (тек.сценарий)" measure="1" displayFolder="Логистические затраты факт по плану" measureGroup="Fact Sales" count="0"/>
    <cacheHierarchy uniqueName="[Measures].[SZP Permanent Customs Costs Export Year]" caption="Факт по плану постоянные таможенные расходы (экспорт) год.план UAH" measure="1" displayFolder="Логистические затраты факт по плану" measureGroup="Fact Sales" count="0"/>
    <cacheHierarchy uniqueName="[Measures].[SZP Permanent Customs Costs Export KZT Year]" caption="Факт по плану постоянные таможенные расходы (экспорт) год.план KZT (год.сценарий)" measure="1" displayFolder="Логистические затраты факт по плану" measureGroup="Fact Sales" count="0"/>
    <cacheHierarchy uniqueName="[Measures].[SZP Permanent Customs Costs Export RUB Year]" caption="Факт по плану постоянные таможенные расходы (экспорт) год.план RUB (год.сценарий)" measure="1" displayFolder="Логистические затраты факт по плану" measureGroup="Fact Sales" count="0"/>
    <cacheHierarchy uniqueName="[Measures].[SZP Permanent Customs Costs Export EUR Year]" caption="Факт по плану постоянные таможенные расходы (экспорт) год.план EUR (год.сценарий)" measure="1" displayFolder="Логистические затраты факт по плану" measureGroup="Fact Sales" count="0"/>
    <cacheHierarchy uniqueName="[Measures].[SZP Permanent Customs Costs Export Current]" caption="Факт по плану постоянные таможенные расходы (экспорт) тек.план UAH" measure="1" displayFolder="Логистические затраты факт по плану" measureGroup="Fact Sales" count="0"/>
    <cacheHierarchy uniqueName="[Measures].[SZP Permanent Customs Costs Export KZT Current]" caption="Факт по плану постоянные таможенные расходы (экспорт) тек.план KZT (тек.сценарий)" measure="1" displayFolder="Логистические затраты факт по плану" measureGroup="Fact Sales" count="0"/>
    <cacheHierarchy uniqueName="[Measures].[SZP Permanent Customs Costs Export RUB Current]" caption="Факт по плану постоянные таможенные расходы (экспорт) тек.план RUB (тек.сценарий)" measure="1" displayFolder="Логистические затраты факт по плану" measureGroup="Fact Sales" count="0"/>
    <cacheHierarchy uniqueName="[Measures].[SZP Permanent Customs Costs Export EUR Current]" caption="Факт по плану постоянные таможенные расходы (экспорт) тек.план EUR (тек.сценарий)" measure="1" displayFolder="Логистические затраты факт по плану" measureGroup="Fact Sales" count="0"/>
    <cacheHierarchy uniqueName="[Measures].[SZP Permanent Customs Costs Import Year]" caption="Факт по плану постоянные таможенные расходы (импорт) год.план RUB" measure="1" displayFolder="Логистические затраты факт по плану" measureGroup="Fact Sales" count="0"/>
    <cacheHierarchy uniqueName="[Measures].[SZP Permanent Customs Costs Import UAH Year]" caption="Факт по плану постоянные таможенные расходы (импорт) год.план UAH (год.сценарий)" measure="1" displayFolder="Логистические затраты факт по плану" measureGroup="Fact Sales" count="0"/>
    <cacheHierarchy uniqueName="[Measures].[SZP Permanent Customs Costs Import Current]" caption="Факт по плану постоянные таможенные расходы (импорт) тек.план RUB" measure="1" displayFolder="Логистические затраты факт по плану" measureGroup="Fact Sales" count="0"/>
    <cacheHierarchy uniqueName="[Measures].[SZP Permanent Customs Costs Import UAH Current]" caption="Факт по плану постоянные таможенные расходы (импорт) тек.план UAH (тек.сценарий)" measure="1" displayFolder="Логистические затраты факт по плану" measureGroup="Fact Sales" count="0"/>
    <cacheHierarchy uniqueName="[Measures].[SZP Permanent Customs Costs Import KZT Year]" caption="Факт по плану постоянные таможенные расходы (импорт) год.план KZT (год.сценарий)" measure="1" displayFolder="Логистические затраты факт по плану" measureGroup="Fact Sales" count="0"/>
    <cacheHierarchy uniqueName="[Measures].[SZP Permanent Customs Costs Import KZT Current]" caption="Факт по плану постоянные таможенные расходы (импорт) тек.план KZT (тек.сценарий)" measure="1" displayFolder="Логистические затраты факт по плану" measureGroup="Fact Sales" count="0"/>
    <cacheHierarchy uniqueName="[Measures].[SZP Permanent Customs Costs Import EUR Year]" caption="Факт по плану постоянные таможенные расходы (импорт) год.план EUR (год.сценарий)" measure="1" displayFolder="Логистические затраты факт по плану" measureGroup="Fact Sales" count="0"/>
    <cacheHierarchy uniqueName="[Measures].[SZP Permanent Customs Costs Import EUR Current]" caption="Факт по плану постоянные таможенные расходы (импорт) тек.план EUR (тек.сценарий)" measure="1" displayFolder="Логистические затраты факт по плану" measureGroup="Fact Sales" count="0"/>
    <cacheHierarchy uniqueName="[Measures].[SZP Costs SGP Kharkov Year]" caption="Факт по плану расходы СГП Харьков год.план UAH" measure="1" displayFolder="Логистические затраты факт по плану" measureGroup="Fact Sales" count="0"/>
    <cacheHierarchy uniqueName="[Measures].[SZP Costs SGP Kharkov KZT Year]" caption="Факт по плану расходы СГП Харьков год.план KZT (год.сценарий)" measure="1" displayFolder="Логистические затраты факт по плану" measureGroup="Fact Sales" count="0"/>
    <cacheHierarchy uniqueName="[Measures].[SZP Costs SGP Kharkov RUB Year]" caption="Факт по плану расходы СГП Харьков год.план RUB (год.сценарий)" measure="1" displayFolder="Логистические затраты факт по плану" measureGroup="Fact Sales" count="0"/>
    <cacheHierarchy uniqueName="[Measures].[SZP Costs SGP Kharkov EUR Year]" caption="Факт по плану расходы СГП Харьков год.план EUR (год.сценарий)" measure="1" displayFolder="Логистические затраты факт по плану" measureGroup="Fact Sales" count="0"/>
    <cacheHierarchy uniqueName="[Measures].[SZP Costs SGP Kharkov Current]" caption="Факт по плану расходы СГП Харьков тек.план UAH" measure="1" displayFolder="Логистические затраты факт по плану" measureGroup="Fact Sales" count="0"/>
    <cacheHierarchy uniqueName="[Measures].[SZP Costs SGP Kharkov EUR Current]" caption="Факт по плану расходы СГП Харьков тек.план EUR (тек.сценарий)" measure="1" displayFolder="Логистические затраты факт по плану" measureGroup="Fact Sales" count="0"/>
    <cacheHierarchy uniqueName="[Measures].[SZP Costs SGP Kharkov RUB Current]" caption="Факт по плану расходы СГП Харьков тек.план RUB (тек.сценарий)" measure="1" displayFolder="Логистические затраты факт по плану" measureGroup="Fact Sales" count="0"/>
    <cacheHierarchy uniqueName="[Measures].[SZP Costs SGP Kharkov KZT Current]" caption="Факт по плану расходы СГП Харьков тек.план KZT (тек.сценарий)" measure="1" displayFolder="Логистические затраты факт по плану" measureGroup="Fact Sales" count="0"/>
    <cacheHierarchy uniqueName="[Measures].[SZP Costs SGP Tula Year]" caption="Факт по плану расходы СГП Тула год.план RUB" measure="1" displayFolder="Логистические затраты факт по плану" measureGroup="Fact Sales" count="0"/>
    <cacheHierarchy uniqueName="[Measures].[SZP Costs SGP Tula UAH Year]" caption="Факт по плану расходы СГП Тула год.план UAH (год.сценарий" measure="1" displayFolder="Логистические затраты факт по плану" measureGroup="Fact Sales" count="0"/>
    <cacheHierarchy uniqueName="[Measures].[SZP Costs SGP Tula Current]" caption="Факт по плану расходы СГП Тула тек.план RUB" measure="1" displayFolder="Логистические затраты факт по плану" measureGroup="Fact Sales" count="0"/>
    <cacheHierarchy uniqueName="[Measures].[SZP Costs SGP Tula UAH Current]" caption="Факт по плану расходы СГП Тула тек.план UAH (тек.сценарий)" measure="1" displayFolder="Логистические затраты факт по плану" measureGroup="Fact Sales" count="0"/>
    <cacheHierarchy uniqueName="[Measures].[SZP Costs SGP Shebekino Year]" caption="Факт по плану расходы СГП Шебекино, год.план RUB" measure="1" displayFolder="Логистические затраты факт по плану" measureGroup="Fact Sales" count="0"/>
    <cacheHierarchy uniqueName="[Measures].[SZP Costs SGP Shebekino UAH Year]" caption="Факт по плану расходы СГП Шебекино, год.план UAH (год.сценарий)" measure="1" displayFolder="Логистические затраты факт по плану" measureGroup="Fact Sales" count="0"/>
    <cacheHierarchy uniqueName="[Measures].[SZP Costs SGP Shebekino Current]" caption="Факт по плану расходы СГП Шебекино, тек.план RUB" measure="1" displayFolder="Логистические затраты факт по плану" measureGroup="Fact Sales" count="0"/>
    <cacheHierarchy uniqueName="[Measures].[SZP Costs SGP Shebekino UAH Current]" caption="Факт по плану расходы СГП Шебекино, тек.план UAH (тек.сценарий)" measure="1" displayFolder="Логистические затраты факт по плану" measureGroup="Fact Sales" count="0"/>
    <cacheHierarchy uniqueName="[Measures].[SZP Costs RC Belgorod Year]" caption="Факт по плану расходы РЦ Белгород, год.план RUB" measure="1" displayFolder="Логистические затраты факт по плану" measureGroup="Fact Sales" count="0"/>
    <cacheHierarchy uniqueName="[Measures].[SZP Costs RC Belgorod UAH Year]" caption="Факт по плану расходы РЦ Белгород, год.план UAH (год.сценарий)" measure="1" displayFolder="Логистические затраты факт по плану" measureGroup="Fact Sales" count="0"/>
    <cacheHierarchy uniqueName="[Measures].[SZP Costs RC Belgorod Current]" caption="Факт по плану расходы РЦ Белгород, тек.план RUB" measure="1" displayFolder="Логистические затраты факт по плану" measureGroup="Fact Sales" count="0"/>
    <cacheHierarchy uniqueName="[Measures].[SZP Costs RC Belgorod UAH Current]" caption="Факт по плану расходы РЦ Белгород, тек.план UAH (тек.сценарий)" measure="1" displayFolder="Логистические затраты факт по плану" measureGroup="Fact Sales" count="0"/>
    <cacheHierarchy uniqueName="[Measures].[SZP Costs RC Belgorod KZT Year]" caption="Факт по плану расходы РЦ Белгород, год.план KZT (год.сценарий)" measure="1" displayFolder="Логистические затраты факт по плану" measureGroup="Fact Sales" count="0"/>
    <cacheHierarchy uniqueName="[Measures].[SZP Costs RC Belgorod KZT Current]" caption="Факт по плану расходы РЦ Белгород, тек.план KZT (тек.сценарий)" measure="1" displayFolder="Логистические затраты факт по плану" measureGroup="Fact Sales" count="0"/>
    <cacheHierarchy uniqueName="[Measures].[SZP Costs RC Belgorod EUR Year]" caption="Факт по плану расходы РЦ Белгород, год.план EUR (год.сценарий)" measure="1" displayFolder="Логистические затраты факт по плану" measureGroup="Fact Sales" count="0"/>
    <cacheHierarchy uniqueName="[Measures].[SZP Costs RC Belgorod EUR Current]" caption="Факт по плану расходы РЦ Белгород, тек.план EUR (тек.сценарий)" measure="1" displayFolder="Логистические затраты факт по плану" measureGroup="Fact Sales" count="0"/>
    <cacheHierarchy uniqueName="[Measures].[SZP Regional Warehouse Costs Year]" caption="Факт по плану содержание регионального склада год.план вал." measure="1" displayFolder="Логистические затраты факт по плану" measureGroup="Fact Sales" count="0"/>
    <cacheHierarchy uniqueName="[Measures].[SZP Regional Warehouse Costs UAH Year]" caption="Факт по плану содержание регионального склада год.план UAH (год.сценарий)" measure="1" displayFolder="Логистические затраты факт по плану" measureGroup="Fact Sales" count="0"/>
    <cacheHierarchy uniqueName="[Measures].[SZP Regional Warehouse Costs Current]" caption="Факт по плану содержание регионального склада тек.план вал." measure="1" displayFolder="Логистические затраты факт по плану" measureGroup="Fact Sales" count="0"/>
    <cacheHierarchy uniqueName="[Measures].[SZP Regional Warehouse Costs UAH Current]" caption="Факт по плану содержание регионального склада тек.план UAH (тек.сценарий)" measure="1" displayFolder="Логистические затраты факт по плану" measureGroup="Fact Sales" count="0"/>
    <cacheHierarchy uniqueName="[Measures].[TS Delivery To Customer]" caption="Факт транспорт - доставка до клиента,  вал." measure="1" displayFolder="Транспорт фактический" measureGroup="Fact Sales" count="0"/>
    <cacheHierarchy uniqueName="[Measures].[TS Delivery To Customer Fact]" caption="Факт транспорт - доставка до клиента, UAH (факт. курс)" measure="1" displayFolder="Транспорт фактический" measureGroup="Fact Sales" count="0"/>
    <cacheHierarchy uniqueName="[Measures].[TS Delivery To Customer Current]" caption="Факт транспорт - доставка до клиента, UAH (тек.сценарий)" measure="1" displayFolder="Транспорт фактический" measureGroup="Fact Sales" count="0"/>
    <cacheHierarchy uniqueName="[Measures].[TS Delivery To Customer Year]" caption="Факт транспорт - доставка до клиента, UAH (год.сценарий)" measure="1" displayFolder="Транспорт фактический" measureGroup="Fact Sales" count="0"/>
    <cacheHierarchy uniqueName="[Measures].[TS Delivery To Customer RUB Fact]" caption="Факт транспорт - доставка до клиента, RUB (факт. курс)" measure="1" displayFolder="Транспорт фактический" measureGroup="Fact Sales" count="0"/>
    <cacheHierarchy uniqueName="[Measures].[TS Delivery To Customer KZT Fact]" caption="Факт транспорт - доставка до клиента, KZT (факт. курс)" measure="1" displayFolder="Транспорт фактический" measureGroup="Fact Sales" count="0"/>
    <cacheHierarchy uniqueName="[Measures].[TS Delivery To RC]" caption="Факт транспорт - Доставка до РЦ, вал." measure="1" displayFolder="Транспорт фактический" measureGroup="Fact Sales" count="0"/>
    <cacheHierarchy uniqueName="[Measures].[TS Delivery To RC Fact]" caption="Факт транспорт - Доставка до РЦ, UAH (факт. курс)" measure="1" displayFolder="Транспорт фактический" measureGroup="Fact Sales" count="0"/>
    <cacheHierarchy uniqueName="[Measures].[TS Delivery To RC Current]" caption="Факт транспорт - Доставка до РЦ, UAH (тек.сценарий)" measure="1" displayFolder="Транспорт фактический" measureGroup="Fact Sales" count="0"/>
    <cacheHierarchy uniqueName="[Measures].[TS Delivery To RC Year]" caption="Факт транспорт - Доставка до РЦ, UAH (год.сценарий)" measure="1" displayFolder="Транспорт фактический" measureGroup="Fact Sales" count="0"/>
    <cacheHierarchy uniqueName="[Measures].[TS Delivery To Warehouse]" caption="Факт транспорт - Доставка до уд. складов, вал." measure="1" displayFolder="Транспорт фактический" measureGroup="Fact Sales" count="0"/>
    <cacheHierarchy uniqueName="[Measures].[TS Delivery To Warehouse Fact]" caption="Факт транспорт - Доставка до уд. складов, UAH (факт. курс)" measure="1" displayFolder="Транспорт фактический" measureGroup="Fact Sales" count="0"/>
    <cacheHierarchy uniqueName="[Measures].[TS Delivery To Warehouse Current]" caption="Факт транспорт - Доставка до уд. складов, UAH (тек.сценарий)" measure="1" displayFolder="Транспорт фактический" measureGroup="Fact Sales" count="0"/>
    <cacheHierarchy uniqueName="[Measures].[TS Delivery To Warehouse Year]" caption="Факт транспорт - Доставка до уд. складов, UAH (год.сценарий)" measure="1" displayFolder="Транспорт фактический" measureGroup="Fact Sales" count="0"/>
    <cacheHierarchy uniqueName="[Measures].[TS Full Transport Sum]" caption="Факт транспорт, вал." measure="1" displayFolder="Транспорт фактический" measureGroup="Fact Sales" count="0"/>
    <cacheHierarchy uniqueName="[Measures].[TS Full Transport Sum Fact]" caption="Факт транспорт, UAH (факт.курс)" measure="1" displayFolder="Транспорт фактический" measureGroup="Fact Sales" count="0"/>
    <cacheHierarchy uniqueName="[Measures].[TS Full Transport Sum Current]" caption="Факт транспорт, UAH (тек.сценарий)" measure="1" displayFolder="Транспорт фактический" measureGroup="Fact Sales" count="0"/>
    <cacheHierarchy uniqueName="[Measures].[TS Full Transport Sum Year]" caption="Факт транспорт, UAH (год.сценарий)" measure="1" displayFolder="Транспорт фактический" measureGroup="Fact Sales" count="0"/>
    <cacheHierarchy uniqueName="[Measures].[TS Delivery To Warehouse Real]" caption="Транспортные расходы (до уд.складов) факт, вал." measure="1" displayFolder="Транспорт фактический" measureGroup="Fact Sales" count="0"/>
    <cacheHierarchy uniqueName="[Measures].[TS Delivery To Warehouse Real Fact]" caption="Транспортные расходы (до уд.складов) факт, UAH (факт. курс)" measure="1" displayFolder="Транспорт фактический" measureGroup="Fact Sales" count="0"/>
    <cacheHierarchy uniqueName="[Measures].[TS Delivery To Warehouse Real Current]" caption="Транспортные расходы (до уд.складов) факт, UAH (тек. сценарий)" measure="1" displayFolder="Транспорт фактический" measureGroup="Fact Sales" count="0"/>
    <cacheHierarchy uniqueName="[Measures].[TS Delivery To Warehouse Real Year]" caption="Транспортные расходы (до уд.складов) факт, UAH (год. сценарий)" measure="1" displayFolder="Транспорт фактический" measureGroup="Fact Sales" count="0"/>
    <cacheHierarchy uniqueName="[Measures].[Customs Duty Russia EUR Current]" caption="Таможенные пошлины Россия факт EUR (тек.сценарий)" measure="1" displayFolder="Таможенные пошлины" measureGroup="Fact Sales" count="0"/>
    <cacheHierarchy uniqueName="[Measures].[Customs Duty Russia EUR Fact]" caption="Таможенные пошлины Россия факт EUR (факт.курс)" measure="1" displayFolder="Таможенные пошлины" measureGroup="Fact Sales" count="0"/>
    <cacheHierarchy uniqueName="[Measures].[Customs Duty Russia EUR Year]" caption="Таможенные пошлины Россия факт EUR (год.сценарий)" measure="1" displayFolder="Таможенные пошлины" measureGroup="Fact Sales" count="0"/>
    <cacheHierarchy uniqueName="[Measures].[Customs Duty Russia KZT Current]" caption="Таможенные пошлины Россия факт KZT (тек.сценарий)" measure="1" displayFolder="Таможенные пошлины" measureGroup="Fact Sales" count="0"/>
    <cacheHierarchy uniqueName="[Measures].[Customs Duty Russia KZT Fact]" caption="Таможенные пошлины Россия факт KZT (факт.курс)" measure="1" displayFolder="Таможенные пошлины" measureGroup="Fact Sales" count="0"/>
    <cacheHierarchy uniqueName="[Measures].[Customs Duty Russia KZT Year]" caption="Таможенные пошлины Россия факт KZT (год.сценарий)" measure="1" displayFolder="Таможенные пошлины" measureGroup="Fact Sales" count="0"/>
    <cacheHierarchy uniqueName="[Measures].[Customs Duty Russia RUB Current]" caption="Таможенные пошлины Россия факт RUB (тек.сценарий)" measure="1" displayFolder="Таможенные пошлины" measureGroup="Fact Sales" count="0"/>
    <cacheHierarchy uniqueName="[Measures].[Customs Duty Russia RUB Fact]" caption="Таможенные пошлины Россия факт RUB (факт.курс)" measure="1" displayFolder="Таможенные пошлины" measureGroup="Fact Sales" count="0"/>
    <cacheHierarchy uniqueName="[Measures].[Customs Duty Russia RUB Year]" caption="Таможенные пошлины Россия факт RUB (год.сценарий)" measure="1" displayFolder="Таможенные пошлины" measureGroup="Fact Sales" count="0"/>
    <cacheHierarchy uniqueName="[Measures].[Customs Duty Russia UAH Current]" caption="Таможенные пошлины Россия факт UAH (тек.сценарий)" measure="1" displayFolder="Таможенные пошлины" measureGroup="Fact Sales" count="0"/>
    <cacheHierarchy uniqueName="[Measures].[Customs Duty Russia UAH Fact]" caption="Таможенные пошлины Россия факт UAH (факт.курс)" measure="1" displayFolder="Таможенные пошлины" measureGroup="Fact Sales" count="0"/>
    <cacheHierarchy uniqueName="[Measures].[Customs Duty Russia UAH Year]" caption="Таможенные пошлины Россия факт UAH (год.сценарий)" measure="1" displayFolder="Таможенные пошлины" measureGroup="Fact Sales" count="0"/>
    <cacheHierarchy uniqueName="[Measures].[Sales Plan water]" caption="С/с Вода факт по плановым калькуляциям" measure="1" displayFolder="Себестоимость" measureGroup="Fact Sales" count="0"/>
    <cacheHierarchy uniqueName="[Measures].[Sales Plan Gas]" caption="С/с Газ факт по плановым калькуляциям" measure="1" displayFolder="Себестоимость" measureGroup="Fact Sales" count="0"/>
    <cacheHierarchy uniqueName="[Measures].[Sales Plan Material]" caption="С/с Мат.затраты факт по плановым калькуляциям" measure="1" displayFolder="Себестоимость" measureGroup="Fact Sales" count="0"/>
    <cacheHierarchy uniqueName="[Measures].[Sales Plan Defect]" caption="С/с Брак факт по плановым калькуляциям" measure="1" displayFolder="Себестоимость" measureGroup="Fact Sales" count="0"/>
    <cacheHierarchy uniqueName="[Measures].[Sales Plan NoAlt]" caption="С/с Альтерн. факт по плановым калькуляциям" measure="1" displayFolder="Себестоимость" measureGroup="Fact Sales" count="0"/>
    <cacheHierarchy uniqueName="[Measures].[Sales Plan Bol]" caption="С/с Больничные факт по плановым калькуляциям" measure="1" displayFolder="Себестоимость" measureGroup="Fact Sales" count="0"/>
    <cacheHierarchy uniqueName="[Measures].[Sales Plan Uch]" caption="С/с Сверхнормативные выплаты факт по плановым калькуляциям" measure="1" displayFolder="Себестоимость" measureGroup="Fact Sales" count="0"/>
    <cacheHierarchy uniqueName="[Measures].[Sales Plan Transport]" caption="С/с Транспорт факт по плановым калькуляциям" measure="1" displayFolder="Себестоимость" measureGroup="Fact Sales" count="0"/>
    <cacheHierarchy uniqueName="[Measures].[Sales Plan Payroll]" caption="С/с ФОТ факт по плановым калькуляциям" measure="1" displayFolder="Себестоимость" measureGroup="Fact Sales" count="0"/>
    <cacheHierarchy uniqueName="[Measures].[Sales Plan Electro]" caption="С/с ЭЭ факт по плановым калькуляциям" measure="1" displayFolder="Себестоимость" measureGroup="Fact Sales" count="0"/>
    <cacheHierarchy uniqueName="[Measures].[Sales Plan Sub]" caption="С/с субподряд факт по плановым калькуляциям" measure="1" displayFolder="Себестоимость" measureGroup="Fact Sales" count="0"/>
    <cacheHierarchy uniqueName="[Measures].[Sales Plan Teplo]" caption="С/с тепло факт по плановым калькуляциям" measure="1" displayFolder="Себестоимость" measureGroup="Fact Sales" count="0"/>
    <cacheHierarchy uniqueName="[Measures].[Sales Plan Otpusk]" caption="С/с Отпускные факт по плановым калькуляциям" measure="1" displayFolder="Себестоимость" measureGroup="Fact Sales" count="0"/>
    <cacheHierarchy uniqueName="[Measures].[SZ Private Transport Cost - Fact Sales]" caption="Факт Расходы на собственный транспорт вал." measure="1" displayFolder="Логистические затраты" measureGroup="Fact Sales" count="0"/>
    <cacheHierarchy uniqueName="[Measures].[SZ Private Transport Cost UAH Current - Fact Sales]" caption="Факт Расходы на собственный транспорт UAH (тек.сценарий)" measure="1" displayFolder="Логистические затраты" measureGroup="Fact Sales" count="0"/>
    <cacheHierarchy uniqueName="[Measures].[SZ Private Transport Cost UAH Year - Fact Sales]" caption="Факт Расходы на собственный транспорт UAH (год.сценарий)" measure="1" displayFolder="Логистические затраты" measureGroup="Fact Sales" count="0"/>
    <cacheHierarchy uniqueName="[Measures].[SZ Private Transport Cost UAH Fact]" caption="Факт Расходы на собственный транспорт UAH (факт.курс)" measure="1" displayFolder="Логистические затраты" measureGroup="Fact Sales" count="0"/>
    <cacheHierarchy uniqueName="[Measures].[SZ Private Transport Cost RUB Current - Fact Sales]" caption="Факт Расходы на собственный транспорт RUB (тек.сценарий)" measure="1" displayFolder="Логистические затраты" measureGroup="Fact Sales" count="0"/>
    <cacheHierarchy uniqueName="[Measures].[SZ Private Transport Cost RUB Year - Fact Sales]" caption="Факт Расходы на собственный транспорт RUB (год.сценарий)" measure="1" displayFolder="Логистические затраты" measureGroup="Fact Sales" count="0"/>
    <cacheHierarchy uniqueName="[Measures].[SZ Private Transport Cost RUB Fact]" caption="Факт Расходы на собственный транспорт RUB (факт.курс)" measure="1" displayFolder="Логистические затраты" measureGroup="Fact Sales" count="0"/>
    <cacheHierarchy uniqueName="[Measures].[SZ Private Transport Cost EUR Current - Fact Sales]" caption="Факт Расходы на собственный транспорт EUR (тек.сценарий)" measure="1" displayFolder="Логистические затраты" measureGroup="Fact Sales" count="0"/>
    <cacheHierarchy uniqueName="[Measures].[SZ Private Transport Cost EUR Year - Fact Sales]" caption="Факт Расходы на собственный транспорт EUR (год.сценарий)" measure="1" displayFolder="Логистические затраты" measureGroup="Fact Sales" count="0"/>
    <cacheHierarchy uniqueName="[Measures].[SZ Private Transport Cost EUR Fact]" caption="Факт Расходы на собственный транспорт EUR (факт.курс)" measure="1" displayFolder="Логистические затраты" measureGroup="Fact Sales" count="0"/>
    <cacheHierarchy uniqueName="[Measures].[SZ Private Transport Cost KZT Current - Fact Sales]" caption="Факт Расходы на собственный транспорт KZT (тек.сценарий)" measure="1" displayFolder="Логистические затраты" measureGroup="Fact Sales" count="0"/>
    <cacheHierarchy uniqueName="[Measures].[SZ Private Transport Cost KZT Year - Fact Sales]" caption="Факт Расходы на собственный транспорт KZT (год.сценарий)" measure="1" displayFolder="Логистические затраты" measureGroup="Fact Sales" count="0"/>
    <cacheHierarchy uniqueName="[Measures].[SZ Private Transport Cost KZT Fact]" caption="Факт Расходы на собственный транспорт KZT (факт.курс)" measure="1" displayFolder="Логистические затраты" measureGroup="Fact Sales" count="0"/>
    <cacheHierarchy uniqueName="[Measures].[SZP Private Transport Cost Year]" caption="Факт по плану Расходы на собственный транспорт год.план вал." measure="1" displayFolder="Логистические затраты факт по плану" measureGroup="Fact Sales" count="0"/>
    <cacheHierarchy uniqueName="[Measures].[SZP Private Transport Cost Current]" caption="Факт по плану Расходы на собственный транспорт тек.план вал." measure="1" displayFolder="Логистические затраты факт по плану" measureGroup="Fact Sales" count="0"/>
    <cacheHierarchy uniqueName="[Measures].[SZP Private Transport Cost UAH Current]" caption="Факт по плану Расходы на собственный транспорт тек.план UAH (тек.сценарий)" measure="1" displayFolder="Логистические затраты факт по плану" measureGroup="Fact Sales" count="0"/>
    <cacheHierarchy uniqueName="[Measures].[SZP Private Transport Cost RUB Current]" caption="Факт по плану Расходы на собственный транспорт тек.план RUB (тек.сценарий)" measure="1" displayFolder="Логистические затраты факт по плану" measureGroup="Fact Sales" count="0"/>
    <cacheHierarchy uniqueName="[Measures].[SZP Private Transport Cost EUR Current]" caption="Факт по плану Расходы на собственный транспорт тек.план EUR (тек.сценарий)" measure="1" displayFolder="Логистические затраты факт по плану" measureGroup="Fact Sales" count="0"/>
    <cacheHierarchy uniqueName="[Measures].[SZP Private Transport Cost KZT Current]" caption="Факт по плану Расходы на собственный транспорт тек.план KZT (тек.сценарий)" measure="1" displayFolder="Логистические затраты факт по плану" measureGroup="Fact Sales" count="0"/>
    <cacheHierarchy uniqueName="[Measures].[SZP Private Transport Cost UAH Year]" caption="Факт по плану Расходы на собственный транспорт год.план UAH (год.сценарий)" measure="1" displayFolder="Логистические затраты факт по плану" measureGroup="Fact Sales" count="0"/>
    <cacheHierarchy uniqueName="[Measures].[SZP Private Transport Cost RUB Year]" caption="Факт по плану Расходы на собственный транспорт год.план RUB (год.сценарий)" measure="1" displayFolder="Логистические затраты факт по плану" measureGroup="Fact Sales" count="0"/>
    <cacheHierarchy uniqueName="[Measures].[SZP Private Transport Cost EUR Year]" caption="Факт по плану Расходы на собственный транспорт год.план EUR (год.сценарий)" measure="1" displayFolder="Логистические затраты факт по плану" measureGroup="Fact Sales" count="0"/>
    <cacheHierarchy uniqueName="[Measures].[SZP Private Transport Cost KZT Year]" caption="Факт по плану Расходы на собственный транспорт год.план KZT (год.сценарий)" measure="1" displayFolder="Логистические затраты факт по плану" measureGroup="Fact Sales" count="0"/>
    <cacheHierarchy uniqueName="[Measures].[SZN Regional Transport Costs UAH Current]" caption="Факт Расходы на собственный транспорт (норматив), UAH (тек.сценарий)" measure="1" displayFolder="Логистические затраты факт норматив" measureGroup="Fact Sales" count="0"/>
    <cacheHierarchy uniqueName="[Measures].[SZ B2C Cost]" caption="Факт Постоянные логистические расходы B2C вал." measure="1" displayFolder="Логистические затраты" measureGroup="Fact Sales" count="0"/>
    <cacheHierarchy uniqueName="[Measures].[SZ B2C Cost UAH Current]" caption="Факт Постоянные логистические расходы B2C UAH (тек.сценарий)" measure="1" displayFolder="Логистические затраты" measureGroup="Fact Sales" count="0"/>
    <cacheHierarchy uniqueName="[Measures].[SZ B2C Cost UAH Year]" caption="Факт Постоянные логистические расходы B2C UAH (год.сценарий)" measure="1" displayFolder="Логистические затраты" measureGroup="Fact Sales" count="0"/>
    <cacheHierarchy uniqueName="[Measures].[SZ B2C Cost UAH Fact]" caption="Факт Постоянные логистические расходы B2C UAH (факт.курс)" measure="1" displayFolder="Логистические затраты" measureGroup="Fact Sales" count="0"/>
    <cacheHierarchy uniqueName="[Measures].[SZ B2C Cost RUB Current]" caption="Факт Постоянные логистические расходы B2C RUB (тек.сценарий)" measure="1" displayFolder="Логистические затраты" measureGroup="Fact Sales" count="0"/>
    <cacheHierarchy uniqueName="[Measures].[SZ B2C Cost RUB Year]" caption="Факт Постоянные логистические расходы B2C RUB (год.сценарий)" measure="1" displayFolder="Логистические затраты" measureGroup="Fact Sales" count="0"/>
    <cacheHierarchy uniqueName="[Measures].[SZ B2C Cost RUB Fact]" caption="Факт Постоянные логистические расходы B2C RUB (факт.курс)" measure="1" displayFolder="Логистические затраты" measureGroup="Fact Sales" count="0"/>
    <cacheHierarchy uniqueName="[Measures].[SZ B2C Cost EUR Current]" caption="Факт Постоянные логистические расходы B2C EUR (тек.сценарий)" measure="1" displayFolder="Логистические затраты" measureGroup="Fact Sales" count="0"/>
    <cacheHierarchy uniqueName="[Measures].[SZ B2C Cost EUR Year]" caption="Факт Постоянные логистические расходы B2C EUR (год.сценарий)" measure="1" displayFolder="Логистические затраты" measureGroup="Fact Sales" count="0"/>
    <cacheHierarchy uniqueName="[Measures].[SZ B2C Cost EUR Fact]" caption="Факт Постоянные логистические расходы B2C EUR (факт.курс)" measure="1" displayFolder="Логистические затраты" measureGroup="Fact Sales" count="0"/>
    <cacheHierarchy uniqueName="[Measures].[SZ B2C Cost KZT Current]" caption="Факт Постоянные логистические расходы B2C KZT (тек.сценарий)" measure="1" displayFolder="Логистические затраты" measureGroup="Fact Sales" count="0"/>
    <cacheHierarchy uniqueName="[Measures].[SZ B2C Cost KZT Year]" caption="Факт Постоянные логистические расходы B2C KZT (год.сценарий)" measure="1" displayFolder="Логистические затраты" measureGroup="Fact Sales" count="0"/>
    <cacheHierarchy uniqueName="[Measures].[SZ B2C Cost KZT Fact]" caption="Факт Постоянные логистические расходы B2C KZT (факт.курс)" measure="1" displayFolder="Логистические затраты" measureGroup="Fact Sales" count="0"/>
    <cacheHierarchy uniqueName="[Measures].[SZP B2C Cost Year]" caption="Факт по плану Постоянные логистические расходы B2C год.план вал." measure="1" displayFolder="Логистические затраты факт по плану" measureGroup="Fact Sales" count="0"/>
    <cacheHierarchy uniqueName="[Measures].[SZP B2C Cost Current]" caption="Факт по плану Постоянные логистические расходы B2C тек.план вал." measure="1" displayFolder="Логистические затраты факт по плану" measureGroup="Fact Sales" count="0"/>
    <cacheHierarchy uniqueName="[Measures].[SZP B2C Cost UAH Current]" caption="Факт по плану Постоянные логистические расходы B2C тек.план UAH (тек.сценарий)" measure="1" displayFolder="Логистические затраты факт по плану" measureGroup="Fact Sales" count="0"/>
    <cacheHierarchy uniqueName="[Measures].[SZP B2C Cost UAH Year]" caption="Факт по плану Постоянные логистические расходы B2C год.план UAH (год.сценарий)" measure="1" displayFolder="Логистические затраты факт по плану" measureGroup="Fact Sales" count="0"/>
    <cacheHierarchy uniqueName="[Measures].[SZP B2C Cost RUB Year]" caption="Факт по плану Постоянные логистические расходы B2C год.план RUB (год.сценарий)" measure="1" displayFolder="Логистические затраты факт по плану" measureGroup="Fact Sales" count="0"/>
    <cacheHierarchy uniqueName="[Measures].[SZP B2C Cost EUR Year]" caption="Факт по плану Постоянные логистические расходы B2C год.план EUR (год.сценарий)" measure="1" displayFolder="Логистические затраты факт по плану" measureGroup="Fact Sales" count="0"/>
    <cacheHierarchy uniqueName="[Measures].[SZP B2C Cost KZT Year]" caption="Факт по плану Постоянные логистические расходы B2C год.план KZT (год.сценарий)" measure="1" displayFolder="Логистические затраты факт по плану" measureGroup="Fact Sales" count="0"/>
    <cacheHierarchy uniqueName="[Measures].[SZP B2C Cost RUB Current]" caption="Факт по плану Постоянные логистические расходы B2C тек.план RUB (тек.сценарий)" measure="1" displayFolder="Логистические затраты факт по плану" measureGroup="Fact Sales" count="0"/>
    <cacheHierarchy uniqueName="[Measures].[SZP B2C Cost EUR Current]" caption="Факт по плану Постоянные логистические расходы B2C тек.план EUR (тек.сценарий)" measure="1" displayFolder="Логистические затраты факт по плану" measureGroup="Fact Sales" count="0"/>
    <cacheHierarchy uniqueName="[Measures].[SZP B2C Cost KZT Current]" caption="Факт по плану Постоянные логистические расходы B2C тек.план KZT (тек.сценарий)" measure="1" displayFolder="Логистические затраты факт по плану" measureGroup="Fact Sales" count="0"/>
    <cacheHierarchy uniqueName="[Measures].[SZN B2C Cost UAH Current]" caption="Факт Постоянные логистические расходы B2C (норматив), UAH (тек.сценарий)" measure="1" displayFolder="Логистические затраты факт норматив" measureGroup="Fact Sales" count="0"/>
    <cacheHierarchy uniqueName="[Measures].[Sales DC17 Customs]" caption="С/с Таможенное оформление импорта факт" measure="1" displayFolder="Себестоимость" measureGroup="Fact Sales" count="0"/>
    <cacheHierarchy uniqueName="[Measures].[Sales Plan Customs]" caption="С/с Таможенное оформление импорта факт по плановым калькуляциям" measure="1" displayFolder="Себестоимость" measureGroup="Fact Sales" count="0"/>
    <cacheHierarchy uniqueName="[Measures].[Sales Profit UAH For Pseudofact New]" caption="Маржинальный доход (СтП) нов. для расчета псевдофакт, UAH" measure="1" displayFolder="Маржинальный доход факт" measureGroup="Fact Sales" count="0"/>
    <cacheHierarchy uniqueName="[Measures].[SS Full Total]" caption="Полная производственная себестоимость факт, UAH" measure="1" displayFolder="Себестоимость" measureGroup="Fact Sales" count="0"/>
    <cacheHierarchy uniqueName="[Measures].[Sales Profit Full UAH Fact]" caption="Маржинальный доход 1 (по полной производственной себестоимости) факт, UAH" measure="1" displayFolder="Маржинальный доход факт" measureGroup="Fact Sales" count="0"/>
    <cacheHierarchy uniqueName="[Measures].[Sales Profit Pers 1 Full Fact]" caption="Рентабельность продаж 1 (по полной производственной себестоимости) факт, %" measure="1" displayFolder="Рентабельность продаж факт" measureGroup="Fact Sales" count="0"/>
    <cacheHierarchy uniqueName="[Measures].[TS Delivery To Customer Sobstv Transport]" caption="Факт транспорт - доставка до клиента собственным транспортом,  вал." measure="1" displayFolder="Транспорт фактический" measureGroup="Fact Sales" count="0"/>
    <cacheHierarchy uniqueName="[Measures].[TS Delivery To Customer Sobstv Transport Fact]" caption="Факт транспорт - доставка до клиента собственным транспортом, UAH (факт. курс)" measure="1" displayFolder="Транспорт фактический" measureGroup="Fact Sales" count="0"/>
    <cacheHierarchy uniqueName="[Measures].[TS Delivery To Customer Sobstv Transport Current]" caption="Факт транспорт - доставка до клиента собственным транспортом, UAH (тек.сценарий)" measure="1" displayFolder="Транспорт фактический" measureGroup="Fact Sales" count="0"/>
    <cacheHierarchy uniqueName="[Measures].[Accounting SUM Base Currency Fact]" caption="Ф_UCH_Доход_УчетнЦены" measure="1" displayFolder="" measureGroup="Fact Sales" count="0"/>
    <cacheHierarchy uniqueName="[Measures].[Sales SUM Base Currency Fact]" caption="Ф_UCH_Доход" measure="1" displayFolder="" measureGroup="Fact Sales" count="0" oneField="1">
      <fieldsUsage count="1">
        <fieldUsage x="72"/>
      </fieldsUsage>
    </cacheHierarchy>
    <cacheHierarchy uniqueName="[Measures].[Sales SUM EUR Fact]" caption="Ф_EUR_Доход" measure="1" displayFolder="" measureGroup="Fact Sales" count="0"/>
    <cacheHierarchy uniqueName="[Measures].[Sum Distribution Costs Base Currency Fact]" caption="Ф_UCH_Затр сбыт" measure="1" displayFolder="" measureGroup="Fact Sales" count="0"/>
    <cacheHierarchy uniqueName="[Measures].[Sum Distribution Costs EUR Fact]" caption="Ф_EUR_Затр сбыт" measure="1" displayFolder="" measureGroup="Fact Sales" count="0"/>
    <cacheHierarchy uniqueName="[Measures].[Sales SUM EXW Base Currency Fact]" caption="Ф_UCH_Доход EXW" measure="1" displayFolder="" measureGroup="Fact Sales" count="0"/>
    <cacheHierarchy uniqueName="[Measures].[Sales SUM EXW EUR Fact]" caption="Ф_EUR_Доход EXW" measure="1" displayFolder="" measureGroup="Fact Sales" count="0"/>
    <cacheHierarchy uniqueName="[Measures].[Sum Distribution Costs By Plan Base Currency Fact]" caption="ПФ_UCH_Затр сбыт" measure="1" displayFolder="" measureGroup="Fact Sales" count="0"/>
    <cacheHierarchy uniqueName="[Measures].[Sum Distribution Costs By Plan EUR Fact]" caption="ПФ_EUR_Затр сбыт" measure="1" displayFolder="" measureGroup="Fact Sales" count="0"/>
    <cacheHierarchy uniqueName="[Measures].[Sum Comission Currency]" caption="Ф_OPR_ЗС Комиссионные" measure="1" displayFolder="" measureGroup="Fact Sales" count="0"/>
    <cacheHierarchy uniqueName="[Measures].[Sum Comission EUR Fact]" caption="Ф_EUR_ЗС Комиссионные" measure="1" displayFolder="" measureGroup="Fact Sales" count="0"/>
    <cacheHierarchy uniqueName="[Measures].[Sum Comission Base Currency Fact]" caption="Ф_UCH_ЗС Комиссионные" measure="1" displayFolder="" measureGroup="Fact Sales" count="0"/>
    <cacheHierarchy uniqueName="[Measures].[Sum Comission By Plan Base Currency Fact]" caption="ПФ_UCH_ЗС Комиссионные" measure="1" displayFolder="" measureGroup="Fact Sales" count="0"/>
    <cacheHierarchy uniqueName="[Measures].[Sum Comission By Plan EUR Fact]" caption="ПФ_EUR_ЗС Комиссионные" measure="1" displayFolder="" measureGroup="Fact Sales" count="0"/>
    <cacheHierarchy uniqueName="[Measures].[Sum Assembly Currency]" caption="Ф_OPR_ЗС Сбор-погрузка" measure="1" displayFolder="" measureGroup="Fact Sales" count="0"/>
    <cacheHierarchy uniqueName="[Measures].[Sum Assembly EUR Fact]" caption="Ф_EUR_ЗС Сбор-погрузка" measure="1" displayFolder="" measureGroup="Fact Sales" count="0"/>
    <cacheHierarchy uniqueName="[Measures].[Sum Assembly Base Currency Fact]" caption="Ф_UCH_ЗС Сбор-погрузка" measure="1" displayFolder="" measureGroup="Fact Sales" count="0"/>
    <cacheHierarchy uniqueName="[Measures].[Sum Assembly By Plan Base Currency Fact]" caption="ПФ_UCH_ЗС Сбор-погрузка" measure="1" displayFolder="" measureGroup="Fact Sales" count="0"/>
    <cacheHierarchy uniqueName="[Measures].[Sum Assembly By Plan EUR Fact]" caption="ПФ_EUR_ЗС Сбор-погрузка" measure="1" displayFolder="" measureGroup="Fact Sales" count="0"/>
    <cacheHierarchy uniqueName="[Measures].[Re Transport SUM Base Currency Fact]" caption="Ф_UCH_Доход трансп" measure="1" displayFolder="" measureGroup="Fact Sales" count="0"/>
    <cacheHierarchy uniqueName="[Measures].[Re Transport SUM EUR Fact]" caption="Ф_EUR_Доход трансп" measure="1" displayFolder="" measureGroup="Fact Sales" count="0"/>
    <cacheHierarchy uniqueName="[Measures].[Pl Com Bonuses Base Currency Fact]" caption="Ф_UCH_ЗС Ком бонус" measure="1" displayFolder="" measureGroup="Fact Sales" count="0"/>
    <cacheHierarchy uniqueName="[Measures].[Pl Com Bonuses EUR Fact]" caption="Ф_EUR_ЗС Ком бонус" measure="1" displayFolder="" measureGroup="Fact Sales" count="0"/>
    <cacheHierarchy uniqueName="[Measures].[SS Base Currency Fact]" caption="Ф_UCH_DC" measure="1" displayFolder="" measureGroup="Fact Sales" count="0"/>
    <cacheHierarchy uniqueName="[Measures].[SS EUR Fact]" caption="Ф_EUR_DC" measure="1" displayFolder="" measureGroup="Fact Sales" count="0"/>
    <cacheHierarchy uniqueName="[Measures].[SS3 Base Currency Fact]" caption="Ф_UCH_DC МЗ" measure="1" displayFolder="" measureGroup="Fact Sales" count="0"/>
    <cacheHierarchy uniqueName="[Measures].[SS9 Base Currency Fact]" caption="Ф_UCH_DC ФОТ" measure="1" displayFolder="" measureGroup="Fact Sales" count="0"/>
    <cacheHierarchy uniqueName="[Measures].[SS6 Base Currency Fact]" caption="Ф_UCH_DC Больничные" measure="1" displayFolder="" measureGroup="Fact Sales" count="0"/>
    <cacheHierarchy uniqueName="[Measures].[SS16 Base Currency Fact]" caption="Ф_UCH_DC Отпускные" measure="1" displayFolder="" measureGroup="Fact Sales" count="0"/>
    <cacheHierarchy uniqueName="[Measures].[SS7 Base Currency Fact]" caption="Ф_UCH_DC Сверхвыплаты" measure="1" displayFolder="" measureGroup="Fact Sales" count="0"/>
    <cacheHierarchy uniqueName="[Measures].[SS2 Base Currency Fact]" caption="Ф_UCH_DC Газ" measure="1" displayFolder="" measureGroup="Fact Sales" count="0"/>
    <cacheHierarchy uniqueName="[Measures].[SS1 Base Currency Fact]" caption="Ф_UCH_DC Вода" measure="1" displayFolder="" measureGroup="Fact Sales" count="0"/>
    <cacheHierarchy uniqueName="[Measures].[SS10 Base Currency Fact]" caption="Ф_UCH_DC ЭЭ" measure="1" displayFolder="" measureGroup="Fact Sales" count="0"/>
    <cacheHierarchy uniqueName="[Measures].[SS13 Base Currency Fact]" caption="Ф_UCH_DC Субподряд" measure="1" displayFolder="" measureGroup="Fact Sales" count="0"/>
    <cacheHierarchy uniqueName="[Measures].[SS8 Base Currency Fact]" caption="Ф_UCH_DC Транспорт" measure="1" displayFolder="" measureGroup="Fact Sales" count="0"/>
    <cacheHierarchy uniqueName="[Measures].[SS Plan Base Currency Fact]" caption="ПФ_UCH_DC" measure="1" displayFolder="" measureGroup="Fact Sales" count="0"/>
    <cacheHierarchy uniqueName="[Measures].[SS Plan EUR Fact]" caption="ПФ_EUR_DC" measure="1" displayFolder="" measureGroup="Fact Sales" count="0"/>
    <cacheHierarchy uniqueName="[Measures].[SS3 Plan Base Currency Fact]" caption="ПФ_UCH_DC МЗ" measure="1" displayFolder="" measureGroup="Fact Sales" count="0"/>
    <cacheHierarchy uniqueName="[Measures].[SS9 Plan Base Currency Fact]" caption="ПФ_UCH_DC ФОТ" measure="1" displayFolder="" measureGroup="Fact Sales" count="0"/>
    <cacheHierarchy uniqueName="[Measures].[SS6 Plan Base Currency Fact]" caption="ПФ_UCH_DC Больничные" measure="1" displayFolder="" measureGroup="Fact Sales" count="0"/>
    <cacheHierarchy uniqueName="[Measures].[SS16 Plan Base Currency Fact]" caption="ПФ_UCH_DC Отпускные" measure="1" displayFolder="" measureGroup="Fact Sales" count="0"/>
    <cacheHierarchy uniqueName="[Measures].[SS7 Plan Base Currency Fact]" caption="ПФ_UCH_DC Сверхвыплаты" measure="1" displayFolder="" measureGroup="Fact Sales" count="0"/>
    <cacheHierarchy uniqueName="[Measures].[SS1 Plan Base Currency Fact]" caption="ПФ_UCH_DC Вода" measure="1" displayFolder="" measureGroup="Fact Sales" count="0"/>
    <cacheHierarchy uniqueName="[Measures].[SS2 Plan Base Currency Fact]" caption="ПФ_UCH_DC Газ" measure="1" displayFolder="" measureGroup="Fact Sales" count="0"/>
    <cacheHierarchy uniqueName="[Measures].[SS10 Plan Base Currency Fact]" caption="ПФ_UCH_DC ЭЭ" measure="1" displayFolder="" measureGroup="Fact Sales" count="0"/>
    <cacheHierarchy uniqueName="[Measures].[SS13 Plan Base Currency Fact]" caption="ПФ_UCH_DC Субподряд" measure="1" displayFolder="" measureGroup="Fact Sales" count="0"/>
    <cacheHierarchy uniqueName="[Measures].[SS8 Plan Base Currency Fact]" caption="ПФ_UCH_DC Транспорт" measure="1" displayFolder="" measureGroup="Fact Sales" count="0"/>
    <cacheHierarchy uniqueName="[Measures].[SZ FULL Variable Logistic Cost Base Currency Fact]" caption="Ф_UCH_Перем логист" measure="1" displayFolder="" measureGroup="Fact Sales" count="0"/>
    <cacheHierarchy uniqueName="[Measures].[SZ FULL Variable Logistic Cost EUR Fact]" caption="Ф_EUR_Перем логист" measure="1" displayFolder="" measureGroup="Fact Sales" count="0"/>
    <cacheHierarchy uniqueName="[Measures].[TS Delivery To Customer In Region Base Currency Fact]" caption="Ф_UCH_ПЕ Доставка клиент" measure="1" displayFolder="" measureGroup="Fact Sales" count="0"/>
    <cacheHierarchy uniqueName="[Measures].[SZ Logistics Bonuses Base Currency Fact]" caption="Ф_UCH_ПЕ Лог бонус" measure="1" displayFolder="" measureGroup="Fact Sales" count="0"/>
    <cacheHierarchy uniqueName="[Measures].[TS Delivery To Regional Warehouse Base Currency Fact]" caption="Ф_UCH_ПЕ Доставка склад" measure="1" displayFolder="" measureGroup="Fact Sales" count="0"/>
    <cacheHierarchy uniqueName="[Measures].[SZ Variable Export Costs Base Currency Fact]" caption="Ф_UCH_ПЕ Тамож экспорт" measure="1" displayFolder="" measureGroup="Fact Sales" count="0"/>
    <cacheHierarchy uniqueName="[Measures].[SZ FULL Permanent Logistic Cost Base Currency Fact]" caption="Ф_UCH_Пост логист" measure="1" displayFolder="" measureGroup="Fact Sales" count="0"/>
    <cacheHierarchy uniqueName="[Measures].[SZ FULL Permanent Logistic Cost EUR Fact]" caption="Ф_EUR_Пост логист" measure="1" displayFolder="" measureGroup="Fact Sales" count="0"/>
    <cacheHierarchy uniqueName="[Measures].[SZ Costs SGP Base Currency Fact]" caption="Ф_UCH_ПС СГП" measure="1" displayFolder="" measureGroup="Fact Sales" count="0"/>
    <cacheHierarchy uniqueName="[Measures].[SZ Regional Warehouse Costs Base Currency Fact]" caption="Ф_UCH_ПС Удал склад" measure="1" displayFolder="" measureGroup="Fact Sales" count="0"/>
    <cacheHierarchy uniqueName="[Measures].[SZ Permanent Logistics Costs Base Currency Fact]" caption="Ф_UCH_ПС Отдел логистика" measure="1" displayFolder="" measureGroup="Fact Sales" count="0"/>
    <cacheHierarchy uniqueName="[Measures].[SZ Permanent Customs Costs Export Base Currency Fact]" caption="Ф_UCH_ПС Отдел ВЭД" measure="1" displayFolder="" measureGroup="Fact Sales" count="0"/>
    <cacheHierarchy uniqueName="[Measures].[SZ B2C Cost Base Currency Fact]" caption="Ф_UCH_ПС B2C" measure="1" displayFolder="" measureGroup="Fact Sales" count="0"/>
    <cacheHierarchy uniqueName="[Measures].[SZP FULL Permanent Logistic Cost Base Currency Fact]" caption="ПФ_UCH_Пост логист" measure="1" displayFolder="" measureGroup="Fact Sales" count="0"/>
    <cacheHierarchy uniqueName="[Measures].[SZP FULL Permanent Logistic Cost EUR Fact]" caption="ПФ_EUR_Пост логист" measure="1" displayFolder="" measureGroup="Fact Sales" count="0"/>
    <cacheHierarchy uniqueName="[Measures].[SZP Costs SGP Base Currency Fact]" caption="ПФ_UCH_ПС СГП" measure="1" displayFolder="" measureGroup="Fact Sales" count="0"/>
    <cacheHierarchy uniqueName="[Measures].[SZP Regional Warehouse Costs Base Currency Fact]" caption="ПФ_UCH_ПС Удал склад" measure="1" displayFolder="" measureGroup="Fact Sales" count="0"/>
    <cacheHierarchy uniqueName="[Measures].[SZP Permanent Logistics Costs Base Currency Fact]" caption="ПФ_UCH_ПС Отдел логистика" measure="1" displayFolder="" measureGroup="Fact Sales" count="0"/>
    <cacheHierarchy uniqueName="[Measures].[SZP Permanent Customs Costs Export Base Currency Fact]" caption="ПФ_UCH_ПС Отдел ВЭД" measure="1" displayFolder="" measureGroup="Fact Sales" count="0"/>
    <cacheHierarchy uniqueName="[Measures].[SZP B2C Cost Base Currency Fact]" caption="ПФ_UCH_ПС B2C" measure="1" displayFolder="" measureGroup="Fact Sales" count="0"/>
    <cacheHierarchy uniqueName="[Measures].[Fact Margine2022 1 Base Currency Fact]" caption="Ф_UCH_М1" measure="1" displayFolder="" measureGroup="Fact Sales" count="0"/>
    <cacheHierarchy uniqueName="[Measures].[Fact Margine2022 1 EUR Fact]" caption="Ф_EUR_М1" measure="1" displayFolder="" measureGroup="Fact Sales" count="0"/>
    <cacheHierarchy uniqueName="[Measures].[Fact Margine2022 2 Base Currency Fact]" caption="Ф_UCH_М2" measure="1" displayFolder="" measureGroup="Fact Sales" count="0"/>
    <cacheHierarchy uniqueName="[Measures].[Fact Margine2022 2 EUR Fact]" caption="Ф_EUR_М2" measure="1" displayFolder="" measureGroup="Fact Sales" count="0"/>
    <cacheHierarchy uniqueName="[Measures].[Fact Margine2022 1 By Plan Base Currency Fact]" caption="ПФ_UCH_М1" measure="1" displayFolder="" measureGroup="Fact Sales" count="0"/>
    <cacheHierarchy uniqueName="[Measures].[Fact Margine2022 1 By Plan EUR Fact]" caption="ПФ_EUR_М1" measure="1" displayFolder="" measureGroup="Fact Sales" count="0"/>
    <cacheHierarchy uniqueName="[Measures].[Fact Margine2022 2 By Plan Base Currency Fact]" caption="ПФ_UCH_М2" measure="1" displayFolder="" measureGroup="Fact Sales" count="0"/>
    <cacheHierarchy uniqueName="[Measures].[Fact Margine2022 2 By Plan EUR Fact]" caption="ПФ_EUR_М2" measure="1" displayFolder="" measureGroup="Fact Sales" count="0"/>
    <cacheHierarchy uniqueName="[Measures].[Fact Profitability2022 M1]" caption="Ф_Р% М1" measure="1" displayFolder="" measureGroup="Fact Sales" count="0"/>
    <cacheHierarchy uniqueName="[Measures].[Fact Profitability2022 M2]" caption="Ф_Р% М2" measure="1" displayFolder="" measureGroup="Fact Sales" count="0"/>
    <cacheHierarchy uniqueName="[Measures].[Fact Profitability2022 M1 EXW]" caption="Ф_Р% М1 EXW" measure="1" displayFolder="" measureGroup="Fact Sales" count="0"/>
    <cacheHierarchy uniqueName="[Measures].[Fact Profitability2022 M2 EXW]" caption="Ф_Р% М2 EXW" measure="1" displayFolder="" measureGroup="Fact Sales" count="0"/>
    <cacheHierarchy uniqueName="[Measures].[Fact By Plan Profitability2022 M1]" caption="ПФ_Р% М1" measure="1" displayFolder="" measureGroup="Fact Sales" count="0"/>
    <cacheHierarchy uniqueName="[Measures].[Fact By Plan Profitability2022 M2]" caption="ПФ_Р% М2" measure="1" displayFolder="" measureGroup="Fact Sales" count="0"/>
    <cacheHierarchy uniqueName="[Measures].[Fact By Plan Profitability2022 M1 EXW]" caption="ПФ_Р% М1 EXW" measure="1" displayFolder="" measureGroup="Fact Sales" count="0"/>
    <cacheHierarchy uniqueName="[Measures].[Fact By Plan Profitability2022 M2 EXW]" caption="ПФ_Р% М2 EXW" measure="1" displayFolder="" measureGroup="Fact Sales" count="0"/>
    <cacheHierarchy uniqueName="[Measures].[Order QTY]" caption="Кол-во заказ" measure="1" displayFolder="" measureGroup="Fact Orders" count="0"/>
    <cacheHierarchy uniqueName="[Measures].[Order Sum Currency]" caption="Сумма заказ (вал)" measure="1" displayFolder="" measureGroup="Fact Orders" count="0"/>
    <cacheHierarchy uniqueName="[Measures].[TMC Volume - Fact Orders]" caption="Физический объём заказ" measure="1" displayFolder="" measureGroup="Fact Orders" count="0"/>
    <cacheHierarchy uniqueName="[Measures].[TMC Weight - Fact Orders]" caption="Физический вес заказ" measure="1" displayFolder="" measureGroup="Fact Orders" count="0"/>
    <cacheHierarchy uniqueName="[Measures].[Order SUM UAH]" caption="Сумма заказ UAH" measure="1" displayFolder="" measureGroup="Fact Orders" count="0"/>
    <cacheHierarchy uniqueName="[Measures].[Order SUM UAH Current Plan]" caption="Сумма заказ UAH (тек. сценарий)" measure="1" displayFolder="" measureGroup="Fact Orders" count="0"/>
    <cacheHierarchy uniqueName="[Measures].[Order SUM UAH Fact]" caption="Сумма заказ UAH (факт. курс)" measure="1" displayFolder="" measureGroup="Fact Orders" count="0"/>
    <cacheHierarchy uniqueName="[Measures].[Order SUM EUR Current Plan]" caption="Сумма заказ EUR (тек. сценарий)" measure="1" displayFolder="" measureGroup="Fact Orders" count="0"/>
    <cacheHierarchy uniqueName="[Measures].[Order SUM EUR Fact]" caption="Сумма заказ EUR (факт. курс)" measure="1" displayFolder="" measureGroup="Fact Orders" count="0"/>
    <cacheHierarchy uniqueName="[Measures].[Order SUM KZT Current Plan]" caption="Сумма заказ KZT (тек. сценарий)" measure="1" displayFolder="" measureGroup="Fact Orders" count="0"/>
    <cacheHierarchy uniqueName="[Measures].[Order SUM KZT Fact]" caption="Сумма заказ KZT (факт. курс)" measure="1" displayFolder="" measureGroup="Fact Orders" count="0"/>
    <cacheHierarchy uniqueName="[Measures].[Order SUM RUB Current Plan]" caption="Сумма заказ RUB (тек. сценарий)" measure="1" displayFolder="" measureGroup="Fact Orders" count="0"/>
    <cacheHierarchy uniqueName="[Measures].[Order SUM RUB Fact]" caption="Сумма заказ RUB (факт. курс)" measure="1" displayFolder="" measureGroup="Fact Orders" count="0"/>
    <cacheHierarchy uniqueName="[Measures].[Order QTY Shipped]" caption="Кол-во заказ отгружено" measure="1" displayFolder="" measureGroup="Fact Orders" count="0"/>
    <cacheHierarchy uniqueName="[Measures].[OrdersWithoutClosedUAH]" caption="OrdersWithoutClosedUAH" measure="1" displayFolder="SubAgregateMeasures" measureGroup="Fact Orders" count="0"/>
    <cacheHierarchy uniqueName="[Measures].[OrdersWithoutClosedKZT]" caption="OrdersWithoutClosedKZT" measure="1" displayFolder="SubAgregateMeasures" measureGroup="Fact Orders" count="0"/>
    <cacheHierarchy uniqueName="[Measures].[OrdersWithoutClosedEUR]" caption="OrdersWithoutClosedEUR" measure="1" displayFolder="SubAgregateMeasures" measureGroup="Fact Orders" count="0"/>
    <cacheHierarchy uniqueName="[Measures].[OrdersWithoutClosed]" caption="OrdersWithoutClosed" measure="1" displayFolder="SubAgregateMeasures" measureGroup="Fact Orders" count="0"/>
    <cacheHierarchy uniqueName="[Measures].[OrdersWithoutClosedQTY]" caption="OrdersWithoutClosedQTY" measure="1" displayFolder="SubAgregateMeasures" measureGroup="Fact Orders" count="0"/>
    <cacheHierarchy uniqueName="[Measures].[OrderDiscount]" caption="Скидка" measure="1" displayFolder="" measureGroup="Fact Orders" count="0"/>
    <cacheHierarchy uniqueName="[Measures].[Plan QTY]" caption="П_Кол-во" measure="1" displayFolder="" measureGroup="Fact Sale Plans" count="0"/>
    <cacheHierarchy uniqueName="[Measures].[Plan SUM Currency]" caption="П_OPR_Доход" measure="1" displayFolder="" measureGroup="Fact Sale Plans" count="0"/>
    <cacheHierarchy uniqueName="[Measures].[TMC Volume - Fact Sale Plans]" caption="П_Объём" measure="1" displayFolder="" measureGroup="Fact Sale Plans" count="0"/>
    <cacheHierarchy uniqueName="[Measures].[TMC Weight - Fact Sale Plans]" caption="П_Вес" measure="1" displayFolder="" measureGroup="Fact Sale Plans" count="0"/>
    <cacheHierarchy uniqueName="[Measures].[Plan SUM USD Current Plan]" caption="Сумма план USD (тек.сценарий)" measure="1" displayFolder="Доходы в валютах" measureGroup="Fact Sale Plans" count="0"/>
    <cacheHierarchy uniqueName="[Measures].[Plan SUM USD Year Plan]" caption="Сумма план USD (год.сценарий)" measure="1" displayFolder="Доходы в валютах" measureGroup="Fact Sale Plans" count="0"/>
    <cacheHierarchy uniqueName="[Measures].[Plan SUM EUR Current Plan]" caption="Сумма план EUR (тек.сценарий)" measure="1" displayFolder="Доходы в валютах" measureGroup="Fact Sale Plans" count="0"/>
    <cacheHierarchy uniqueName="[Measures].[Plan SUM EUR Year Plan]" caption="Сумма план EUR (год.сценарий)" measure="1" displayFolder="Доходы в валютах" measureGroup="Fact Sale Plans" count="0"/>
    <cacheHierarchy uniqueName="[Measures].[Plan SUM RUB Current Plan]" caption="Сумма план RUB (тек.сценарий)" measure="1" displayFolder="Доходы в валютах" measureGroup="Fact Sale Plans" count="0"/>
    <cacheHierarchy uniqueName="[Measures].[Plan SUM RUB Year Plan]" caption="Сумма план RUB (год.сценарий)" measure="1" displayFolder="Доходы в валютах" measureGroup="Fact Sale Plans" count="0"/>
    <cacheHierarchy uniqueName="[Measures].[Plan SUM KZT Current Plan]" caption="Сумма план KZT (тек.сценарий)" measure="1" displayFolder="Доходы в валютах" measureGroup="Fact Sale Plans" count="0"/>
    <cacheHierarchy uniqueName="[Measures].[Plan SUM KZT Year Plan]" caption="Сумма план KZT (год.сценарий)" measure="1" displayFolder="Доходы в валютах" measureGroup="Fact Sale Plans" count="0"/>
    <cacheHierarchy uniqueName="[Measures].[Plan SUM PLN Current Plan]" caption="Сумма план PLN (тек.сценарий)" measure="1" displayFolder="Доходы в валютах" measureGroup="Fact Sale Plans" count="0"/>
    <cacheHierarchy uniqueName="[Measures].[Plan SUM PLN Year Plan]" caption="Сумма план PLN (год.сценарий)" measure="1" displayFolder="Доходы в валютах" measureGroup="Fact Sale Plans" count="0"/>
    <cacheHierarchy uniqueName="[Measures].[Plan SUM UAH Current Plan]" caption="Сумма план UAH (тек.сценарий)" measure="1" displayFolder="Доходы в валютах" measureGroup="Fact Sale Plans" count="0"/>
    <cacheHierarchy uniqueName="[Measures].[Plan SUM UAH Year Plan]" caption="Сумма план UAH (год.сценарий)" measure="1" displayFolder="Доходы в валютах" measureGroup="Fact Sale Plans" count="0"/>
    <cacheHierarchy uniqueName="[Measures].[Plan SUM wo Discount Currency]" caption="Сумма план (вал) без скидки" measure="1" displayFolder="Отдел Продаж" measureGroup="Fact Sale Plans" count="0"/>
    <cacheHierarchy uniqueName="[Measures].[Plan DC1 water]" caption="С/с Вода план" measure="1" displayFolder="Себестоимость" measureGroup="Fact Sale Plans" count="0"/>
    <cacheHierarchy uniqueName="[Measures].[Plan DC2 Gas]" caption="С/с Газ план" measure="1" displayFolder="Себестоимость" measureGroup="Fact Sale Plans" count="0"/>
    <cacheHierarchy uniqueName="[Measures].[Plan DC3 Material]" caption="С/с Мат.затраты план" measure="1" displayFolder="Себестоимость" measureGroup="Fact Sale Plans" count="0"/>
    <cacheHierarchy uniqueName="[Measures].[Plan DC3 Material Korr]" caption="С/с Мат.затраты с коэфф план" measure="1" displayFolder="Себестоимость" measureGroup="Fact Sale Plans" count="0"/>
    <cacheHierarchy uniqueName="[Measures].[Plan DC4 Defect]" caption="С/с Брак план" measure="1" displayFolder="Себестоимость" measureGroup="Fact Sale Plans" count="0"/>
    <cacheHierarchy uniqueName="[Measures].[Plan DC5 NoAlt]" caption="С/с Альтерн. план" measure="1" displayFolder="Себестоимость" measureGroup="Fact Sale Plans" count="0"/>
    <cacheHierarchy uniqueName="[Measures].[Plan DC6 Bol]" caption="С/с Больничные план" measure="1" displayFolder="Себестоимость" measureGroup="Fact Sale Plans" count="0"/>
    <cacheHierarchy uniqueName="[Measures].[Plan DC7 Uch]" caption="С/с Сверхнормативные выплаты план" measure="1" displayFolder="Себестоимость" measureGroup="Fact Sale Plans" count="0"/>
    <cacheHierarchy uniqueName="[Measures].[Plan DC8 Transport]" caption="С/с Транспорт план" measure="1" displayFolder="Себестоимость" measureGroup="Fact Sale Plans" count="0"/>
    <cacheHierarchy uniqueName="[Measures].[Plan DC9 Payroll]" caption="С/с ФОТ план" measure="1" displayFolder="Себестоимость" measureGroup="Fact Sale Plans" count="0"/>
    <cacheHierarchy uniqueName="[Measures].[Plan DC10 Electro]" caption="С/с ЭЭ план" measure="1" displayFolder="Себестоимость" measureGroup="Fact Sale Plans" count="0"/>
    <cacheHierarchy uniqueName="[Measures].[Plan DC11 Pa]" caption="С/с Пар план" measure="1" displayFolder="Себестоимость" measureGroup="Fact Sale Plans" count="0"/>
    <cacheHierarchy uniqueName="[Measures].[Plan DC12 Diezel]" caption="С/с Диз.топливо план" measure="1" displayFolder="Себестоимость" measureGroup="Fact Sale Plans" count="0"/>
    <cacheHierarchy uniqueName="[Measures].[Plan DC13 Sub]" caption="С/с субподряд план" measure="1" displayFolder="Себестоимость" measureGroup="Fact Sale Plans" count="0"/>
    <cacheHierarchy uniqueName="[Measures].[Plan DC14 Vozd]" caption="С/с Воздух технол. план" measure="1" displayFolder="Себестоимость" measureGroup="Fact Sale Plans" count="0"/>
    <cacheHierarchy uniqueName="[Measures].[Plan DC15 Teplo]" caption="С/с Тепло план" measure="1" displayFolder="Себестоимость" measureGroup="Fact Sale Plans" count="0"/>
    <cacheHierarchy uniqueName="[Measures].[Plan DC16 Otpusk]" caption="С/с Отпускные план" measure="1" displayFolder="Себестоимость" measureGroup="Fact Sale Plans" count="0"/>
    <cacheHierarchy uniqueName="[Measures].[Plan DC UAH Korr]" caption="Себестоимость ГРН с коэфф план" measure="1" displayFolder="Себестоимость" measureGroup="Fact Sale Plans" count="0"/>
    <cacheHierarchy uniqueName="[Measures].[Plan DC UAH Current]" caption="Себестоимость план, UAH (тек. сценарий)" measure="1" displayFolder="Себестоимость" measureGroup="Fact Sale Plans" count="0"/>
    <cacheHierarchy uniqueName="[Measures].[Plan SS Year]" caption="Себестоимость план, UAH (год.сценарий)" measure="1" displayFolder="Себестоимость" measureGroup="Fact Sale Plans" count="0"/>
    <cacheHierarchy uniqueName="[Measures].[Plan SS RUB Year]" caption="Себестоимость план, RUB (год.сценарий)" measure="1" displayFolder="Себестоимость" measureGroup="Fact Sale Plans" count="0"/>
    <cacheHierarchy uniqueName="[Measures].[Plan SS RUB Current]" caption="Себестоимость план, RUB (тек.сценарий)" measure="1" displayFolder="Себестоимость" measureGroup="Fact Sale Plans" count="0"/>
    <cacheHierarchy uniqueName="[Measures].[Plan SS KZT Year]" caption="Себестоимость план, KZT (год.сценарий)" measure="1" displayFolder="Себестоимость" measureGroup="Fact Sale Plans" count="0"/>
    <cacheHierarchy uniqueName="[Measures].[Plan SS KZT Current]" caption="Себестоимость план, KZT (тек.сценарий)" measure="1" displayFolder="Себестоимость" measureGroup="Fact Sale Plans" count="0"/>
    <cacheHierarchy uniqueName="[Measures].[Plan SS EUR Year]" caption="Себестоимость план, EUR (год.сценарий)" measure="1" displayFolder="Себестоимость" measureGroup="Fact Sale Plans" count="0"/>
    <cacheHierarchy uniqueName="[Measures].[Plan SS EUR Current]" caption="Себестоимость план, EUR (тек.сценарий)" measure="1" displayFolder="Себестоимость" measureGroup="Fact Sale Plans" count="0"/>
    <cacheHierarchy uniqueName="[Measures].[Plan FA Weight Net]" caption="Кол-во план (для факторного анализа)" measure="1" displayFolder="Факторный анализ относ" measureGroup="Fact Sale Plans" count="0"/>
    <cacheHierarchy uniqueName="[Measures].[Pl Com Bonuses Currency]" caption="П_OPR_ЗС Ком бонус" measure="1" displayFolder="Коммерческие бонусы План" measureGroup="Fact Sale Plans" count="0"/>
    <cacheHierarchy uniqueName="[Measures].[Pl Com Bonuses UAH Current Plan]" caption="Коммерческий Бонус план UAH (тек.сценарий)" measure="1" displayFolder="Коммерческие бонусы План" measureGroup="Fact Sale Plans" count="0"/>
    <cacheHierarchy uniqueName="[Measures].[Pl Com Bonuses UAH Year Plan]" caption="Коммерческий Бонус план UAH (год.сценарий)" measure="1" displayFolder="Коммерческие бонусы План" measureGroup="Fact Sale Plans" count="0"/>
    <cacheHierarchy uniqueName="[Measures].[Plan Profit UAH Year Plan New]" caption="Маржинальный доход (СтП) нов. план, UAH (год. сценарий)" measure="1" displayFolder="Маржинальный доход план" measureGroup="Fact Sale Plans" count="0"/>
    <cacheHierarchy uniqueName="[Measures].[Plan Profit RUB Year Plan New]" caption="Маржинальный доход (СтП) нов. план, RUB (год. сценарий)" measure="1" displayFolder="Маржинальный доход план" measureGroup="Fact Sale Plans" count="0"/>
    <cacheHierarchy uniqueName="[Measures].[Plan Profit EUR Year Plan New]" caption="Маржинальный доход (СтП) нов. план, EUR (год. сценарий)" measure="1" displayFolder="Маржинальный доход план" measureGroup="Fact Sale Plans" count="0"/>
    <cacheHierarchy uniqueName="[Measures].[Plan Profit KZT Year Plan New]" caption="Маржинальный доход (СтП) нов. план, KZT (год. сценарий)" measure="1" displayFolder="Маржинальный доход план" measureGroup="Fact Sale Plans" count="0"/>
    <cacheHierarchy uniqueName="[Measures].[Plan Profit UAH Curr Plan New]" caption="Маржинальный доход (СтП) нов. план, UAH (тек. сценарий)" measure="1" displayFolder="Маржинальный доход план" measureGroup="Fact Sale Plans" count="0"/>
    <cacheHierarchy uniqueName="[Measures].[Plan Profit RUB Curr Plan New]" caption="Маржинальный доход (СтП) нов. план, RUB (тек. сценарий)" measure="1" displayFolder="Маржинальный доход план" measureGroup="Fact Sale Plans" count="0"/>
    <cacheHierarchy uniqueName="[Measures].[Plan Profit EUR Curr Plan New]" caption="Маржинальный доход (СтП) нов. план, EUR (тек. сценарий)" measure="1" displayFolder="Маржинальный доход план" measureGroup="Fact Sale Plans" count="0"/>
    <cacheHierarchy uniqueName="[Measures].[Plan Profit KZT Curr Plan New]" caption="Маржинальный доход (СтП) нов. план, KZT (тек. сценарий)" measure="1" displayFolder="Маржинальный доход план" measureGroup="Fact Sale Plans" count="0"/>
    <cacheHierarchy uniqueName="[Measures].[Plan Profit 1 UAH Curr Plan]" caption="Маржинальный доход 1 (по прямым затратам) план, UAH (тек. сценарий)" measure="1" displayFolder="Маржинальный доход план" measureGroup="Fact Sale Plans" count="0"/>
    <cacheHierarchy uniqueName="[Measures].[Plan Profit 1 UAH Year Plan]" caption="Маржинальный доход 1 (по прямым затратам) план, UAH (год. сценарий)" measure="1" displayFolder="Маржинальный доход план" measureGroup="Fact Sale Plans" count="0"/>
    <cacheHierarchy uniqueName="[Measures].[Plan Profit Pers Current Plan New]" caption="Рентабельность продаж (СтП) нов. план, % (текущий сценарий)" measure="1" displayFolder="Рентабельность продаж  план" measureGroup="Fact Sale Plans" count="0"/>
    <cacheHierarchy uniqueName="[Measures].[Plan Profit Pers Year Plan New]" caption="Рентабельность продаж (СтП) нов. план, % (год.сценарий)" measure="1" displayFolder="Рентабельность продаж  план" measureGroup="Fact Sale Plans" count="0"/>
    <cacheHierarchy uniqueName="[Measures].[Plan Profit 1 Pers Curr Plan]" caption="Рентабельность продаж 1 (по прямым затратам) план, % (тек.сценарий)" measure="1" displayFolder="Рентабельность продаж  план" measureGroup="Fact Sale Plans" count="0"/>
    <cacheHierarchy uniqueName="[Measures].[Plan Profit 1 Pers Year Plan]" caption="Рентабельность продаж 1 (по прямым затратам) план, % (год.сценарий)" measure="1" displayFolder="Рентабельность продаж  план" measureGroup="Fact Sale Plans" count="0"/>
    <cacheHierarchy uniqueName="[Measures].[Plan SZ Transportation Costs]" caption="Транспорт - доставка до Дистрибуций Показатель, вал. план" measure="1" displayFolder="Транспорт и таможня (не актуально)" measureGroup="Fact Sale Plans" count="0"/>
    <cacheHierarchy uniqueName="[Measures].[Plan SZ Transportation Costs UAH Current]" caption="Транспорт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Transportation Costs UAH Year]" caption="Транспорт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Transportation Costs BDR]" caption="Транспорт - доставка до Дистрибуций БДР, вал. план" measure="1" displayFolder="Транспорт и таможня (не актуально)" measureGroup="Fact Sale Plans" count="0"/>
    <cacheHierarchy uniqueName="[Measures].[Plan SZ Transportation Costs BDR UAH Current]" caption="Транспорт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Transportation Costs BDR UAH Year]" caption="Транспорт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Z Customs Charges]" caption="Таможня - доставка до Дистрибуций Показатель, вал. план" measure="1" displayFolder="Транспорт и таможня (не актуально)" measureGroup="Fact Sale Plans" count="0"/>
    <cacheHierarchy uniqueName="[Measures].[Plan SZ Customs Charges UAH Current]" caption="Таможня - доставка до Дистрибуций Показатель, UAH план (тек. сценарий)" measure="1" displayFolder="Транспорт и таможня (не актуально)" measureGroup="Fact Sale Plans" count="0"/>
    <cacheHierarchy uniqueName="[Measures].[Plan SZ Customs Charges UAH Year]" caption="Таможня - доставка до Дистрибуций Показатель, UAH. план (год. сценарий)" measure="1" displayFolder="Транспорт и таможня (не актуально)" measureGroup="Fact Sale Plans" count="0"/>
    <cacheHierarchy uniqueName="[Measures].[Plan SZ Customs Charges BDR]" caption="Таможня - доставка до Дистрибуций БДР, вал. план" measure="1" displayFolder="Транспорт и таможня (не актуально)" measureGroup="Fact Sale Plans" count="0"/>
    <cacheHierarchy uniqueName="[Measures].[Plan SZ Customs Charges BDR UAH Current]" caption="Таможня - доставка до Дистрибуций БДР, UAH план (тек.сценарий)" measure="1" displayFolder="Транспорт и таможня (не актуально)" measureGroup="Fact Sale Plans" count="0"/>
    <cacheHierarchy uniqueName="[Measures].[Plan SZ Customs Charges BDR UAH Year]" caption="Таможня - доставка до Дистрибуций БДР, UAH план (год.сценарий)" measure="1" displayFolder="Транспорт и таможня (не актуально)" measureGroup="Fact Sale Plans" count="0"/>
    <cacheHierarchy uniqueName="[Measures].[Plan SSP Year]" caption="Себестоимость для Показателей план, UAH (год. сценарий)" measure="1" displayFolder="Себестоимость для Показателя" measureGroup="Fact Sale Plans" count="0"/>
    <cacheHierarchy uniqueName="[Measures].[Plan SSP Current]" caption="Себестоимость для Показателей план, UAH (тек. сценарий)" measure="1" displayFolder="Себестоимость для Показателя" measureGroup="Fact Sale Plans" count="0"/>
    <cacheHierarchy uniqueName="[Measures].[Plan SSP RUB Year]" caption="Себестоимость для Показателей план, RUB (год.сценарий)" measure="1" displayFolder="Себестоимость для Показателя" measureGroup="Fact Sale Plans" count="0"/>
    <cacheHierarchy uniqueName="[Measures].[Plan SSP RUB Current]" caption="Себестоимость для Показателей план, RUB (тек.сценарий)" measure="1" displayFolder="Себестоимость для Показателя" measureGroup="Fact Sale Plans" count="0"/>
    <cacheHierarchy uniqueName="[Measures].[Plan SSP KZT Current]" caption="Себестоимость для Показателей план, KZT (тек.сценарий)" measure="1" displayFolder="Себестоимость для Показателя" measureGroup="Fact Sale Plans" count="0"/>
    <cacheHierarchy uniqueName="[Measures].[Plan SSP KZT Year]" caption="Себестоимость для Показателей план, KZT (год.сценарий)" measure="1" displayFolder="Себестоимость для Показателя" measureGroup="Fact Sale Plans" count="0"/>
    <cacheHierarchy uniqueName="[Measures].[plan SSP EUR Current]" caption="Себестоимость для Показателей план, EUR (тек.сценарий)" measure="1" displayFolder="Себестоимость для Показателя" measureGroup="Fact Sale Plans" count="0"/>
    <cacheHierarchy uniqueName="[Measures].[Plan SSP EUR Year]" caption="Себестоимость для Показателей план, EUR (год.сценарий)" measure="1" displayFolder="Себестоимость для Показателя" measureGroup="Fact Sale Plans" count="0"/>
    <cacheHierarchy uniqueName="[Measures].[PlanDiscount]" caption="Скидка план" measure="1" displayFolder="Отдел Продаж" measureGroup="Fact Sale Plans" count="0"/>
    <cacheHierarchy uniqueName="[Measures].[SZ Logistics Bonuses - Fact Sale Plans]" caption="План. логистические бонусы вал." measure="1" displayFolder="Логистические затраты" measureGroup="Fact Sale Plans" count="0"/>
    <cacheHierarchy uniqueName="[Measures].[SZ Logistics Bonuses UAH Year - Fact Sale Plans]" caption="План. логистические бонусы UAH (год.сценарий)" measure="1" displayFolder="Логистические затраты" measureGroup="Fact Sale Plans" count="0"/>
    <cacheHierarchy uniqueName="[Measures].[SZ Logistics Bonuses UAH Current - Fact Sale Plans]" caption="План. логистические бонусы UAH (тек.сценарий)" measure="1" displayFolder="Логистические затраты" measureGroup="Fact Sale Plans" count="0"/>
    <cacheHierarchy uniqueName="[Measures].[SZ Costs SGP Kharkov - Fact Sale Plans]" caption="План. расходы СГП Харьков UAH" measure="1" displayFolder="Логистические затраты" measureGroup="Fact Sale Plans" count="0"/>
    <cacheHierarchy uniqueName="[Measures].[SZ Costs SGP Kharkov EUR Current - Fact Sale Plans]" caption="План. расходы СГП Харьков EUR (тек.сценарий)" measure="1" displayFolder="Логистические затраты" measureGroup="Fact Sale Plans" count="0"/>
    <cacheHierarchy uniqueName="[Measures].[SZ Costs SGP Kharkov EUR Year - Fact Sale Plans]" caption="План. расходы СГП Харьков EUR (год.сценарий)" measure="1" displayFolder="Логистические затраты" measureGroup="Fact Sale Plans" count="0"/>
    <cacheHierarchy uniqueName="[Measures].[SZ Costs SGP Kharkov RUB Current - Fact Sale Plans]" caption="План. расходы СГП Харьков RUB (тек.сценарий)" measure="1" displayFolder="Логистические затраты" measureGroup="Fact Sale Plans" count="0"/>
    <cacheHierarchy uniqueName="[Measures].[SZ Costs SGP Kharkov RUB Year - Fact Sale Plans]" caption="План. расходы СГП Харьков RUB (год.сценарий)" measure="1" displayFolder="Логистические затраты" measureGroup="Fact Sale Plans" count="0"/>
    <cacheHierarchy uniqueName="[Measures].[SZ Costs SGP Kharkov KZT Current - Fact Sale Plans]" caption="План. расходы СГП Харьков KZT (тек.сценарий)" measure="1" displayFolder="Логистические затраты" measureGroup="Fact Sale Plans" count="0"/>
    <cacheHierarchy uniqueName="[Measures].[SZ Costs SGP Kharkov KZT Year - Fact Sale Plans]" caption="План. расходы СГП Харьков KZT (год.сценарий)" measure="1" displayFolder="Логистические затраты" measureGroup="Fact Sale Plans" count="0"/>
    <cacheHierarchy uniqueName="[Measures].[SZ Costs SGP Tula - Fact Sale Plans]" caption="План. расходы СГП Тула, RUB" measure="1" displayFolder="Логистические затраты" measureGroup="Fact Sale Plans" count="0"/>
    <cacheHierarchy uniqueName="[Measures].[SZ Costs SGP Tula UAH Year - Fact Sale Plans]" caption="План. расходы СГП Тула UAH (год.сценарий)" measure="1" displayFolder="Логистические затраты" measureGroup="Fact Sale Plans" count="0"/>
    <cacheHierarchy uniqueName="[Measures].[SZ Costs SGP Tula UAH Current - Fact Sale Plans]" caption="План. расходы СГП Тула UAH (тек.сценарий)" measure="1" displayFolder="Логистические затраты" measureGroup="Fact Sale Plans" count="0"/>
    <cacheHierarchy uniqueName="[Measures].[SZ Costs SGP Shebekino - Fact Sale Plans]" caption="План. расходы СГП Шебекино, RUB" measure="1" displayFolder="Логистические затраты" measureGroup="Fact Sale Plans" count="0"/>
    <cacheHierarchy uniqueName="[Measures].[SZ Costs SGP Shebekino UAH Year - Fact Sale Plans]" caption="План. расходы СГП Шебекино, UAH (год.сценарий)" measure="1" displayFolder="Логистические затраты" measureGroup="Fact Sale Plans" count="0"/>
    <cacheHierarchy uniqueName="[Measures].[SZ Costs SGP Shebekino UAH Current - Fact Sale Plans]" caption="План. расходы СГП Шебекино, UAH (тек.сценарий)" measure="1" displayFolder="Логистические затраты" measureGroup="Fact Sale Plans" count="0"/>
    <cacheHierarchy uniqueName="[Measures].[SZ Costs RC Belgorod - Fact Sale Plans]" caption="План расходы РЦ Белгород, RUB" measure="1" displayFolder="Логистические затраты" measureGroup="Fact Sale Plans" count="0"/>
    <cacheHierarchy uniqueName="[Measures].[SZ Costs RC Belgorod UAH Year - Fact Sale Plans]" caption="План расходы РЦ Белгород, UAH (год.сценарий)" measure="1" displayFolder="Логистические затраты" measureGroup="Fact Sale Plans" count="0"/>
    <cacheHierarchy uniqueName="[Measures].[SZ Costs RC Belgorod UAH Current - Fact Sale Plans]" caption="План расходы РЦ Белгород, UAH (тек.сценарий)" measure="1" displayFolder="Логистические затраты" measureGroup="Fact Sale Plans" count="0"/>
    <cacheHierarchy uniqueName="[Measures].[SZ Costs RC Belgorod KZT Year - Fact Sale Plans]" caption="План расходы РЦ Белгород, KZT (год.сценарий)" measure="1" displayFolder="Логистические затраты" measureGroup="Fact Sale Plans" count="0"/>
    <cacheHierarchy uniqueName="[Measures].[SZ Costs RC Belgorod KZT Current - Fact Sale Plans]" caption="План расходы РЦ Белгород, KZT (тек.сценарий)" measure="1" displayFolder="Логистические затраты" measureGroup="Fact Sale Plans" count="0"/>
    <cacheHierarchy uniqueName="[Measures].[SZ Costs RC Belgorod EUR Year - Fact Sale Plans]" caption="План расходы РЦ Белгород, EUR (год.сценарий)" measure="1" displayFolder="Логистические затраты" measureGroup="Fact Sale Plans" count="0"/>
    <cacheHierarchy uniqueName="[Measures].[SZ Costs RC Belgorod EUR Current - Fact Sale Plans]" caption="План расходы РЦ Белгород, EUR (тек.сценарий)" measure="1" displayFolder="Логистические затраты" measureGroup="Fact Sale Plans" count="0"/>
    <cacheHierarchy uniqueName="[Measures].[SZ Delivery To Customer In Region - Fact Sale Plans]" caption="План. доставка до клиента по региону вал." measure="1" displayFolder="Логистические затраты" measureGroup="Fact Sale Plans" count="0"/>
    <cacheHierarchy uniqueName="[Measures].[SZ Delivery To Customer In Region UAH Year - Fact Sale Plans]" caption="План. доставка до клиента UAH (год.сценарий)" measure="1" displayFolder="Логистические затраты" measureGroup="Fact Sale Plans" count="0"/>
    <cacheHierarchy uniqueName="[Measures].[SZ Delivery To Customer In Region UAH Current - Fact Sale Plans]" caption="План. доставка до клиента UAH (тек.сценарий)" measure="1" displayFolder="Логистические затраты" measureGroup="Fact Sale Plans" count="0"/>
    <cacheHierarchy uniqueName="[Measures].[SZ Delivery To Customer In Region RUB Year - Fact Sale Plans]" caption="План. доставка до клиента RUB (год.сценарий)" measure="1" displayFolder="Логистические затраты" measureGroup="Fact Sale Plans" count="0"/>
    <cacheHierarchy uniqueName="[Measures].[SZ Delivery To Customer In Region RUB Current - Fact Sale Plans]" caption="План. доставка до клиента RUB (тек.сценарий)" measure="1" displayFolder="Логистические затраты" measureGroup="Fact Sale Plans" count="0"/>
    <cacheHierarchy uniqueName="[Measures].[SZ Delivery To Customer In Region KZT Year - Fact Sale Plans]" caption="План. доставка до клиента KZT (год.сценарий)" measure="1" displayFolder="Логистические затраты" measureGroup="Fact Sale Plans" count="0"/>
    <cacheHierarchy uniqueName="[Measures].[SZ Delivery To Customer In Region KZT Current - Fact Sale Plans]" caption="План. доставка до клиента KZT (тек.сценарий)" measure="1" displayFolder="Логистические затраты" measureGroup="Fact Sale Plans" count="0"/>
    <cacheHierarchy uniqueName="[Measures].[SZ Delivery To Customer In Region EUR Year - Fact Sale Plans]" caption="План. доставка до клиента EUR (год.сценарий)" measure="1" displayFolder="Логистические затраты" measureGroup="Fact Sale Plans" count="0"/>
    <cacheHierarchy uniqueName="[Measures].[SZ Delivery To Customer In Region EUR Current - Fact Sale Plans]" caption="План. доставка до клиента EUR (тек.сценарий)" measure="1" displayFolder="Логистические затраты" measureGroup="Fact Sale Plans" count="0"/>
    <cacheHierarchy uniqueName="[Measures].[SZ Delivery To Regional Warehouse UAH Year - Fact Sale Plans]" caption="План. Доставка до регионального склада UAH (год.сценарий)" measure="1" displayFolder="Логистические затраты" measureGroup="Fact Sale Plans" count="0"/>
    <cacheHierarchy uniqueName="[Measures].[SZ Delivery To Regional Warehouse UAH Current - Fact Sale Plans]" caption="План. Доставка до регионального склада UAH (тек.сценарий)" measure="1" displayFolder="Логистические затраты" measureGroup="Fact Sale Plans" count="0"/>
    <cacheHierarchy uniqueName="[Measures].[SZ Delivery To Regional Warehouse RUB Year - Fact Sale Plans]" caption="План. Доставка до регионального склада RUB (год.сценарий)" measure="1" displayFolder="Логистические затраты" measureGroup="Fact Sale Plans" count="0"/>
    <cacheHierarchy uniqueName="[Measures].[SZ Delivery To Regional Warehouse RUB Current - Fact Sale Plans]" caption="План. Доставка до регионального склада RUB (тек.сценарий)" measure="1" displayFolder="Логистические затраты" measureGroup="Fact Sale Plans" count="0"/>
    <cacheHierarchy uniqueName="[Measures].[SZ Delivery To Regional Warehouse KZT Year - Fact Sale Plans]" caption="План. Доставка до регионального склада KZT (год.сценарий)" measure="1" displayFolder="Логистические затраты" measureGroup="Fact Sale Plans" count="0"/>
    <cacheHierarchy uniqueName="[Measures].[SZ Delivery To Regional Warehouse KZT Current - Fact Sale Plans]" caption="План. Доставка до регионального склада KZT (тек.сценарий)" measure="1" displayFolder="Логистические затраты" measureGroup="Fact Sale Plans" count="0"/>
    <cacheHierarchy uniqueName="[Measures].[SZ Delivery To Regional Warehouse EUR Year - Fact Sale Plans]" caption="План. Доставка до регионального склада EUR (год.сценарий)" measure="1" displayFolder="Логистические затраты" measureGroup="Fact Sale Plans" count="0"/>
    <cacheHierarchy uniqueName="[Measures].[SZ Delivery To Regional Warehouse EUR Current - Fact Sale Plans]" caption="План. Доставка до регионального склада EUR (тек.сценарий)" measure="1" displayFolder="Логистические затраты" measureGroup="Fact Sale Plans" count="0"/>
    <cacheHierarchy uniqueName="[Measures].[SZ Regional Warehouse Costs - Fact Sale Plans]" caption="План. содержание регионального склада, вал." measure="1" displayFolder="Логистические затраты" measureGroup="Fact Sale Plans" count="0"/>
    <cacheHierarchy uniqueName="[Measures].[SZ Regional Warehouse Costs UAH Year - Fact Sale Plans]" caption="План. содержание регионального склада UAH (год.сценарий)" measure="1" displayFolder="Логистические затраты" measureGroup="Fact Sale Plans" count="0"/>
    <cacheHierarchy uniqueName="[Measures].[SZ Regional Warehouse Costs UAH Current - Fact Sale Plans]" caption="План. содержание регионального склада UAH (тек.сценарий)" measure="1" displayFolder="Логистические затраты" measureGroup="Fact Sale Plans" count="0"/>
    <cacheHierarchy uniqueName="[Measures].[SZ Permanent Customs Costs Import - Fact Sale Plans]" caption="План. постоянные таможенные расходы (импорт) RUB" measure="1" displayFolder="Логистические затраты" measureGroup="Fact Sale Plans" count="0"/>
    <cacheHierarchy uniqueName="[Measures].[SZ Permanent Customs Costs Import UAH Year - Fact Sale Plans]" caption="План. постоянные таможенные расходы (импорт) UAH (год.сценарий)" measure="1" displayFolder="Логистические затраты" measureGroup="Fact Sale Plans" count="0"/>
    <cacheHierarchy uniqueName="[Measures].[SZ Permanent Customs Costs Import UAH Current - Fact Sale Plans]" caption="План. постоянные таможенные расходы (импорт) UAH (тек.сценарий)" measure="1" displayFolder="Логистические затраты" measureGroup="Fact Sale Plans" count="0"/>
    <cacheHierarchy uniqueName="[Measures].[SZ Permanent Customs Costs Import KZT Year - Fact Sale Plans]" caption="План. постоянные таможенные расходы (импорт) KZT (год.сценарий)" measure="1" displayFolder="Логистические затраты" measureGroup="Fact Sale Plans" count="0"/>
    <cacheHierarchy uniqueName="[Measures].[SZ Permanent Customs Costs Import KZT Current - Fact Sale Plans]" caption="План. постоянные таможенные расходы (импорт) KZT (тек.сценарий)" measure="1" displayFolder="Логистические затраты" measureGroup="Fact Sale Plans" count="0"/>
    <cacheHierarchy uniqueName="[Measures].[SZ Permanent Customs Costs Import EUR Year - Fact Sale Plans]" caption="План. постоянные таможенные расходы (импорт) EUR (год.сценарий)" measure="1" displayFolder="Логистические затраты" measureGroup="Fact Sale Plans" count="0"/>
    <cacheHierarchy uniqueName="[Measures].[SZ Permanent Customs Costs Import EUR Current - Fact Sale Plans]" caption="План. постоянные таможенные расходы (импорт) EUR (тек.сценарий)" measure="1" displayFolder="Логистические затраты" measureGroup="Fact Sale Plans" count="0"/>
    <cacheHierarchy uniqueName="[Measures].[SZ Permanent Customs Costs Export - Fact Sale Plans]" caption="План. постоянные таможенные расходы (экспорт) UAH" measure="1" displayFolder="Логистические затраты" measureGroup="Fact Sale Plans" count="0"/>
    <cacheHierarchy uniqueName="[Measures].[SZ Permanent Customs Costs Export RUB Year - Fact Sale Plans]" caption="План. постоянные таможенные расходы (экспорт) RUB (год.сценарий)" measure="1" displayFolder="Логистические затраты" measureGroup="Fact Sale Plans" count="0"/>
    <cacheHierarchy uniqueName="[Measures].[SZ Permanent Customs Costs Export RUB Current - Fact Sale Plans]" caption="План. постоянные таможенные расходы (экспорт) RUB (тек.сценарий)" measure="1" displayFolder="Логистические затраты" measureGroup="Fact Sale Plans" count="0"/>
    <cacheHierarchy uniqueName="[Measures].[SZ Permanent Customs Costs Export KZT Year - Fact Sale Plans]" caption="План. постоянные таможенные расходы (экспорт) KZT (год.сценарий)" measure="1" displayFolder="Логистические затраты" measureGroup="Fact Sale Plans" count="0"/>
    <cacheHierarchy uniqueName="[Measures].[SZ Permanent Customs Costs Export KZT Current - Fact Sale Plans]" caption="План. постоянные таможенные расходы (экспорт) KZT (тек.сценарий)" measure="1" displayFolder="Логистические затраты" measureGroup="Fact Sale Plans" count="0"/>
    <cacheHierarchy uniqueName="[Measures].[SZ Permanent Customs Costs Export EUR Year - Fact Sale Plans]" caption="План. постоянные таможенные расходы (экспорт) EUR (год.сценарий)" measure="1" displayFolder="Логистические затраты" measureGroup="Fact Sale Plans" count="0"/>
    <cacheHierarchy uniqueName="[Measures].[SZ Permanent Customs Costs Export EUR Current - Fact Sale Plans]" caption="План. постоянные таможенные расходы (экспорт) EUR (тек.сценарий)" measure="1" displayFolder="Логистические затраты" measureGroup="Fact Sale Plans" count="0"/>
    <cacheHierarchy uniqueName="[Measures].[SZ Permanent Logistics Costs - Fact Sale Plans]" caption="План. постоянные логистические расходы Украина UAH" measure="1" displayFolder="Логистические затраты" measureGroup="Fact Sale Plans" count="0"/>
    <cacheHierarchy uniqueName="[Measures].[SZ Permanent Logistics Costs RUB Year - Fact Sale Plans]" caption="План. постоянные логистические расходы Украина RUB (год.сценарий)" measure="1" displayFolder="Логистические затраты" measureGroup="Fact Sale Plans" count="0"/>
    <cacheHierarchy uniqueName="[Measures].[SZ Permanent Logistics Costs RUB Current - Fact Sale Plans]" caption="План. постоянные логистические расходы Украина RUB (тек.сценарий)" measure="1" displayFolder="Логистические затраты" measureGroup="Fact Sale Plans" count="0"/>
    <cacheHierarchy uniqueName="[Measures].[SZ Permanent Logistics Costs KZT Year - Fact Sale Plans]" caption="План. постоянные логистические расходы Украина KZT (год.сценарий)" measure="1" displayFolder="Логистические затраты" measureGroup="Fact Sale Plans" count="0"/>
    <cacheHierarchy uniqueName="[Measures].[SZ Permanent Logistics Costs KZT Current - Fact Sale Plans]" caption="План. постоянные логистические расходы Украина KZT (тек.сценарий)" measure="1" displayFolder="Логистические затраты" measureGroup="Fact Sale Plans" count="0"/>
    <cacheHierarchy uniqueName="[Measures].[SZ Permanent Logistics Costs EUR Year - Fact Sale Plans]" caption="План. постоянные логистические расходы Украина EUR (год.сценарий)" measure="1" displayFolder="Логистические затраты" measureGroup="Fact Sale Plans" count="0"/>
    <cacheHierarchy uniqueName="[Measures].[SZ Permanent Logistics Costs EUR Current - Fact Sale Plans]" caption="План. постоянные логистические расходы Украина EUR (тек.сценарий)" measure="1" displayFolder="Логистические затраты" measureGroup="Fact Sale Plans" count="0"/>
    <cacheHierarchy uniqueName="[Measures].[SZ Permanent Logistics Costs RU - Fact Sale Plans]" caption="План. постоянные логистические расходы Россия, RUB" measure="1" displayFolder="Логистические затраты" measureGroup="Fact Sale Plans" count="0"/>
    <cacheHierarchy uniqueName="[Measures].[SZ Permanent Logistics Costs RUUAH Year - Fact Sale Plans]" caption="План. постоянные логистические расходы Россия, UAH (год.сценарий)" measure="1" displayFolder="Логистические затраты" measureGroup="Fact Sale Plans" count="0"/>
    <cacheHierarchy uniqueName="[Measures].[SZ Permanent Logistics Costs RUUAH Current - Fact Sale Plans]" caption="План. постоянные логистические расходы Россия, UAH (тек.сценарий)" measure="1" displayFolder="Логистические затраты" measureGroup="Fact Sale Plans" count="0"/>
    <cacheHierarchy uniqueName="[Measures].[SZ Permanent Logistics Costs RUKZT Year - Fact Sale Plans]" caption="План. постоянные логистические расходы Россия, KZT (год.сценарий)" measure="1" displayFolder="Логистические затраты" measureGroup="Fact Sale Plans" count="0"/>
    <cacheHierarchy uniqueName="[Measures].[SZ Permanent Logistics Costs RUKZT Current - Fact Sale Plans]" caption="План. постоянные логистические расходы Россия, KZT (тек.сценарий)" measure="1" displayFolder="Логистические затраты" measureGroup="Fact Sale Plans" count="0"/>
    <cacheHierarchy uniqueName="[Measures].[SZ Permanent Logistics Costs RUEUR Year - Fact Sale Plans]" caption="План. постоянные логистические расходы Россия, EUR (год.сценарий)" measure="1" displayFolder="Логистические затраты" measureGroup="Fact Sale Plans" count="0"/>
    <cacheHierarchy uniqueName="[Measures].[SZ Permanent Logistics Costs RUEUR Current - Fact Sale Plans]" caption="План. постоянные логистические расходы Россия, EUR (тек.сценарий)" measure="1" displayFolder="Логистические затраты" measureGroup="Fact Sale Plans" count="0"/>
    <cacheHierarchy uniqueName="[Measures].[SZ Variable Export Costs - Fact Sale Plans]" caption="План. переменные таможенные расходы экспорт UAH" measure="1" displayFolder="Логистические затраты" measureGroup="Fact Sale Plans" count="0"/>
    <cacheHierarchy uniqueName="[Measures].[SZ Variable Export Costs RUB Year - Fact Sale Plans]" caption="План. переменные таможенные расходы экспорт RUB (год.сценарий)" measure="1" displayFolder="Логистические затраты" measureGroup="Fact Sale Plans" count="0"/>
    <cacheHierarchy uniqueName="[Measures].[SZ Variable Export Costs RUB Current - Fact Sale Plans]" caption="План. переменные таможенные расходы экспорт RUB (тек.сценарий)" measure="1" displayFolder="Логистические затраты" measureGroup="Fact Sale Plans" count="0"/>
    <cacheHierarchy uniqueName="[Measures].[SZ Variable Export Costs KZT Year - Fact Sale Plans]" caption="План. переменные таможенные расходы экспорт KZT (год.сценарий)" measure="1" displayFolder="Логистические затраты" measureGroup="Fact Sale Plans" count="0"/>
    <cacheHierarchy uniqueName="[Measures].[SZ Variable Export Costs KZT Current - Fact Sale Plans]" caption="План. переменные таможенные расходы экспорт KZT (тек.сценарий)" measure="1" displayFolder="Логистические затраты" measureGroup="Fact Sale Plans" count="0"/>
    <cacheHierarchy uniqueName="[Measures].[SZ Variable Export Costs EUR Year - Fact Sale Plans]" caption="План. переменные таможенные расходы экспорт EUR (год.сценарий)" measure="1" displayFolder="Логистические затраты" measureGroup="Fact Sale Plans" count="0"/>
    <cacheHierarchy uniqueName="[Measures].[SZ Variable Export Costs EUR Current - Fact Sale Plans]" caption="План. переменные таможенные расходы экспорт EUR (тек.сценарий)" measure="1" displayFolder="Логистические затраты" measureGroup="Fact Sale Plans" count="0"/>
    <cacheHierarchy uniqueName="[Measures].[SZ Variable Import Costs - Fact Sale Plans]" caption="План. переменные таможенные расходы импорт вал." measure="1" displayFolder="Логистические затраты" measureGroup="Fact Sale Plans" count="0"/>
    <cacheHierarchy uniqueName="[Measures].[SZ Variable Import Costs UAH Year - Fact Sale Plans]" caption="План. переменные таможенные расходы импорт UAH (год.сценарий)" measure="1" displayFolder="Логистические затраты" measureGroup="Fact Sale Plans" count="0"/>
    <cacheHierarchy uniqueName="[Measures].[SZ Variable Import Costs UAH Current - Fact Sale Plans]" caption="План. переменные таможенные расходы импорт UAH (тек.сценарий)" measure="1" displayFolder="Логистические затраты" measureGroup="Fact Sale Plans" count="0"/>
    <cacheHierarchy uniqueName="[Measures].[SZ Variable Import Costs KZT Year - Fact Sale Plans]" caption="План. переменные таможенные расходы импорт KZT (год.сценарий)" measure="1" displayFolder="Логистические затраты" measureGroup="Fact Sale Plans" count="0"/>
    <cacheHierarchy uniqueName="[Measures].[SZ Variable Import Costs KZT Current - Fact Sale Plans]" caption="План. переменные таможенные расходы импорт KZT (тек.сценарий)" measure="1" displayFolder="Логистические затраты" measureGroup="Fact Sale Plans" count="0"/>
    <cacheHierarchy uniqueName="[Measures].[SZ Variable Import Costs EUR Year - Fact Sale Plans]" caption="План. переменные таможенные расходы импорт EUR (год.сценарий)" measure="1" displayFolder="Логистические затраты" measureGroup="Fact Sale Plans" count="0"/>
    <cacheHierarchy uniqueName="[Measures].[SZ Variable Import Costs EUR Current - Fact Sale Plans]" caption="План. переменные таможенные расходы импорт EUR (тек.сценарий)" measure="1" displayFolder="Логистические затраты" measureGroup="Fact Sale Plans" count="0"/>
    <cacheHierarchy uniqueName="[Measures].[SZ Delivery To RC Belgorod - Fact Sale Plans]" caption="План. доставка до РЦ Белгород вал." measure="1" displayFolder="Логистические затраты" measureGroup="Fact Sale Plans" count="0"/>
    <cacheHierarchy uniqueName="[Measures].[SZ Delivery To RC Belgorod UAH Year - Fact Sale Plans]" caption="План. доставка до РЦ Белгород UAH (год.сценарий)" measure="1" displayFolder="Логистические затраты" measureGroup="Fact Sale Plans" count="0"/>
    <cacheHierarchy uniqueName="[Measures].[SZ Delivery To RC Belgorod UAH Current - Fact Sale Plans]" caption="План. доставка до РЦ Белгород UAH (тек.сценарий)" measure="1" displayFolder="Логистические затраты" measureGroup="Fact Sale Plans" count="0"/>
    <cacheHierarchy uniqueName="[Measures].[SZ Delivery To RC Belgorod KZT Year - Fact Sale Plans]" caption="План. доставка до РЦ Белгород KZT (год.сценарий)" measure="1" displayFolder="Логистические затраты" measureGroup="Fact Sale Plans" count="0"/>
    <cacheHierarchy uniqueName="[Measures].[SZ Delivery To RC Belgorod KZT Current - Fact Sale Plans]" caption="План. доставка до РЦ Белгород KZT (тек.сценарий)" measure="1" displayFolder="Логистические затраты" measureGroup="Fact Sale Plans" count="0"/>
    <cacheHierarchy uniqueName="[Measures].[SZ Delivery To RC Belgorod RUB Year - Fact Sale Plans]" caption="План. доставка до РЦ Белгород RUB (год.сценарий)" measure="1" displayFolder="Логистические затраты" measureGroup="Fact Sale Plans" count="0"/>
    <cacheHierarchy uniqueName="[Measures].[SZ Delivery To RC Belgorod RUB Current - Fact Sale Plans]" caption="План. доставка до РЦ Белгород RUB (тек.сценарий)" measure="1" displayFolder="Логистические затраты" measureGroup="Fact Sale Plans" count="0"/>
    <cacheHierarchy uniqueName="[Measures].[SZ Delivery To RC Belgorod EUR Year - Fact Sale Plans]" caption="План. доставка до РЦ Белгород EUR (год.сценарий)" measure="1" displayFolder="Логистические затраты" measureGroup="Fact Sale Plans" count="0"/>
    <cacheHierarchy uniqueName="[Measures].[SZ Delivery To RC Belgorod EUR Current - Fact Sale Plans]" caption="План. доставка до РЦ Белгород EUR (тек.сценарий)" measure="1" displayFolder="Логистические затраты" measureGroup="Fact Sale Plans" count="0"/>
    <cacheHierarchy uniqueName="[Measures].[SZ Delivery To Client Export Currency - Fact Sale Plans]" caption="План доставка до клиента экспорт вал" measure="1" displayFolder="Логистические затраты" measureGroup="Fact Sale Plans" count="0"/>
    <cacheHierarchy uniqueName="[Measures].[SZ Delivery To Client Export UAH Year - Fact Sale Plans]" caption="План доставка до клиента экспорт UAH (год.сценарий)" measure="1" displayFolder="Логистические затраты" measureGroup="Fact Sale Plans" count="0"/>
    <cacheHierarchy uniqueName="[Measures].[SZ Delivery To Client Export UAH Current - Fact Sale Plans]" caption="План доставка до клиента экспорт UAH (тек.сценарий)" measure="1" displayFolder="Логистические затраты" measureGroup="Fact Sale Plans" count="0"/>
    <cacheHierarchy uniqueName="[Measures].[SZ Delivery To Client Export RUB Year - Fact Sale Plans]" caption="План доставка до клиента экспорт RUB (год.сценарий)" measure="1" displayFolder="Логистические затраты" measureGroup="Fact Sale Plans" count="0"/>
    <cacheHierarchy uniqueName="[Measures].[SZ Delivery To Client Export RUB Current - Fact Sale Plans]" caption="План доставка до клиента экспорт RUB (тек.сценарий)" measure="1" displayFolder="Логистические затраты" measureGroup="Fact Sale Plans" count="0"/>
    <cacheHierarchy uniqueName="[Measures].[SZ Delivery To Client Export EUR Year - Fact Sale Plans]" caption="План доставка до клиента экспорт EUR (год.сценарий)" measure="1" displayFolder="Логистические затраты" measureGroup="Fact Sale Plans" count="0"/>
    <cacheHierarchy uniqueName="[Measures].[SZ Delivery To Client Export EUR Current - Fact Sale Plans]" caption="План доставка до клиента экспорт EUR (тек.сценарий)" measure="1" displayFolder="Логистические затраты" measureGroup="Fact Sale Plans" count="0"/>
    <cacheHierarchy uniqueName="[Measures].[SZ Delivery To Client Export KZT Year - Fact Sale Plans]" caption="План доставка до клиента экспорт KZT (год.сценарий)" measure="1" displayFolder="Логистические затраты" measureGroup="Fact Sale Plans" count="0"/>
    <cacheHierarchy uniqueName="[Measures].[SZ Delivery To Client Export KZT Current - Fact Sale Plans]" caption="План доставка до клиента экспорт KZT (тек.сценарий)" measure="1" displayFolder="Логистические затраты" measureGroup="Fact Sale Plans" count="0"/>
    <cacheHierarchy uniqueName="[Measures].[SZ Delivery To Custom_UA_RU - Fact Sale Plans]" caption="План Транспорт до таможни Украина-Россия вал." measure="1" displayFolder="Логистические затраты" measureGroup="Fact Sale Plans" count="0"/>
    <cacheHierarchy uniqueName="[Measures].[SZ Delivery To Custom_UA_RU_RUB Year - Fact Sale Plans]" caption="План Транспорт до таможни Украина-Россия RUB (год.сценарий)" measure="1" displayFolder="Логистические затраты" measureGroup="Fact Sale Plans" count="0"/>
    <cacheHierarchy uniqueName="[Measures].[SZ Delivery To Custom_UA_RU_RUB Current - Fact Sale Plans]" caption="План Транспорт до таможни Украина-Россия RUB (тек.сценарий)" measure="1" displayFolder="Логистические затраты" measureGroup="Fact Sale Plans" count="0"/>
    <cacheHierarchy uniqueName="[Measures].[Plan SUM Transfert]" caption="Сумма план трансфертные цены (вал)" measure="1" displayFolder="Трансфертные цены" measureGroup="Fact Sale Plans" count="0"/>
    <cacheHierarchy uniqueName="[Measures].[Plan SUM Transfert UAH Current Plan]" caption="Сумма план трансфертные цены UAH (тек.сценарий)" measure="1" displayFolder="Трансфертные цены" measureGroup="Fact Sale Plans" count="0"/>
    <cacheHierarchy uniqueName="[Measures].[Plan SUM Transfert UAH Year Plan]" caption="Сумма план трансфертные цены UAH (год.сценарий)" measure="1" displayFolder="Трансфертные цены" measureGroup="Fact Sale Plans" count="0"/>
    <cacheHierarchy uniqueName="[Measures].[Plan SUM Transfert RUB Current Plan]" caption="Сумма план трансфертные цены RUB (тек.сценарий)" measure="1" displayFolder="Трансфертные цены" measureGroup="Fact Sale Plans" count="0"/>
    <cacheHierarchy uniqueName="[Measures].[Plan SUM Transfert RUB Year Plan]" caption="Сумма план трансфертные цены RUB (год.сценарий)" measure="1" displayFolder="Трансфертные цены" measureGroup="Fact Sale Plans" count="0"/>
    <cacheHierarchy uniqueName="[Measures].[Plan SUM Transfert KZT Current Plan]" caption="Сумма план трансфертные цены KZT (тек.сценарий)" measure="1" displayFolder="Трансфертные цены" measureGroup="Fact Sale Plans" count="0"/>
    <cacheHierarchy uniqueName="[Measures].[Plan SUM Transfert KZT Year Plan]" caption="Сумма план трансфертные цены KZT (год.сценарий)" measure="1" displayFolder="Трансфертные цены" measureGroup="Fact Sale Plans" count="0"/>
    <cacheHierarchy uniqueName="[Measures].[Customs Duty UAH]" caption="Таможенные пошлины план UAH" measure="1" displayFolder="Таможенные пошлины" measureGroup="Fact Sale Plans" count="0"/>
    <cacheHierarchy uniqueName="[Measures].[Customs Duty For Customer UAH]" caption="Таможенные пошлины план для клиента UAH" measure="1" displayFolder="Таможенные пошлины" measureGroup="Fact Sale Plans" count="0"/>
    <cacheHierarchy uniqueName="[Measures].[Customs Duty Russia UAH Current - Fact Sale Plans]" caption="Таможенные пошлины Россия план UAH (тек.сценарий)" measure="1" displayFolder="Таможенные пошлины" measureGroup="Fact Sale Plans" count="0"/>
    <cacheHierarchy uniqueName="[Measures].[Customs Duty Russia UAH Year - Fact Sale Plans]" caption="Таможенные пошлины Россия план UAH (год.сценарий)" measure="1" displayFolder="Таможенные пошлины" measureGroup="Fact Sale Plans" count="0"/>
    <cacheHierarchy uniqueName="[Measures].[Customs Duty Russia RUB Current - Fact Sale Plans]" caption="Таможенные пошлины Россия план RUB (тек.сценарий)" measure="1" displayFolder="Таможенные пошлины" measureGroup="Fact Sale Plans" count="0"/>
    <cacheHierarchy uniqueName="[Measures].[Customs Duty Russia RUB Year - Fact Sale Plans]" caption="Таможенные пошлины Россия план RUB (год.сценарий)" measure="1" displayFolder="Таможенные пошлины" measureGroup="Fact Sale Plans" count="0"/>
    <cacheHierarchy uniqueName="[Measures].[Customs Duty Russia EUR Current - Fact Sale Plans]" caption="Таможенные пошлины Россия план EUR (тек.сценарий)" measure="1" displayFolder="Таможенные пошлины" measureGroup="Fact Sale Plans" count="0"/>
    <cacheHierarchy uniqueName="[Measures].[Customs Duty Russia EUR Year - Fact Sale Plans]" caption="Таможенные пошлины Россия план EUR (год.сценарий)" measure="1" displayFolder="Таможенные пошлины" measureGroup="Fact Sale Plans" count="0"/>
    <cacheHierarchy uniqueName="[Measures].[Customs Duty Russia KZT Current - Fact Sale Plans]" caption="Таможенные пошлины Россия план KZT (тек.сценарий)" measure="1" displayFolder="Таможенные пошлины" measureGroup="Fact Sale Plans" count="0"/>
    <cacheHierarchy uniqueName="[Measures].[Customs Duty Russia KZT Year - Fact Sale Plans]" caption="Таможенные пошлины Россия план KZT (год.сценарий)" measure="1" displayFolder="Таможенные пошлины" measureGroup="Fact Sale Plans" count="0"/>
    <cacheHierarchy uniqueName="[Measures].[SZ Private Transport Cost]" caption="План. Расходы на собственный транспорт, вал." measure="1" displayFolder="Логистические затраты" measureGroup="Fact Sale Plans" count="0"/>
    <cacheHierarchy uniqueName="[Measures].[SZ Private Transport Cost UAH Year]" caption="План Расходы на собственный транспорт UAH (год.сценарий)" measure="1" displayFolder="Логистические затраты" measureGroup="Fact Sale Plans" count="0"/>
    <cacheHierarchy uniqueName="[Measures].[SZ Private Transport Cost UAH Current]" caption="План Расходы на собственный транспорт UAH (тек.сценарий)" measure="1" displayFolder="Логистические затраты" measureGroup="Fact Sale Plans" count="0"/>
    <cacheHierarchy uniqueName="[Measures].[SZ Private Transport Cost RUB Current]" caption="План Расходы на собственный транспорт RUB (тек.сценарий)" measure="1" displayFolder="Логистические затраты" measureGroup="Fact Sale Plans" count="0"/>
    <cacheHierarchy uniqueName="[Measures].[SZ Private Transport Cost RUB Year]" caption="План Расходы на собственный транспорт RUB (год.сценарий)" measure="1" displayFolder="Логистические затраты" measureGroup="Fact Sale Plans" count="0"/>
    <cacheHierarchy uniqueName="[Measures].[SZ Private Transport Cost KZT Current]" caption="План Расходы на собственный транспорт KZT (тек.сценарий)" measure="1" displayFolder="Логистические затраты" measureGroup="Fact Sale Plans" count="0"/>
    <cacheHierarchy uniqueName="[Measures].[SZ Private Transport Cost KZT Year]" caption="План Расходы на собственный транспорт KZT (год.сценарий)" measure="1" displayFolder="Логистические затраты" measureGroup="Fact Sale Plans" count="0"/>
    <cacheHierarchy uniqueName="[Measures].[SZ Private Transport Cost EUR Current]" caption="План Расходы на собственный транспорт EUR (тек.сценарий)" measure="1" displayFolder="Логистические затраты" measureGroup="Fact Sale Plans" count="0"/>
    <cacheHierarchy uniqueName="[Measures].[SZ Private Transport Cost EUR Year]" caption="План Расходы на собственный транспорт EUR (год.сценарий)" measure="1" displayFolder="Логистические затраты" measureGroup="Fact Sale Plans" count="0"/>
    <cacheHierarchy uniqueName="[Measures].[SZ B2C Cost - Fact Sale Plans]" caption="План Постоянные логистические расходы B2C вал." measure="1" displayFolder="Логистические затраты" measureGroup="Fact Sale Plans" count="0"/>
    <cacheHierarchy uniqueName="[Measures].[SZ B2C Cost UAH Current - Fact Sale Plans]" caption="План Постоянные логистические расходы B2C UAH (тек.сценарий)" measure="1" displayFolder="Логистические затраты" measureGroup="Fact Sale Plans" count="0"/>
    <cacheHierarchy uniqueName="[Measures].[SZ B2C Cost UAH Year - Fact Sale Plans]" caption="План Постоянные логистические расходы B2C UAH (год.сценарий)" measure="1" displayFolder="Логистические затраты" measureGroup="Fact Sale Plans" count="0"/>
    <cacheHierarchy uniqueName="[Measures].[SZ B2C Cost RUB Current - Fact Sale Plans]" caption="План Постоянные логистические расходы B2C RUB (тек.сценарий)" measure="1" displayFolder="Логистические затраты" measureGroup="Fact Sale Plans" count="0"/>
    <cacheHierarchy uniqueName="[Measures].[SZ B2C Cost RUB Year - Fact Sale Plans]" caption="План Постоянные логистические расходы B2C RUB (год.сценарий)" measure="1" displayFolder="Логистические затраты" measureGroup="Fact Sale Plans" count="0"/>
    <cacheHierarchy uniqueName="[Measures].[SZ B2C Cost EUR Current - Fact Sale Plans]" caption="План Постоянные логистические расходы B2C EUR (тек.сценарий)" measure="1" displayFolder="Логистические затраты" measureGroup="Fact Sale Plans" count="0"/>
    <cacheHierarchy uniqueName="[Measures].[SZ B2C Cost EUR Year - Fact Sale Plans]" caption="План Постоянные логистические расходы B2C EUR (год.сценарий)" measure="1" displayFolder="Логистические затраты" measureGroup="Fact Sale Plans" count="0"/>
    <cacheHierarchy uniqueName="[Measures].[SZ B2C Cost KZT Current - Fact Sale Plans]" caption="План Постоянные логистические расходы B2C KZT (тек.сценарий)" measure="1" displayFolder="Логистические затраты" measureGroup="Fact Sale Plans" count="0"/>
    <cacheHierarchy uniqueName="[Measures].[SZ B2C Cost KZT Year - Fact Sale Plans]" caption="План Постоянные логистические расходы B2C KZT (год.сценарий)" measure="1" displayFolder="Логистические затраты" measureGroup="Fact Sale Plans" count="0"/>
    <cacheHierarchy uniqueName="[Measures].[Plan DC17 Customs]" caption="С/с Таможенное оформление импорта план" measure="1" displayFolder="Себестоимость" measureGroup="Fact Sale Plans" count="0"/>
    <cacheHierarchy uniqueName="[Measures].[Plan SS Full Total]" caption="Полная производственная себестоимость план, UAH" measure="1" displayFolder="Себестоимость" measureGroup="Fact Sale Plans" count="0"/>
    <cacheHierarchy uniqueName="[Measures].[Plan Profit Full UAH Curr Plan]" caption="Маржинальный доход 1 (по полной производственной себестоимости) план, UAH" measure="1" displayFolder="Маржинальный доход план" measureGroup="Fact Sale Plans" count="0"/>
    <cacheHierarchy uniqueName="[Measures].[Plan Profit Pers 1 Full Plan]" caption="Рентабельность продаж 1 (по полной производственной себестоимости) план, %" measure="1" displayFolder="Рентабельность продаж  план" measureGroup="Fact Sale Plans" count="0"/>
    <cacheHierarchy uniqueName="[Measures].[Sum Assembly Currency - Fact Sale Plans]" caption="ПЛАН Сборка и погрузочно-разгрузочные работы вал." measure="1" displayFolder="Услуги сборки и комиссионные" measureGroup="Fact Sale Plans" count="0"/>
    <cacheHierarchy uniqueName="[Measures].[Sum Comission Currency - Fact Sale Plans]" caption="ПЛАН Комиссионное вознаграждение и посреднические услуги вал." measure="1" displayFolder="Услуги сборки и комиссионные" measureGroup="Fact Sale Plans" count="0"/>
    <cacheHierarchy uniqueName="[Measures].[Plan SUM Base Currency Current]" caption="П_UCH_Доход" measure="1" displayFolder="" measureGroup="Fact Sale Plans" count="0"/>
    <cacheHierarchy uniqueName="[Measures].[Plan SUM EUR Current]" caption="П_EUR_Доход" measure="1" displayFolder="" measureGroup="Fact Sale Plans" count="0"/>
    <cacheHierarchy uniqueName="[Measures].[Re Transport SUM Base Currency Current]" caption="П_UCH_Доход трансп" measure="1" displayFolder="" measureGroup="Fact Sale Plans" count="0"/>
    <cacheHierarchy uniqueName="[Measures].[Re Transport SUM EUR Current]" caption="П_EUR_Доход трансп" measure="1" displayFolder="" measureGroup="Fact Sale Plans" count="0"/>
    <cacheHierarchy uniqueName="[Measures].[Plan SUM EXW Base Currency Current]" caption="П_UCH_Доход EXW" measure="1" displayFolder="" measureGroup="Fact Sale Plans" count="0"/>
    <cacheHierarchy uniqueName="[Measures].[Plan SUM EXW EUR Current]" caption="П_EUR_Доход EXW" measure="1" displayFolder="" measureGroup="Fact Sale Plans" count="0"/>
    <cacheHierarchy uniqueName="[Measures].[SS Base Currency Current]" caption="П_UCH_DC" measure="1" displayFolder="" measureGroup="Fact Sale Plans" count="0"/>
    <cacheHierarchy uniqueName="[Measures].[SSEUR Current]" caption="П_EUR_DC" measure="1" displayFolder="" measureGroup="Fact Sale Plans" count="0"/>
    <cacheHierarchy uniqueName="[Measures].[SS1 Base Currency Current]" caption="П_UCH_DC Вода" measure="1" displayFolder="" measureGroup="Fact Sale Plans" count="0"/>
    <cacheHierarchy uniqueName="[Measures].[SS2 Base Currency Current]" caption="П_UCH_DC Газ" measure="1" displayFolder="" measureGroup="Fact Sale Plans" count="0"/>
    <cacheHierarchy uniqueName="[Measures].[SS3 Base Currency Current]" caption="П_UCH_DC МЗ" measure="1" displayFolder="" measureGroup="Fact Sale Plans" count="0"/>
    <cacheHierarchy uniqueName="[Measures].[SS6 Base Currency Current]" caption="П_UCH_DC Больничные" measure="1" displayFolder="" measureGroup="Fact Sale Plans" count="0"/>
    <cacheHierarchy uniqueName="[Measures].[SS7 Base Currency Current]" caption="П_UCH_DC Сверхвыплаты" measure="1" displayFolder="" measureGroup="Fact Sale Plans" count="0"/>
    <cacheHierarchy uniqueName="[Measures].[SS8 Base Currency Current]" caption="П_UCH_DC Транспорт" measure="1" displayFolder="" measureGroup="Fact Sale Plans" count="0"/>
    <cacheHierarchy uniqueName="[Measures].[SS9 Base Currency Current]" caption="П_UCH_DC ФОТ" measure="1" displayFolder="" measureGroup="Fact Sale Plans" count="0"/>
    <cacheHierarchy uniqueName="[Measures].[SS10 Base Currency Current]" caption="П_UCH_DC ЭЭ" measure="1" displayFolder="" measureGroup="Fact Sale Plans" count="0"/>
    <cacheHierarchy uniqueName="[Measures].[SS13 Base Currency Current]" caption="П_UCH_DC Субподряд" measure="1" displayFolder="" measureGroup="Fact Sale Plans" count="0"/>
    <cacheHierarchy uniqueName="[Measures].[SS16 Base Currency Current]" caption="П_UCH_DC Отпускные" measure="1" displayFolder="" measureGroup="Fact Sale Plans" count="0"/>
    <cacheHierarchy uniqueName="[Measures].[Sum Distribution Costs Base Currency Current]" caption="П_UCH_Затр сбыт" measure="1" displayFolder="" measureGroup="Fact Sale Plans" count="0"/>
    <cacheHierarchy uniqueName="[Measures].[Sum Distribution Costs EUR Current]" caption="П_EUR_Затр сбыт" measure="1" displayFolder="" measureGroup="Fact Sale Plans" count="0"/>
    <cacheHierarchy uniqueName="[Measures].[Pl Com Bonuses Base Currency Current]" caption="П_UCH_ЗС Ком бонус" measure="1" displayFolder="" measureGroup="Fact Sale Plans" count="0"/>
    <cacheHierarchy uniqueName="[Measures].[Sum Assembly Base Currency Current]" caption="П_UCH_ЗС Сбор-погрузка" measure="1" displayFolder="" measureGroup="Fact Sale Plans" count="0"/>
    <cacheHierarchy uniqueName="[Measures].[Sum Comission Base Currency Current]" caption="П_UCH_ЗС Комиссионные" measure="1" displayFolder="" measureGroup="Fact Sale Plans" count="0"/>
    <cacheHierarchy uniqueName="[Measures].[SZ FULL Variable Logistic Cost Base Currency Current]" caption="П_UCH_Перем логист" measure="1" displayFolder="" measureGroup="Fact Sale Plans" count="0"/>
    <cacheHierarchy uniqueName="[Measures].[SZ FULL Variable Logistic Cost EUR Current]" caption="П_EUR_Перем логист" measure="1" displayFolder="" measureGroup="Fact Sale Plans" count="0"/>
    <cacheHierarchy uniqueName="[Measures].[SZ Delivery To Customer In Region Base Currency Current]" caption="П_UCH_ПЕ Доставка клиент" measure="1" displayFolder="" measureGroup="Fact Sale Plans" count="0"/>
    <cacheHierarchy uniqueName="[Measures].[SZ Logistics Bonuses Base Currency Current]" caption="П_UCH_ПЕ Лог бонус" measure="1" displayFolder="" measureGroup="Fact Sale Plans" count="0"/>
    <cacheHierarchy uniqueName="[Measures].[SZ Delivery To Regional Warehouse Base Currency Current]" caption="П_UCH_ПЕ Доставка склад" measure="1" displayFolder="" measureGroup="Fact Sale Plans" count="0"/>
    <cacheHierarchy uniqueName="[Measures].[SZ Variable Export Costs Base Currency Current]" caption="П_UCH_ПЕ Тамож экспорт" measure="1" displayFolder="" measureGroup="Fact Sale Plans" count="0"/>
    <cacheHierarchy uniqueName="[Measures].[SZ FULL Permanent Logistic Cost Base Currency Current]" caption="П_UCH_Пост логист" measure="1" displayFolder="" measureGroup="Fact Sale Plans" count="0"/>
    <cacheHierarchy uniqueName="[Measures].[SZ FULL Permanent Logistic Cost EUR Current]" caption="П_EUR_Пост логист" measure="1" displayFolder="" measureGroup="Fact Sale Plans" count="0"/>
    <cacheHierarchy uniqueName="[Measures].[SZ Costs SGP Base Currency Current]" caption="П_UCH_ПС СГП" measure="1" displayFolder="" measureGroup="Fact Sale Plans" count="0"/>
    <cacheHierarchy uniqueName="[Measures].[SZ Regional Warehouse Costs Base Currency Current]" caption="П_UCH_ПС Удал склад" measure="1" displayFolder="" measureGroup="Fact Sale Plans" count="0"/>
    <cacheHierarchy uniqueName="[Measures].[SZ Permanent Logistics Costs Base Currency Current]" caption="П_UCH_ПС Отдел логистика" measure="1" displayFolder="" measureGroup="Fact Sale Plans" count="0"/>
    <cacheHierarchy uniqueName="[Measures].[SZ Permanent Customs Costs Export Base Currency Current]" caption="П_UCH_ПС Отдел ВЭД" measure="1" displayFolder="" measureGroup="Fact Sale Plans" count="0"/>
    <cacheHierarchy uniqueName="[Measures].[SZ B2C Cost Base Currency Current]" caption="П_UCH_ПС B2C" measure="1" displayFolder="" measureGroup="Fact Sale Plans" count="0"/>
    <cacheHierarchy uniqueName="[Measures].[Plan Margine2022 1 Base Currency Current]" caption="П_UCH_М1" measure="1" displayFolder="" measureGroup="Fact Sale Plans" count="0"/>
    <cacheHierarchy uniqueName="[Measures].[Plan Margine2022 1 EUR Current]" caption="П_EUR_М1" measure="1" displayFolder="" measureGroup="Fact Sale Plans" count="0"/>
    <cacheHierarchy uniqueName="[Measures].[Plan Margine2022 2 Base Currency Current]" caption="П_UCH_М2" measure="1" displayFolder="" measureGroup="Fact Sale Plans" count="0"/>
    <cacheHierarchy uniqueName="[Measures].[Plan Margine2022 2 EUR Current]" caption="П_EUR_М2" measure="1" displayFolder="" measureGroup="Fact Sale Plans" count="0"/>
    <cacheHierarchy uniqueName="[Measures].[Plan Profitability2022 M1]" caption="П_Р% М1" measure="1" displayFolder="" measureGroup="Fact Sale Plans" count="0"/>
    <cacheHierarchy uniqueName="[Measures].[Plan Profitability2022 M2]" caption="П_Р% М2" measure="1" displayFolder="" measureGroup="Fact Sale Plans" count="0"/>
    <cacheHierarchy uniqueName="[Measures].[Plan Profitability2022 M1 EXW]" caption="П_Р% М1 EXW" measure="1" displayFolder="" measureGroup="Fact Sale Plans" count="0"/>
    <cacheHierarchy uniqueName="[Measures].[Plan Profitability2022 M2 EXW]" caption="П_Р% М2 EXW" measure="1" displayFolder="" measureGroup="Fact Sale Plans" count="0"/>
    <cacheHierarchy uniqueName="[Measures].[TMC Volume - Fact Pseudo Sales]" caption="О_Объём" measure="1" displayFolder="" measureGroup="Fact Pseudo Sales" count="0"/>
    <cacheHierarchy uniqueName="[Measures].[TMC Weight - Fact Pseudo Sales]" caption="О_Вес" measure="1" displayFolder="" measureGroup="Fact Pseudo Sales" count="0"/>
    <cacheHierarchy uniqueName="[Measures].[Pseudo Sales QTY]" caption="О_Кол-во" measure="1" displayFolder="" measureGroup="Fact Pseudo Sales" count="0"/>
    <cacheHierarchy uniqueName="[Measures].[Pseudo Sales Sum Currency]" caption="О_OPR_Доход" measure="1" displayFolder="" measureGroup="Fact Pseudo Sales" count="0"/>
    <cacheHierarchy uniqueName="[Measures].[Pseudo Sales SUM UAH Current Plan]" caption="Сумма псевдофакт, UAH (тек.сценарий)" measure="1" displayFolder="" measureGroup="Fact Pseudo Sales" count="0"/>
    <cacheHierarchy uniqueName="[Measures].[Pseudo Sales SUM RUB Current Plan]" caption="Сумма псевдофакт, RUB (тек.сценарий)" measure="1" displayFolder="" measureGroup="Fact Pseudo Sales" count="0"/>
    <cacheHierarchy uniqueName="[Measures].[Pseudo Sales SUM KZT Current Plan]" caption="Сумма псевдофакт, KZT (тек.сценарий)" measure="1" displayFolder="" measureGroup="Fact Pseudo Sales" count="0"/>
    <cacheHierarchy uniqueName="[Measures].[Pseudo Sales SUM EUR Current Plan]" caption="Сумма псевдофакт, EUR (тек.сценарий)" measure="1" displayFolder="" measureGroup="Fact Pseudo Sales" count="0"/>
    <cacheHierarchy uniqueName="[Measures].[Pseudo Sales Sum Transfert UAH Current]" caption="Сумма псевдофакт трансфертные цены UAH (тек.сценарий)" measure="1" displayFolder="Трансфертные цены псевдофакт" measureGroup="Fact Pseudo Sales" count="0"/>
    <cacheHierarchy uniqueName="[Measures].[Pseudo Sales Sum Transfert RUB Current]" caption="Сумма псевдофакт трансфертные цены RUB (тек.сценарий)" measure="1" displayFolder="Трансфертные цены псевдофакт" measureGroup="Fact Pseudo Sales" count="0"/>
    <cacheHierarchy uniqueName="[Measures].[Pseudo Sales Sum Transfert KZT Current]" caption="Сумма псевдофакт трансфертные цены KZT (тек.сценарий)" measure="1" displayFolder="Трансфертные цены псевдофакт" measureGroup="Fact Pseudo Sales" count="0"/>
    <cacheHierarchy uniqueName="[Measures].[SS Plan UAH Current - Fact Pseudo Sales]" caption="Себестоимость псевдофакт по плановым калькуляциям, UAH (тек. сценарий)" measure="1" displayFolder="Себестоимость псевдофакт" measureGroup="Fact Pseudo Sales" count="0"/>
    <cacheHierarchy uniqueName="[Measures].[SS Plan EUR Current - Fact Pseudo Sales]" caption="Себестоимость псевдофакт по плановым калькуляциям, EUR (тек. сценарий)" measure="1" displayFolder="Себестоимость псевдофакт" measureGroup="Fact Pseudo Sales" count="0"/>
    <cacheHierarchy uniqueName="[Measures].[SS Plan RUB Current - Fact Pseudo Sales]" caption="Себестоимость псевдофакт по плановым калькуляциям, RUB (тек. сценарий)" measure="1" displayFolder="Себестоимость псевдофакт" measureGroup="Fact Pseudo Sales" count="0"/>
    <cacheHierarchy uniqueName="[Measures].[SS Plan KZT Current - Fact Pseudo Sales]" caption="Себестоимость псевдофакт по плановым калькуляциям, KZT (тек. сценарий)" measure="1" displayFolder="Себестоимость псевдофакт" measureGroup="Fact Pseudo Sales" count="0"/>
    <cacheHierarchy uniqueName="[Measures].[Com Bonuses Currency - Fact Pseudo Sales]" caption="Коммерческий бонус псевдофакт (вал)" measure="1" displayFolder="Коммерческий бонус псевдофакт" measureGroup="Fact Pseudo Sales" count="0"/>
    <cacheHierarchy uniqueName="[Measures].[Com Bonuses UAH Current Plan - Fact Pseudo Sales]" caption="Коммерческий бонус псевдофакт UAH (тек. сценарий)" measure="1" displayFolder="Коммерческий бонус псевдофакт" measureGroup="Fact Pseudo Sales" count="0"/>
    <cacheHierarchy uniqueName="[Measures].[Com Bonuses RUB Current Plan - Fact Pseudo Sales]" caption="Коммерческий бонус псевдофакт RUB (тек. сценарий)" measure="1" displayFolder="Коммерческий бонус псевдофакт" measureGroup="Fact Pseudo Sales" count="0"/>
    <cacheHierarchy uniqueName="[Measures].[SZ Delivery To Customer In Region - Fact Pseudo Sales]" caption="Псевдофакт доставка до клиента вал." measure="1" displayFolder="Логистические затраты Псевдофакт" measureGroup="Fact Pseudo Sales" count="0"/>
    <cacheHierarchy uniqueName="[Measures].[SZ Delivery To Customer In Region EUR Current - Fact Pseudo Sales]" caption="Псевдофакт доставка до клиента EUR (тек. сценарий)" measure="1" displayFolder="Логистические затраты Псевдофакт" measureGroup="Fact Pseudo Sales" count="0"/>
    <cacheHierarchy uniqueName="[Measures].[SZ Delivery To Customer In Region KZT Current - Fact Pseudo Sales]" caption="Псевдофакт доставка до клиента KZT (тек. сценарий)" measure="1" displayFolder="Логистические затраты Псевдофакт" measureGroup="Fact Pseudo Sales" count="0"/>
    <cacheHierarchy uniqueName="[Measures].[SZ Delivery To Customer In Region RUB Current - Fact Pseudo Sales]" caption="Псевдофакт доставка до клиента RUB (тек. сценарий)" measure="1" displayFolder="Логистические затраты Псевдофакт" measureGroup="Fact Pseudo Sales" count="0"/>
    <cacheHierarchy uniqueName="[Measures].[SZ Delivery To Customer In Region UAH Current - Fact Pseudo Sales]" caption="Псевдофакт доставка до клиента UAH (тек. сценарий)" measure="1" displayFolder="Логистические затраты Псевдофакт" measureGroup="Fact Pseudo Sales" count="0"/>
    <cacheHierarchy uniqueName="[Measures].[SZ Delivery To Client Export EUR Current - Fact Pseudo Sales]" caption="Псевдофакт доставка до клиента экспорт EUR (тек. сценарий)" measure="1" displayFolder="Логистические затраты Псевдофакт" measureGroup="Fact Pseudo Sales" count="0"/>
    <cacheHierarchy uniqueName="[Measures].[SZ Delivery To Client Export KZT Current - Fact Pseudo Sales]" caption="Псевдофакт доставка до клиента экспорт KZT (тек. сценарий)" measure="1" displayFolder="Логистические затраты Псевдофакт" measureGroup="Fact Pseudo Sales" count="0"/>
    <cacheHierarchy uniqueName="[Measures].[SZ Delivery To Client Export RUB Current - Fact Pseudo Sales]" caption="Псевдофакт доставка до клиента экспорт RUB (тек. сценарий)" measure="1" displayFolder="Логистические затраты Псевдофакт" measureGroup="Fact Pseudo Sales" count="0"/>
    <cacheHierarchy uniqueName="[Measures].[SZ Delivery To Client Export UAH Current - Fact Pseudo Sales]" caption="Псевдофакт доставка до клиента экспорт UAH (тек. сценарий)" measure="1" displayFolder="Логистические затраты Псевдофакт" measureGroup="Fact Pseudo Sales" count="0"/>
    <cacheHierarchy uniqueName="[Measures].[SZ Delivery To Regional Warehouse EUR Current - Fact Pseudo Sales]" caption="Псевдофакт доставка до регионального склада EUR (тек. сценарий)" measure="1" displayFolder="Логистические затраты Псевдофакт" measureGroup="Fact Pseudo Sales" count="0"/>
    <cacheHierarchy uniqueName="[Measures].[SZ Delivery To Regional Warehouse KZT Current - Fact Pseudo Sales]" caption="Псевдофакт доставка до регионального склада KZT (тек. сценарий)" measure="1" displayFolder="Логистические затраты Псевдофакт" measureGroup="Fact Pseudo Sales" count="0"/>
    <cacheHierarchy uniqueName="[Measures].[SZ Delivery To Regional Warehouse RUB Current - Fact Pseudo Sales]" caption="Псевдофакт доставка до регионального склада RUB (тек. сценарий)" measure="1" displayFolder="Логистические затраты Псевдофакт" measureGroup="Fact Pseudo Sales" count="0"/>
    <cacheHierarchy uniqueName="[Measures].[SZ Delivery To Regional Warehouse UAH Current - Fact Pseudo Sales]" caption="Псевдофакт доставка до регионального склада UAH (тек. сценарий)" measure="1" displayFolder="Логистические затраты Псевдофакт" measureGroup="Fact Pseudo Sales" count="0"/>
    <cacheHierarchy uniqueName="[Measures].[SZ Delivery To RC Belgorod EUR Current - Fact Pseudo Sales]" caption="Псевдофакт доставка РЦ Белгород EUR (тек. сценарий)" measure="1" displayFolder="Логистические затраты Псевдофакт" measureGroup="Fact Pseudo Sales" count="0"/>
    <cacheHierarchy uniqueName="[Measures].[SZ Delivery To RC Belgorod KZT Current - Fact Pseudo Sales]" caption="Псевдофакт доставка РЦ Белгород KZT (тек. сценарий)" measure="1" displayFolder="Логистические затраты Псевдофакт" measureGroup="Fact Pseudo Sales" count="0"/>
    <cacheHierarchy uniqueName="[Measures].[SZ Delivery To RC Belgorod RUB Current - Fact Pseudo Sales]" caption="Псевдофакт доставка РЦ Белгород RUB (тек. сценарий)" measure="1" displayFolder="Логистические затраты Псевдофакт" measureGroup="Fact Pseudo Sales" count="0"/>
    <cacheHierarchy uniqueName="[Measures].[SZ Delivery To RC Belgorod UAH Current - Fact Pseudo Sales]" caption="Псевдофакт доставка до РЦ Белгород UAH (тек. сценарий)" measure="1" displayFolder="Логистические затраты Псевдофакт" measureGroup="Fact Pseudo Sales" count="0"/>
    <cacheHierarchy uniqueName="[Measures].[SZ Logistics Bonuses UAH Current - Fact Pseudo Sales]" caption="Псевдофакт логистические бонусы UAH (тек. сценарий)" measure="1" displayFolder="Логистические затраты Псевдофакт" measureGroup="Fact Pseudo Sales" count="0"/>
    <cacheHierarchy uniqueName="[Measures].[SZ Logistics Bonuses - Fact Pseudo Sales]" caption="Псевдофакт логистические бонусы вал." measure="1" displayFolder="Логистические затраты Псевдофакт" measureGroup="Fact Pseudo Sales" count="0"/>
    <cacheHierarchy uniqueName="[Measures].[SZ Variable Import Costs EUR Current - Fact Pseudo Sales]" caption="Псевдофакт переменные таможенные расходы импорт EUR (тек. сценарий)" measure="1" displayFolder="Логистические затраты Псевдофакт" measureGroup="Fact Pseudo Sales" count="0"/>
    <cacheHierarchy uniqueName="[Measures].[SZ Variable Import Costs KZT Current - Fact Pseudo Sales]" caption="Псевдофакт переменные таможенные расходы импорт KZT (тек. сценарий)" measure="1" displayFolder="Логистические затраты Псевдофакт" measureGroup="Fact Pseudo Sales" count="0"/>
    <cacheHierarchy uniqueName="[Measures].[SZ Variable Import Costs UAH Current - Fact Pseudo Sales]" caption="Псевдофакт переменные таможенные расходы импорт UAH (тек. сценарий)" measure="1" displayFolder="Логистические затраты Псевдофакт" measureGroup="Fact Pseudo Sales" count="0"/>
    <cacheHierarchy uniqueName="[Measures].[SZ Variable Import Costs - Fact Pseudo Sales]" caption="Псевдофакт переменные таможенные расходы импорт вал." measure="1" displayFolder="Логистические затраты Псевдофакт" measureGroup="Fact Pseudo Sales" count="0"/>
    <cacheHierarchy uniqueName="[Measures].[SZ Variable Export Costs EUR Current - Fact Pseudo Sales]" caption="Псевдофакт переменные таможенные расходы экспорт EUR (тек. сценарий)" measure="1" displayFolder="Логистические затраты Псевдофакт" measureGroup="Fact Pseudo Sales" count="0"/>
    <cacheHierarchy uniqueName="[Measures].[SZ Variable Export Costs KZT Current - Fact Pseudo Sales]" caption="Псевдофакт переменные таможенные расходы экспорт KZT (тек. сценарий)" measure="1" displayFolder="Логистические затраты Псевдофакт" measureGroup="Fact Pseudo Sales" count="0"/>
    <cacheHierarchy uniqueName="[Measures].[SZ Variable Export Costs RUB Current - Fact Pseudo Sales]" caption="Псевдофакт переменные таможенные расходы экспорт RUB (тек. сценарий)" measure="1" displayFolder="Логистические затраты Псевдофакт" measureGroup="Fact Pseudo Sales" count="0"/>
    <cacheHierarchy uniqueName="[Measures].[SZ Variable Export Costs UAH Current - Fact Pseudo Sales]" caption="Псевдофакт переменные таможенные расходы экспорт UAH (тек. сценарий)" measure="1" displayFolder="Логистические затраты Псевдофакт" measureGroup="Fact Pseudo Sales" count="0"/>
    <cacheHierarchy uniqueName="[Measures].[SZ Permanent Logistics Costs RUEUR Current - Fact Pseudo Sales]" caption="Псевдофакт постоянные логистические расходы Россия тек. план EUR (тек. сценарий)" measure="1" displayFolder="Логистические затраты Псевдофакт" measureGroup="Fact Pseudo Sales" count="0"/>
    <cacheHierarchy uniqueName="[Measures].[SZ Permanent Logistics Costs RUKZT Current - Fact Pseudo Sales]" caption="Псевдофакт постоянные логистические расходы Россия тек. план KZT (тек. сценарий)" measure="1" displayFolder="Логистические затраты Псевдофакт" measureGroup="Fact Pseudo Sales" count="0"/>
    <cacheHierarchy uniqueName="[Measures].[SZ Permanent Logistics Costs RURUB Current - Fact Pseudo Sales]" caption="Псевдофакт постоянные логистические расходы Россия тек. план RUB" measure="1" displayFolder="Логистические затраты Псевдофакт" measureGroup="Fact Pseudo Sales" count="0"/>
    <cacheHierarchy uniqueName="[Measures].[SZ Permanent Logistics Costs RUUAH Current - Fact Pseudo Sales]" caption="Псевдофакт постоянные логистические расходы Россия тек. план UAH (тек. сценарий)" measure="1" displayFolder="Логистические затраты Псевдофакт" measureGroup="Fact Pseudo Sales" count="0"/>
    <cacheHierarchy uniqueName="[Measures].[SZ Permanent Logistics Costs EUR Current - Fact Pseudo Sales]" caption="Псевдофакт постоянные логистические расходы Украина EUR (тек. сценарий)" measure="1" displayFolder="Логистические затраты Псевдофакт" measureGroup="Fact Pseudo Sales" count="0"/>
    <cacheHierarchy uniqueName="[Measures].[SZ Permanent Logistics Costs KZT Current - Fact Pseudo Sales]" caption="Псевдофакт постоянные логистические расходы Украина KZT (тек. сценарий)" measure="1" displayFolder="Логистические затраты Псевдофакт" measureGroup="Fact Pseudo Sales" count="0"/>
    <cacheHierarchy uniqueName="[Measures].[SZ Permanent Logistics Costs RUB Current - Fact Pseudo Sales]" caption="Псевдофакт постоянные логистические расходы Украина RUB (тек. сценарий)" measure="1" displayFolder="Логистические затраты Псевдофакт" measureGroup="Fact Pseudo Sales" count="0"/>
    <cacheHierarchy uniqueName="[Measures].[SZ Permanent Logistics Costs UAH Current - Fact Pseudo Sales]" caption="Псевдофакт постоянные логистические расходы Украина UAH (тек. сценарий)" measure="1" displayFolder="Логистические затраты Псевдофакт" measureGroup="Fact Pseudo Sales" count="0"/>
    <cacheHierarchy uniqueName="[Measures].[SZ Permanent Customs Costs Import EUR Current - Fact Pseudo Sales]" caption="Псевдофакт постоянные таможенные расходы (импорт) EUR (тек. сценарий)" measure="1" displayFolder="Логистические затраты Псевдофакт" measureGroup="Fact Pseudo Sales" count="0"/>
    <cacheHierarchy uniqueName="[Measures].[SZ Permanent Customs Costs Import KZT Current - Fact Pseudo Sales]" caption="Псевдофакт постоянные таможенные расходы (импорт) KZT (тек. сценарий)" measure="1" displayFolder="Логистические затраты Псевдофакт" measureGroup="Fact Pseudo Sales" count="0"/>
    <cacheHierarchy uniqueName="[Measures].[SZ Permanent Customs Costs Import UAH Current - Fact Pseudo Sales]" caption="Псевдофакт постоянные таможенные расходы (импорт) UAH (тек. сценарий)" measure="1" displayFolder="Логистические затраты Псевдофакт" measureGroup="Fact Pseudo Sales" count="0"/>
    <cacheHierarchy uniqueName="[Measures].[SZ Permanent Customs Costs Import RUB Current - Fact Pseudo Sales]" caption="Псевдофакт постоянные таможенные расходы (импорт) тек.план RUB" measure="1" displayFolder="Логистические затраты Псевдофакт" measureGroup="Fact Pseudo Sales" count="0"/>
    <cacheHierarchy uniqueName="[Measures].[SZ Permanent Customs Costs Export EUR Current - Fact Pseudo Sales]" caption="Псевдофакт постоянные таможенные расходы (экспорт) EUR (тек. сценарий)" measure="1" displayFolder="Логистические затраты Псевдофакт" measureGroup="Fact Pseudo Sales" count="0"/>
    <cacheHierarchy uniqueName="[Measures].[SZ Permanent Customs Costs Export KZT Current - Fact Pseudo Sales]" caption="Псевдофакт постоянные таможенные расходы (экспорт) KZT (тек. сценарий)" measure="1" displayFolder="Логистические затраты Псевдофакт" measureGroup="Fact Pseudo Sales" count="0"/>
    <cacheHierarchy uniqueName="[Measures].[SZ Permanent Customs Costs Export RUB Current - Fact Pseudo Sales]" caption="Псевдофакт постоянные таможенные расходы (экспорт) RUB (тек. сценарий)" measure="1" displayFolder="Логистические затраты Псевдофакт" measureGroup="Fact Pseudo Sales" count="0"/>
    <cacheHierarchy uniqueName="[Measures].[SZ Permanent Customs Costs Export UAH Current - Fact Pseudo Sales]" caption="Псевдофакт постоянные таможенные расходы (экспорт) UAH (тек. сценарий)" measure="1" displayFolder="Логистические затраты Псевдофакт" measureGroup="Fact Pseudo Sales" count="0"/>
    <cacheHierarchy uniqueName="[Measures].[SZ Costs RC Belgorod EUR Current - Fact Pseudo Sales]" caption="Псевдофакт расходы РЦ Белгород тек. план EUR (тек. сценарий)" measure="1" displayFolder="Логистические затраты Псевдофакт" measureGroup="Fact Pseudo Sales" count="0"/>
    <cacheHierarchy uniqueName="[Measures].[SZ Costs RC Belgorod KZT Current - Fact Pseudo Sales]" caption="Псевдофакт расходы РЦ Белгород тек. план KZT (тек. сценарий)" measure="1" displayFolder="Логистические затраты Псевдофакт" measureGroup="Fact Pseudo Sales" count="0"/>
    <cacheHierarchy uniqueName="[Measures].[SZ Costs RC Belgorod RUB Current - Fact Pseudo Sales]" caption="Псевдофакт расходы РЦ Белгород тек. план RUB" measure="1" displayFolder="Логистические затраты Псевдофакт" measureGroup="Fact Pseudo Sales" count="0"/>
    <cacheHierarchy uniqueName="[Measures].[SZ Costs RC Belgorod UAH Current - Fact Pseudo Sales]" caption="Псевдофакт расходы РЦ Белгород тек. план UAH (тек. сценарий)" measure="1" displayFolder="Логистические затраты Псевдофакт" measureGroup="Fact Pseudo Sales" count="0"/>
    <cacheHierarchy uniqueName="[Measures].[SZ Costs SGP Kharkov EUR Current - Fact Pseudo Sales]" caption="Псевдофакт расходы СГП Харьков EUR (тек. сценарий)" measure="1" displayFolder="Логистические затраты Псевдофакт" measureGroup="Fact Pseudo Sales" count="0"/>
    <cacheHierarchy uniqueName="[Measures].[SZ Costs SGP Kharkov KZT Current - Fact Pseudo Sales]" caption="Псевдофакт расходы СГП Харьков KZT (тек. сценарий)" measure="1" displayFolder="Логистические затраты Псевдофакт" measureGroup="Fact Pseudo Sales" count="0"/>
    <cacheHierarchy uniqueName="[Measures].[SZ Costs SGP Kharkov RUB Current - Fact Pseudo Sales]" caption="Псевдофакт расходы СГП Харьков RUB (тек. сценарий)" measure="1" displayFolder="Логистические затраты Псевдофакт" measureGroup="Fact Pseudo Sales" count="0"/>
    <cacheHierarchy uniqueName="[Measures].[SZ Costs SGP Kharkov UAH Current - Fact Pseudo Sales]" caption="Псевдофакт расходы СГП Харьков UAH (тек. сценарий)" measure="1" displayFolder="Логистические затраты Псевдофакт" measureGroup="Fact Pseudo Sales" count="0"/>
    <cacheHierarchy uniqueName="[Measures].[SZ Regional Warehouse Costs UAH Current - Fact Pseudo Sales]" caption="Псевдофакт содержание регионального склада UAH (тек. сценарий)" measure="1" displayFolder="Логистические затраты Псевдофакт" measureGroup="Fact Pseudo Sales" count="0"/>
    <cacheHierarchy uniqueName="[Measures].[SZ Regional Warehouse Costs - Fact Pseudo Sales]" caption="Псевдофакт содержание регионального склада вал." measure="1" displayFolder="Логистические затраты Псевдофакт" measureGroup="Fact Pseudo Sales" count="0"/>
    <cacheHierarchy uniqueName="[Measures].[SZ Delivery To Custom UA RU - Fact Pseudo Sales]" caption="Псевдофакт Транспорт до таможни Украина-Россия вал." measure="1" displayFolder="Логистические затраты Псевдофакт" measureGroup="Fact Pseudo Sales" count="0"/>
    <cacheHierarchy uniqueName="[Measures].[SZ Delivery To Custom UA RU RUB Current - Fact Pseudo Sales]" caption="Псевдофакт Транспорт до таможни Украина-Россия RUB (тек. сценарий)" measure="1" displayFolder="Логистические затраты Псевдофакт" measureGroup="Fact Pseudo Sales" count="0"/>
    <cacheHierarchy uniqueName="[Measures].[Pseudo Profit UAH Current Plan]" caption="Маржинальный доход (СтП) псевдофакт, UAH (тек. сценарий)" measure="1" displayFolder="Маржинальный доход Псевдофакт" measureGroup="Fact Pseudo Sales" count="0"/>
    <cacheHierarchy uniqueName="[Measures].[Pseudo Profit RUB Current Plan]" caption="Маржинальный доход (СтП) псевдофакт RUB (тек. сценарий)" measure="1" displayFolder="Маржинальный доход Псевдофакт" measureGroup="Fact Pseudo Sales" count="0"/>
    <cacheHierarchy uniqueName="[Measures].[Pseudo Profit EUR Current Plan]" caption="Маржинальный доход (СтП) псевдофакт EUR (тек. сценарий)" measure="1" displayFolder="Маржинальный доход Псевдофакт" measureGroup="Fact Pseudo Sales" count="0"/>
    <cacheHierarchy uniqueName="[Measures].[Pseudo Profit KZT Current Plan]" caption="Маржинальный доход (СтП) псевдофакт KZT (тек. сценарий)" measure="1" displayFolder="Маржинальный доход Псевдофакт" measureGroup="Fact Pseudo Sales" count="0"/>
    <cacheHierarchy uniqueName="[Measures].[Pseudo Profit Perc Current Plan]" caption="Рентабельность продаж (СтП) псевдофакт (тек. сценарий) %" measure="1" displayFolder="Рентабельность Псевдофакт" measureGroup="Fact Pseudo Sales" count="0"/>
    <cacheHierarchy uniqueName="[Measures].[Customs Duty Russia UAH Current - Fact Pseudo Sales]" caption="Таможенные пошлины Россия псевдофакт UAH (тек.сценарий)" measure="1" displayFolder="Таможенные пошлины Псевдофакт" measureGroup="Fact Pseudo Sales" count="0"/>
    <cacheHierarchy uniqueName="[Measures].[Customs Duty Russia RUB Current - Fact Pseudo Sales]" caption="Таможенные пошлины Россия псевдофакт RUB (тек.сценарий)" measure="1" displayFolder="Таможенные пошлины Псевдофакт" measureGroup="Fact Pseudo Sales" count="0"/>
    <cacheHierarchy uniqueName="[Measures].[Customs Duty Russia EUR Current - Fact Pseudo Sales]" caption="Таможенные пошлины Россия псевдофакт EUR (тек.сценарий)" measure="1" displayFolder="Таможенные пошлины Псевдофакт" measureGroup="Fact Pseudo Sales" count="0"/>
    <cacheHierarchy uniqueName="[Measures].[Customs Duty Russia KZT Current - Fact Pseudo Sales]" caption="Таможенные пошлины Россия псевдофакт KZT (тек.сценарий)" measure="1" displayFolder="Таможенные пошлины Псевдофакт" measureGroup="Fact Pseudo Sales" count="0"/>
    <cacheHierarchy uniqueName="[Measures].[SZ Private Transport Cost  - Fact Pseudo Sales]" caption="Псевдофакт Расходы на собственный транспорт вал." measure="1" displayFolder="Логистические затраты Псевдофакт" measureGroup="Fact Pseudo Sales" count="0"/>
    <cacheHierarchy uniqueName="[Measures].[SZ Private Transport Cost UAH Current - Fact Pseudo Sales]" caption="Псевдофакт Расходы на собственный транспорт тек. план UAH (тек. сценарий)" measure="1" displayFolder="Логистические затраты Псевдофакт" measureGroup="Fact Pseudo Sales" count="0"/>
    <cacheHierarchy uniqueName="[Measures].[SZ Private Transport Cost RUB Current - Fact Pseudo Sales]" caption="Псевдофакт Расходы на собственный транспорт тек. план RUB (тек. сценарий)" measure="1" displayFolder="Логистические затраты Псевдофакт" measureGroup="Fact Pseudo Sales" count="0"/>
    <cacheHierarchy uniqueName="[Measures].[SZ Private Transport Cost EUR Current - Fact Pseudo Sales]" caption="Псевдофакт Расходы на собственный транспорт тек. план EUR (тек. сценарий)" measure="1" displayFolder="Логистические затраты Псевдофакт" measureGroup="Fact Pseudo Sales" count="0"/>
    <cacheHierarchy uniqueName="[Measures].[SZ Private Transport Cost KZT Current - Fact Pseudo Sales]" caption="Псевдофакт Расходы на собственный транспорт тек. план KZT (тек. сценарий)" measure="1" displayFolder="Логистические затраты Псевдофакт" measureGroup="Fact Pseudo Sales" count="0"/>
    <cacheHierarchy uniqueName="[Measures].[SZ B2C Cost - Fact Pseudo Sales]" caption="Псевдофакт Постоянные логистические расходы B2C вал." measure="1" displayFolder="Логистические затраты Псевдофакт" measureGroup="Fact Pseudo Sales" count="0"/>
    <cacheHierarchy uniqueName="[Measures].[SZ B2C Cost UAH Current - Fact Pseudo Sales]" caption="Псевдофакт Постоянные логистические расходы B2C тек.план UAH (тек. сценарий)" measure="1" displayFolder="Логистические затраты Псевдофакт" measureGroup="Fact Pseudo Sales" count="0"/>
    <cacheHierarchy uniqueName="[Measures].[SZ B2C Cost RUB Current - Fact Pseudo Sales]" caption="Псевдофакт Постоянные логистические расходы B2C тек. план RUB (тек. сценарий)" measure="1" displayFolder="Логистические затраты Псевдофакт" measureGroup="Fact Pseudo Sales" count="0"/>
    <cacheHierarchy uniqueName="[Measures].[SZ B2C Cost EUR Current - Fact Pseudo Sales]" caption="Псевдофакт Постоянные логистические расходы B2C тек. план EUR (тек. сценарий)" measure="1" displayFolder="Логистические затраты Псевдофакт" measureGroup="Fact Pseudo Sales" count="0"/>
    <cacheHierarchy uniqueName="[Measures].[SZ B2C Cost KZT Current - Fact Pseudo Sales]" caption="Псевдофакт Постоянные логистические расходы B2C тек. план KZT (тек. сценарий)" measure="1" displayFolder="Логистические затраты Псевдофакт" measureGroup="Fact Pseudo Sales" count="0"/>
    <cacheHierarchy uniqueName="[Measures].[Pseudo SUM Base Currency Current]" caption="О_UCH_Доход" measure="1" displayFolder="" measureGroup="Fact Pseudo Sales" count="0"/>
    <cacheHierarchy uniqueName="[Measures].[Pseudo SUM EXW Base Currency Current]" caption="О_UCH_Доход EXW" measure="1" displayFolder="" measureGroup="Fact Pseudo Sales" count="0"/>
    <cacheHierarchy uniqueName="[Measures].[Pseudo Margine2022 1 By Plan Base Currency Current]" caption="О_UCH_М1" measure="1" displayFolder="" measureGroup="Fact Pseudo Sales" count="0"/>
    <cacheHierarchy uniqueName="[Measures].[Pseudo Margine2022 2 By Plan Base Currency Current]" caption="О_UCH_М2" measure="1" displayFolder="" measureGroup="Fact Pseudo Sales" count="0"/>
    <cacheHierarchy uniqueName="[Measures].[Pseudore Transport SUM Base Currency Current]" caption="О_UCH_Доход трансп" measure="1" displayFolder="" measureGroup="Fact Pseudo Sales" count="0"/>
    <cacheHierarchy uniqueName="[Measures].[Pseudo SS Plan Base Currency Current]" caption="О_UCH_DC" measure="1" displayFolder="" measureGroup="Fact Pseudo Sales" count="0"/>
    <cacheHierarchy uniqueName="[Measures].[Pseudo Sum Distribution Costs Base Currency Current]" caption="О_UCH_Затр сбыт" measure="1" displayFolder="" measureGroup="Fact Pseudo Sales" count="0"/>
    <cacheHierarchy uniqueName="[Measures].[Pseudo Pl Com Bonuses Base Currency Current]" caption="О_UCH_ЗС Ком бонус" measure="1" displayFolder="" measureGroup="Fact Pseudo Sales" count="0"/>
    <cacheHierarchy uniqueName="[Measures].[Pseudo SZ FULL Variable Logistic Cost Base Currency Current]" caption="О_UCH_Перем логист" measure="1" displayFolder="" measureGroup="Fact Pseudo Sales" count="0"/>
    <cacheHierarchy uniqueName="[Measures].[Pseudo SZ Delivery To Customer In Region Base Currency Current]" caption="О_UCH_ПЕ Доставка клиент" measure="1" displayFolder="" measureGroup="Fact Pseudo Sales" count="0"/>
    <cacheHierarchy uniqueName="[Measures].[Pseudo SZ Logistics Bonuses Base Currency Current]" caption="О_UCH_ПЕ Лог бонус" measure="1" displayFolder="" measureGroup="Fact Pseudo Sales" count="0"/>
    <cacheHierarchy uniqueName="[Measures].[Pseudo SZ Delivery To Regional Warehouse Base Currency Current]" caption="О_UCH_ПЕ Доставка склад" measure="1" displayFolder="" measureGroup="Fact Pseudo Sales" count="0"/>
    <cacheHierarchy uniqueName="[Measures].[Pseudo SZ Variable Export Costs Base Currency Current]" caption="О_UCH_ПЕ Тамож экспорт" measure="1" displayFolder="" measureGroup="Fact Pseudo Sales" count="0"/>
    <cacheHierarchy uniqueName="[Measures].[Pseudo SZP FULL Permanent Logistic Cost Base Currency Current]" caption="О_UCH_Пост логист" measure="1" displayFolder="" measureGroup="Fact Pseudo Sales" count="0"/>
    <cacheHierarchy uniqueName="[Measures].[Pseudo SZP Costs SGP Base Currency Current]" caption="О_UCH_ПС СГП" measure="1" displayFolder="" measureGroup="Fact Pseudo Sales" count="0"/>
    <cacheHierarchy uniqueName="[Measures].[Pseudo SZP Regional Warehouse Costs Base Currency Current]" caption="О_UCH_ПС Удал склад" measure="1" displayFolder="" measureGroup="Fact Pseudo Sales" count="0"/>
    <cacheHierarchy uniqueName="[Measures].[Pseudo SZP Permanent Logistics Costs Base Currency Current]" caption="О_UCH_ПС Отдел логистика" measure="1" displayFolder="" measureGroup="Fact Pseudo Sales" count="0"/>
    <cacheHierarchy uniqueName="[Measures].[Pseudo SZP Permanent Customs Costs Export Base Currency Current]" caption="О_UCH_ПС Отдел ВЭД" measure="1" displayFolder="" measureGroup="Fact Pseudo Sales" count="0"/>
    <cacheHierarchy uniqueName="[Measures].[Pseudo SZP B2C Cost Base Currency Current]" caption="О_UCH_ПС B2C" measure="1" displayFolder="" measureGroup="Fact Pseudo Sales" count="0"/>
    <cacheHierarchy uniqueName="[Measures].[Pseudo Profitability2022 M1 EXW]" caption="О_Р% М1 EXW" measure="1" displayFolder="" measureGroup="Fact Pseudo Sales" count="0"/>
    <cacheHierarchy uniqueName="[Measures].[Pseudo Profitability2022 M2 EXW]" caption="О_Р% М2 EXW" measure="1" displayFolder="" measureGroup="Fact Pseudo Sales" count="0"/>
    <cacheHierarchy uniqueName="[Measures].[deviation_plan_fact_UP_UAH]" caption="Отклонение от плана продаж - перевыполнение" measure="1" displayFolder="Реализация План-Факт" measureGroup="Fact Sale Plans" count="0"/>
    <cacheHierarchy uniqueName="[Measures].[deviation_plan_fact_DOWN_UAH]" caption="Отклонение от плана продаж - невыполнение" measure="1" displayFolder="Реализация План-Факт" measureGroup="Fact Sale Plans" count="0"/>
    <cacheHierarchy uniqueName="[Measures].[deviation_plan_fact_UAH]" caption="Отклонение от плана продаж (в грн)" measure="1" displayFolder="Реализация План-Факт" measureGroup="Fact Sale Plans" count="0"/>
    <cacheHierarchy uniqueName="[Measures].[deviation_Income_Year]" caption="Отклонение доходов план-факт (год. сценарий)" measure="1" displayFolder="Реализация План-Факт" measureGroup="Fact Sale Plans" count="0"/>
    <cacheHierarchy uniqueName="[Measures].[Deviation_Income_Current]" caption="Отклонение доходов план-факт (тек. сценарий)" measure="1" displayFolder="Реализация План-Факт" measureGroup="Fact Sale Plans" count="0"/>
    <cacheHierarchy uniqueName="[Measures].[deviation_plan_fact_percent]" caption="Отклонение от плана продаж (%)" measure="1" displayFolder="Реализация План-Факт" measureGroup="Fact Sale Plans" count="0"/>
    <cacheHierarchy uniqueName="[Measures].[deviation_plan_fact_currency]" caption="Отклонение от плана продаж (вал)" measure="1" displayFolder="Реализация План-Факт" measureGroup="Fact Sale Plans" count="0"/>
    <cacheHierarchy uniqueName="[Measures].[DeviationByCurrencyRate_UAH]" caption="Относ Отклонение за счет курса валюты" measure="1" displayFolder="Факторный анализ относ" measureGroup="Fact Sale Plans" count="0"/>
    <cacheHierarchy uniqueName="[Measures].[fa1_DeviationByPrice_UAH]" caption="Относ Отклонение за счет цены (в грн)" measure="1" displayFolder="Факторный анализ относ" measureGroup="Fact Sale Plans" count="0"/>
    <cacheHierarchy uniqueName="[Measures].[fa1_DeviationByQTY_UAH]" caption="Относ Отклонение за счет кол-ва (в грн)" measure="1" displayFolder="Факторный анализ относ" measureGroup="Fact Sale Plans" count="0"/>
    <cacheHierarchy uniqueName="[Measures].[fa1_DeviationByStructure_UAH]" caption="Относ Отклонение за счет структуры (в грн)" measure="1" displayFolder="Факторный анализ относ" measureGroup="Fact Sale Plans" count="0"/>
    <cacheHierarchy uniqueName="[Measures].[DeviationByPrice]" caption="Относ Отклонение за счет цены (вал)" measure="1" displayFolder="Факторный анализ относ" measureGroup="Fact Sale Plans" count="0"/>
    <cacheHierarchy uniqueName="[Measures].[DeviationByQTY]" caption="Относ Отклонение за счет кол-ва (вал)" measure="1" displayFolder="Факторный анализ относ" measureGroup="Fact Sale Plans" count="0"/>
    <cacheHierarchy uniqueName="[Measures].[DeviationByStructure]" caption="Относ Отклонение за счет структуры (вал)" measure="1" displayFolder="Факторный анализ относ" measureGroup="Fact Sale Plans" count="0"/>
    <cacheHierarchy uniqueName="[Measures].[TransportperVolume]" caption="Стоимость транспортировки 1 куб.м., грн." measure="1" displayFolder="Транспорт фактический" measureGroup="Fact Sales" count="0"/>
    <cacheHierarchy uniqueName="[Measures].[TransportPerSales]" caption="Соотношение трансп. расходов к доходам, %" measure="1" displayFolder="Транспорт фактический" measureGroup="Fact Sales" count="0"/>
    <cacheHierarchy uniqueName="[Measures].[InnerTransportPerSales]" caption="Соотношение трансп. расходов (до удал.складов) к доходам, %" measure="1" displayFolder="Транспорт фактический" measureGroup="Fact Sales" count="0"/>
    <cacheHierarchy uniqueName="[Measures].[ToClientTransportPerSales]" caption="Соотношение трансп. расходов (до клиента) к доходам, %" measure="1" displayFolder="Транспорт фактический" measureGroup="Fact Sales" count="0"/>
    <cacheHierarchy uniqueName="[Measures].[Deviation Sales SUM Val Pseudo]" caption="Псевдофакт Прогноз отклонения плана (вал)" measure="1" displayFolder="" measureGroup="Fact Pseudo Sales" count="0"/>
    <cacheHierarchy uniqueName="[Measures].[deviation_plan_fact_comm_Bonus]" caption="Коммерческий бонус Отклонение план-факт (в грн)" measure="1" displayFolder="Факторный анализ Коммерческих бонусов" measureGroup="Fact Sales" count="0"/>
    <cacheHierarchy uniqueName="[Measures].[deviation_plan_fact_LO_Bonus]" caption="Логистический бонус Отклонение план-факт (в грн)" measure="1" displayFolder="Факторный анализ Логистических бонусов" measureGroup="Fact Sales" count="0"/>
    <cacheHierarchy uniqueName="[Measures].[SZ Costs SGP Kharkov UAH Fact]" caption="Потушить_Факт. расходы СГП Харьков UAH (факт.курс)" measure="1" displayFolder="Логистические затраты" measureGroup="Fact Sales" count="0" hidden="1"/>
    <cacheHierarchy uniqueName="[Measures].[SZ Costs SGP Kharkov UAH Year]" caption="Потушить_Факт. расходы СГП Харьков UAH (год.сценарий)" measure="1" displayFolder="Логистические затраты" measureGroup="Fact Sales" count="0" hidden="1"/>
    <cacheHierarchy uniqueName="[Measures].[SZ Costs SGP Kharkov UAH Current]" caption="Потушить_Факт. расходы СГП Харьков UAH (тек.сценарий)" measure="1" displayFolder="Логистические затраты" measureGroup="Fact Sales" count="0" hidden="1"/>
    <cacheHierarchy uniqueName="[Measures].[TMC Lenght]" caption="Физическая длина заказ" measure="1" displayFolder="" measureGroup="Fact Orders" count="0" hidden="1"/>
    <cacheHierarchy uniqueName="[Measures].[Order Sumwo Discount Currency]" caption="Сумма заказ (вал) без скидки" measure="1" displayFolder="" measureGroup="Fact Orders" count="0" hidden="1"/>
    <cacheHierarchy uniqueName="[Measures].[Plan SUM Accounting]" caption="П_UCH_УЦ" measure="1" displayFolder="" measureGroup="Fact Sale Plans" count="0" hidden="1"/>
    <cacheHierarchy uniqueName="[Measures].[TMC Lenght - Fact Sale Plans]" caption="Физическая длина план" measure="1" displayFolder="" measureGroup="Fact Sale Plans" count="0" hidden="1"/>
  </cacheHierarchies>
  <kpis count="0"/>
  <dimensions count="41">
    <dimension name="Dim CFO" uniqueName="[Dim CFO]" caption="ЦФО"/>
    <dimension name="Dim CFO Simple" uniqueName="[Dim CFO Simple]" caption="ЦФО без иерархии"/>
    <dimension name="Dim CityOrder" uniqueName="[Dim CityOrder]" caption="Город Заказа"/>
    <dimension name="Dim Clearance Date" uniqueName="[Dim Clearance Date]" caption="Дата ГТД"/>
    <dimension name="Dim Contract" uniqueName="[Dim Contract]" caption="Участок"/>
    <dimension name="Dim Currency" uniqueName="[Dim Currency]" caption="Валюта"/>
    <dimension name="Dim CurrencyBase" uniqueName="[Dim CurrencyBase]" caption="Базовая валюта учета"/>
    <dimension name="Dim Customers" uniqueName="[Dim Customers]" caption="Клиенты"/>
    <dimension name="Dim Delivery Standards" uniqueName="[Dim Delivery Standards]" caption="Страндарты поставок"/>
    <dimension name="Dim Distribution" uniqueName="[Dim Distribution]" caption="Дистрибуция"/>
    <dimension name="Dim District" uniqueName="[Dim District]" caption="Округ"/>
    <dimension name="Dim Is Clearance Date" uniqueName="[Dim Is Clearance Date]" caption="Признак (Дата ГТД)"/>
    <dimension name="Dim Is Error Invoice" uniqueName="[Dim Is Error Invoice]" caption="Признак &quot;Ошибка&quot; на счете"/>
    <dimension name="Dim Is New Product" uniqueName="[Dim Is New Product]" caption="Признак (Новый продукт)"/>
    <dimension name="Dim Market For Strategic" uniqueName="[Dim Market For Strategic]" caption="Рынок под стратегические цели"/>
    <dimension name="Dim Order Line States" uniqueName="[Dim Order Line States]" caption="Статус строки заказа"/>
    <dimension name="Dim Order Num" uniqueName="[Dim Order Num]" caption="Заказ"/>
    <dimension name="Dim Order Num Doc Num" uniqueName="[Dim Order Num Doc Num]" caption="Заказ/Документ"/>
    <dimension name="Dim Order Num Doc Num Invoice Num" uniqueName="[Dim Order Num Doc Num Invoice Num]" caption="Заказ/Документ/Счет"/>
    <dimension name="Dim Order States" uniqueName="[Dim Order States]" caption="Статус заказа"/>
    <dimension name="Dim Organisations" uniqueName="[Dim Organisations]" caption="Организация"/>
    <dimension name="Dim Plans" uniqueName="[Dim Plans]" caption="Редакция плана"/>
    <dimension name="Dim Project" uniqueName="[Dim Project]" caption="Проект"/>
    <dimension name="Dim Project Number" uniqueName="[Dim Project Number]" caption="Проект проектных продаж"/>
    <dimension name="Dim Promo Campaign" uniqueName="[Dim Promo Campaign]" caption="Промо Кампании"/>
    <dimension name="Dim Provides Plan" uniqueName="[Dim Provides Plan]" caption="Обеспечивает план"/>
    <dimension name="Dim PseudoSales Date" uniqueName="[Dim PseudoSales Date]" caption="Дата транзакции Псевдофакта"/>
    <dimension name="Dim QualityResponsibilityCenter" uniqueName="[Dim QualityResponsibilityCenter]" caption="Центр ответственности по качеству"/>
    <dimension name="Dim Region" uniqueName="[Dim Region]" caption="Регион"/>
    <dimension name="Dim Sale Man" uniqueName="[Dim Sale Man]" caption="Продавец"/>
    <dimension name="Dim Sales Channel" uniqueName="[Dim Sales Channel]" caption="Канал сбыта"/>
    <dimension name="Dim Sales Responsibility Centers" uniqueName="[Dim Sales Responsibility Centers]" caption="Центры ответственности за продажи"/>
    <dimension name="Dim TMC" uniqueName="[Dim TMC]" caption="ТМЦ"/>
    <dimension name="Dim TMC Assortment Tree" uniqueName="[Dim TMC Assortment Tree]" caption="Сегментация ТМЦ"/>
    <dimension name="Dim TMC Product Place" uniqueName="[Dim TMC Product Place]" caption="ТМЦ Место производства"/>
    <dimension name="Dim Transaction Direction" uniqueName="[Dim Transaction Direction]" caption="Вид Движения"/>
    <dimension name="Dim Unit" uniqueName="[Dim Unit]" caption="Единица измерения"/>
    <dimension name="Dim Warehouse" uniqueName="[Dim Warehouse]" caption="Склад"/>
    <dimension measure="1" name="Measures" uniqueName="[Measures]" caption="Measures"/>
    <dimension name="Order Creation Date" uniqueName="[Order Creation Date]" caption="Дата создания заказа"/>
    <dimension name="Sales Date" uniqueName="[Sales Date]" caption="Дата Отгрузки"/>
  </dimensions>
  <measureGroups count="4">
    <measureGroup name="Fact Orders" caption="Реализация заказы"/>
    <measureGroup name="Fact Pseudo Sales" caption="Псевдофакты"/>
    <measureGroup name="Fact Sale Plans" caption="Реализация план"/>
    <measureGroup name="Fact Sales" caption="Реализация факт"/>
  </measureGroups>
  <maps count="122">
    <map measureGroup="0" dimension="0"/>
    <map measureGroup="0" dimension="1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9"/>
    <map measureGroup="0" dimension="40"/>
    <map measureGroup="1" dimension="0"/>
    <map measureGroup="1" dimension="1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3"/>
    <map measureGroup="1" dimension="24"/>
    <map measureGroup="1" dimension="26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40"/>
    <map measureGroup="2" dimension="0"/>
    <map measureGroup="2" dimension="1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3"/>
    <map measureGroup="2" dimension="14"/>
    <map measureGroup="2" dimension="20"/>
    <map measureGroup="2" dimension="21"/>
    <map measureGroup="2" dimension="22"/>
    <map measureGroup="2" dimension="24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40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  <map measureGroup="3" dimension="17"/>
    <map measureGroup="3" dimension="18"/>
    <map measureGroup="3" dimension="19"/>
    <map measureGroup="3" dimension="20"/>
    <map measureGroup="3" dimension="22"/>
    <map measureGroup="3" dimension="23"/>
    <map measureGroup="3" dimension="24"/>
    <map measureGroup="3" dimension="28"/>
    <map measureGroup="3" dimension="29"/>
    <map measureGroup="3" dimension="30"/>
    <map measureGroup="3" dimension="31"/>
    <map measureGroup="3" dimension="32"/>
    <map measureGroup="3" dimension="33"/>
    <map measureGroup="3" dimension="34"/>
    <map measureGroup="3" dimension="35"/>
    <map measureGroup="3" dimension="36"/>
    <map measureGroup="3" dimension="37"/>
    <map measureGroup="3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СводнаяТаблица1" cacheId="324" applyNumberFormats="0" applyBorderFormats="0" applyFontFormats="0" applyPatternFormats="0" applyAlignmentFormats="0" applyWidthHeightFormats="1" dataCaption="Значения" updatedVersion="6" minRefreshableVersion="3" subtotalHiddenItems="1" rowGrandTotals="0" colGrandTotals="0" itemPrintTitles="1" createdVersion="4" indent="0" outline="1" outlineData="1" multipleFieldFilters="0" fieldListSortAscending="1">
  <location ref="A26:E205" firstHeaderRow="0" firstDataRow="1" firstDataCol="1" rowPageCount="5" colPageCount="1"/>
  <pivotFields count="75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xis="axisRow" allDrilled="1" showAll="0" sortType="descending" defaultAttributeDrillState="1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1"/>
  </rowFields>
  <rowItems count="179">
    <i>
      <x v="68"/>
    </i>
    <i>
      <x v="160"/>
    </i>
    <i>
      <x/>
    </i>
    <i>
      <x v="57"/>
    </i>
    <i>
      <x v="162"/>
    </i>
    <i>
      <x v="126"/>
    </i>
    <i>
      <x v="83"/>
    </i>
    <i>
      <x v="120"/>
    </i>
    <i>
      <x v="174"/>
    </i>
    <i>
      <x v="144"/>
    </i>
    <i>
      <x v="112"/>
    </i>
    <i>
      <x v="51"/>
    </i>
    <i>
      <x v="49"/>
    </i>
    <i>
      <x v="11"/>
    </i>
    <i>
      <x v="26"/>
    </i>
    <i>
      <x v="96"/>
    </i>
    <i>
      <x v="136"/>
    </i>
    <i>
      <x v="74"/>
    </i>
    <i>
      <x v="18"/>
    </i>
    <i>
      <x v="123"/>
    </i>
    <i>
      <x v="88"/>
    </i>
    <i>
      <x v="37"/>
    </i>
    <i>
      <x v="75"/>
    </i>
    <i>
      <x v="100"/>
    </i>
    <i>
      <x v="13"/>
    </i>
    <i>
      <x v="97"/>
    </i>
    <i>
      <x v="54"/>
    </i>
    <i>
      <x v="84"/>
    </i>
    <i>
      <x v="115"/>
    </i>
    <i>
      <x v="9"/>
    </i>
    <i>
      <x v="122"/>
    </i>
    <i>
      <x v="67"/>
    </i>
    <i>
      <x v="38"/>
    </i>
    <i>
      <x v="148"/>
    </i>
    <i>
      <x v="145"/>
    </i>
    <i>
      <x v="71"/>
    </i>
    <i>
      <x v="119"/>
    </i>
    <i>
      <x v="132"/>
    </i>
    <i>
      <x v="141"/>
    </i>
    <i>
      <x v="64"/>
    </i>
    <i>
      <x v="130"/>
    </i>
    <i>
      <x v="28"/>
    </i>
    <i>
      <x v="66"/>
    </i>
    <i>
      <x v="73"/>
    </i>
    <i>
      <x v="142"/>
    </i>
    <i>
      <x v="27"/>
    </i>
    <i>
      <x v="95"/>
    </i>
    <i>
      <x v="14"/>
    </i>
    <i>
      <x v="106"/>
    </i>
    <i>
      <x v="159"/>
    </i>
    <i>
      <x v="46"/>
    </i>
    <i>
      <x v="87"/>
    </i>
    <i>
      <x v="155"/>
    </i>
    <i>
      <x v="117"/>
    </i>
    <i>
      <x v="17"/>
    </i>
    <i>
      <x v="129"/>
    </i>
    <i>
      <x v="90"/>
    </i>
    <i>
      <x v="12"/>
    </i>
    <i>
      <x v="78"/>
    </i>
    <i>
      <x v="166"/>
    </i>
    <i>
      <x v="170"/>
    </i>
    <i>
      <x v="5"/>
    </i>
    <i>
      <x v="43"/>
    </i>
    <i>
      <x v="137"/>
    </i>
    <i>
      <x v="98"/>
    </i>
    <i>
      <x v="39"/>
    </i>
    <i>
      <x v="171"/>
    </i>
    <i>
      <x v="177"/>
    </i>
    <i>
      <x v="15"/>
    </i>
    <i>
      <x v="41"/>
    </i>
    <i>
      <x v="103"/>
    </i>
    <i>
      <x v="113"/>
    </i>
    <i>
      <x v="48"/>
    </i>
    <i>
      <x v="124"/>
    </i>
    <i>
      <x v="127"/>
    </i>
    <i>
      <x v="69"/>
    </i>
    <i>
      <x v="131"/>
    </i>
    <i>
      <x v="146"/>
    </i>
    <i>
      <x v="70"/>
    </i>
    <i>
      <x v="116"/>
    </i>
    <i>
      <x v="65"/>
    </i>
    <i>
      <x v="150"/>
    </i>
    <i>
      <x v="45"/>
    </i>
    <i>
      <x v="10"/>
    </i>
    <i>
      <x v="29"/>
    </i>
    <i>
      <x v="1"/>
    </i>
    <i>
      <x v="8"/>
    </i>
    <i>
      <x v="35"/>
    </i>
    <i>
      <x v="135"/>
    </i>
    <i>
      <x v="109"/>
    </i>
    <i>
      <x v="61"/>
    </i>
    <i>
      <x v="55"/>
    </i>
    <i>
      <x v="125"/>
    </i>
    <i>
      <x v="168"/>
    </i>
    <i>
      <x v="101"/>
    </i>
    <i>
      <x v="22"/>
    </i>
    <i>
      <x v="60"/>
    </i>
    <i>
      <x v="53"/>
    </i>
    <i>
      <x v="4"/>
    </i>
    <i>
      <x v="62"/>
    </i>
    <i>
      <x v="169"/>
    </i>
    <i>
      <x v="16"/>
    </i>
    <i>
      <x v="6"/>
    </i>
    <i>
      <x v="105"/>
    </i>
    <i>
      <x v="92"/>
    </i>
    <i>
      <x v="173"/>
    </i>
    <i>
      <x v="104"/>
    </i>
    <i>
      <x v="149"/>
    </i>
    <i>
      <x v="31"/>
    </i>
    <i>
      <x v="44"/>
    </i>
    <i>
      <x v="82"/>
    </i>
    <i>
      <x v="59"/>
    </i>
    <i>
      <x v="176"/>
    </i>
    <i>
      <x v="34"/>
    </i>
    <i>
      <x v="47"/>
    </i>
    <i>
      <x v="58"/>
    </i>
    <i>
      <x v="19"/>
    </i>
    <i>
      <x v="147"/>
    </i>
    <i>
      <x v="157"/>
    </i>
    <i>
      <x v="161"/>
    </i>
    <i>
      <x v="158"/>
    </i>
    <i>
      <x v="164"/>
    </i>
    <i>
      <x v="23"/>
    </i>
    <i>
      <x v="114"/>
    </i>
    <i>
      <x v="167"/>
    </i>
    <i>
      <x v="178"/>
    </i>
    <i>
      <x v="165"/>
    </i>
    <i>
      <x v="20"/>
    </i>
    <i>
      <x v="93"/>
    </i>
    <i>
      <x v="21"/>
    </i>
    <i>
      <x v="151"/>
    </i>
    <i>
      <x v="36"/>
    </i>
    <i>
      <x v="107"/>
    </i>
    <i>
      <x v="89"/>
    </i>
    <i>
      <x v="175"/>
    </i>
    <i>
      <x v="163"/>
    </i>
    <i>
      <x v="139"/>
    </i>
    <i>
      <x v="40"/>
    </i>
    <i>
      <x v="99"/>
    </i>
    <i>
      <x v="77"/>
    </i>
    <i>
      <x v="50"/>
    </i>
    <i>
      <x v="2"/>
    </i>
    <i>
      <x v="143"/>
    </i>
    <i>
      <x v="63"/>
    </i>
    <i>
      <x v="79"/>
    </i>
    <i>
      <x v="111"/>
    </i>
    <i>
      <x v="128"/>
    </i>
    <i>
      <x v="86"/>
    </i>
    <i>
      <x v="153"/>
    </i>
    <i>
      <x v="56"/>
    </i>
    <i>
      <x v="108"/>
    </i>
    <i>
      <x v="81"/>
    </i>
    <i>
      <x v="72"/>
    </i>
    <i>
      <x v="85"/>
    </i>
    <i>
      <x v="118"/>
    </i>
    <i>
      <x v="110"/>
    </i>
    <i>
      <x v="154"/>
    </i>
    <i>
      <x v="25"/>
    </i>
    <i>
      <x v="94"/>
    </i>
    <i>
      <x v="80"/>
    </i>
    <i>
      <x v="52"/>
    </i>
    <i>
      <x v="32"/>
    </i>
    <i>
      <x v="91"/>
    </i>
    <i>
      <x v="138"/>
    </i>
    <i>
      <x v="134"/>
    </i>
    <i>
      <x v="156"/>
    </i>
    <i>
      <x v="133"/>
    </i>
    <i>
      <x v="30"/>
    </i>
    <i>
      <x v="24"/>
    </i>
    <i>
      <x v="121"/>
    </i>
    <i>
      <x v="33"/>
    </i>
    <i>
      <x v="3"/>
    </i>
    <i>
      <x v="42"/>
    </i>
    <i>
      <x v="140"/>
    </i>
    <i>
      <x v="7"/>
    </i>
    <i>
      <x v="172"/>
    </i>
    <i>
      <x v="76"/>
    </i>
    <i>
      <x v="102"/>
    </i>
    <i>
      <x v="152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70" hier="1" name="[Dim CFO Simple].[CFOID].[All]" cap="All"/>
    <pageField fld="71" hier="40" name="[Dim Market For Strategic].[Market For Strategic ID].&amp;[6]" cap="Европейские рынки"/>
    <pageField fld="22" hier="8" name="[Dim Clearance Date].[Year].[All]" cap="All"/>
    <pageField fld="27" hier="115" name="[Dim TMC].[TMC_KPI].[All]" cap="All"/>
    <pageField fld="23" hier="5" name="[Dim Clearance Date].[Month].&amp;[2024-10-01T00:00:00]" cap="Октябрь 2024"/>
  </pageFields>
  <dataFields count="4">
    <dataField fld="60" baseField="0" baseItem="0"/>
    <dataField name="Ф_UCH_Доход" fld="72" baseField="0" baseItem="0"/>
    <dataField name="Доля Ф_UCH_Доход %" fld="74" showDataAs="percentOfCol" baseField="63" baseItem="0" numFmtId="10">
      <extLst>
        <ext xmlns:x14="http://schemas.microsoft.com/office/spreadsheetml/2009/9/main" uri="{E15A36E0-9728-4e99-A89B-3F7291B0FE68}">
          <x14:dataField sourceField="72" uniqueName="[__Xl2].[Measures].[Sales SUM Base Currency Fact]"/>
        </ext>
      </extLst>
    </dataField>
    <dataField fld="73" baseField="0" baseItem="0"/>
  </dataFields>
  <formats count="8">
    <format dxfId="10">
      <pivotArea outline="0" collapsedLevelsAreSubtotals="1" fieldPosition="0"/>
    </format>
    <format dxfId="9">
      <pivotArea field="61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outline="0" fieldPosition="0">
        <references count="1">
          <reference field="4294967294" count="1">
            <x v="2"/>
          </reference>
        </references>
      </pivotArea>
    </format>
    <format dxfId="6">
      <pivotArea field="61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">
      <pivotArea field="61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57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/>
    <pivotHierarchy/>
    <pivotHierarchy/>
    <pivotHierarchy/>
    <pivotHierarchy multipleItemSelectionAllowed="1">
      <mps count="1">
        <mp field="24"/>
      </mps>
      <members count="3" level="1">
        <member name="[Dim Clearance Date].[Month].&amp;[2024-10-01T00:00:00]"/>
        <member name="[Dim Clearance Date].[Month].&amp;[2024-11-01T00:00:00]"/>
        <member name="[Dim Clearance Date].[Month].&amp;[2024-12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 multipleItemSelectionAllowed="1">
      <members count="2" level="1">
        <member name="[Dim Market For Strategic].[Market For Strategic ID].&amp;[6]"/>
        <member name="[Dim Market For Strategic].[Market For Strategic ID].&amp;[7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Ф_UCH_Доход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0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4" cacheId="320" applyNumberFormats="0" applyBorderFormats="0" applyFontFormats="0" applyPatternFormats="0" applyAlignmentFormats="0" applyWidthHeightFormats="1" dataCaption="Значения" updatedVersion="6" minRefreshableVersion="3" subtotalHiddenItems="1" rowGrandTotals="0" colGrandTotals="0" itemPrintTitles="1" createdVersion="4" indent="0" outline="1" outlineData="1" multipleFieldFilters="0" fieldListSortAscending="1">
  <location ref="A10:E16" firstHeaderRow="0" firstDataRow="1" firstDataCol="1" rowPageCount="5" colPageCount="1"/>
  <pivotFields count="75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xis="axisPage" allDrilled="1" showAll="0" sortType="descending" defaultAttributeDrillState="1">
      <items count="1"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Row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7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61" hier="103" name="[Dim TMC].[TMC Line Model].[All]" cap="All"/>
    <pageField fld="71" hier="40" name="[Dim Market For Strategic].[Market For Strategic ID].&amp;[2]" cap="Рынок Украина"/>
    <pageField fld="22" hier="8" name="[Dim Clearance Date].[Year].[All]" cap="All"/>
    <pageField fld="27" hier="115" name="[Dim TMC].[TMC_KPI].[All]" cap="All"/>
    <pageField fld="23" hier="5" name="[Dim Clearance Date].[Month].&amp;[2023-07-01T00:00:00]" cap="Июль 2023"/>
  </pageFields>
  <dataFields count="4">
    <dataField fld="60" baseField="0" baseItem="0"/>
    <dataField name="Ф_UCH_Доход" fld="72" baseField="0" baseItem="0"/>
    <dataField name="Доля Ф_UCH_Доход %" fld="74" showDataAs="percentOfCol" baseField="63" baseItem="0" numFmtId="10">
      <extLst>
        <ext xmlns:x14="http://schemas.microsoft.com/office/spreadsheetml/2009/9/main" uri="{E15A36E0-9728-4e99-A89B-3F7291B0FE68}">
          <x14:dataField sourceField="72" uniqueName="[__Xl2].[Measures].[Sales SUM Base Currency Fact]"/>
        </ext>
      </extLst>
    </dataField>
    <dataField fld="73" baseField="0" baseItem="0"/>
  </dataFields>
  <formats count="8">
    <format dxfId="18">
      <pivotArea outline="0" collapsedLevelsAreSubtotals="1" fieldPosition="0"/>
    </format>
    <format dxfId="17">
      <pivotArea field="61" type="button" dataOnly="0" labelOnly="1" outline="0" axis="axisPage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outline="0" fieldPosition="0">
        <references count="1">
          <reference field="4294967294" count="1">
            <x v="2"/>
          </reference>
        </references>
      </pivotArea>
    </format>
    <format dxfId="14">
      <pivotArea field="61" type="button" dataOnly="0" labelOnly="1" outline="0" axis="axisPage" fieldPosition="0"/>
    </format>
    <format dxfId="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">
      <pivotArea field="61" type="button" dataOnly="0" labelOnly="1" outline="0" axis="axisPage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57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>
      <members count="32" level="1">
        <member name="[Dim CFO Simple].[CFOID].&amp;[584]"/>
        <member name="[Dim CFO Simple].[CFOID].&amp;[585]"/>
        <member name="[Dim CFO Simple].[CFOID].&amp;[586]"/>
        <member name=""/>
        <member name=""/>
        <member name=""/>
        <member name="[Dim CFO Simple].[CFOID].&amp;[590]"/>
        <member name="[Dim CFO Simple].[CFOID].&amp;[610]"/>
        <member name="[Dim CFO Simple].[CFOID].&amp;[655]"/>
        <member name="[Dim CFO Simple].[CFOID].&amp;[702]"/>
        <member name=""/>
        <member name="[Dim CFO Simple].[CFOID].&amp;[758]"/>
        <member name="[Dim CFO Simple].[CFOID].&amp;[789]"/>
        <member name="[Dim CFO Simple].[CFOID].&amp;[790]"/>
        <member name="[Dim CFO Simple].[CFOID].&amp;[879]"/>
        <member name="[Dim CFO Simple].[CFOID].&amp;[936]"/>
        <member name="[Dim CFO Simple].[CFOID].&amp;[945]"/>
        <member name="[Dim CFO Simple].[CFOID].&amp;[973]"/>
        <member name="[Dim CFO Simple].[CFOID].&amp;[1009]"/>
        <member name="[Dim CFO Simple].[CFOID].&amp;[1016]"/>
        <member name="[Dim CFO Simple].[CFOID].&amp;[1019]"/>
        <member name="[Dim CFO Simple].[CFOID].&amp;[1040]"/>
        <member name=""/>
        <member name="[Dim CFO Simple].[CFOID].&amp;[1060]"/>
        <member name=""/>
        <member name="[Dim CFO Simple].[CFOID].&amp;[1150]"/>
        <member name="[Dim CFO Simple].[CFOID].&amp;[1151]"/>
        <member name="[Dim CFO Simple].[CFOID].&amp;[1152]"/>
        <member name="[Dim CFO Simple].[CFOID].&amp;[1315]"/>
        <member name="[Dim CFO Simple].[CFOID].&amp;[1355]"/>
        <member name="[Dim CFO Simple].[CFOID].&amp;[1356]"/>
        <member name="[Dim CFO Simple].[CFOID].&amp;[1357]"/>
      </members>
    </pivotHierarchy>
    <pivotHierarchy/>
    <pivotHierarchy/>
    <pivotHierarchy/>
    <pivotHierarchy multipleItemSelectionAllowed="1">
      <mps count="1">
        <mp field="24"/>
      </mps>
      <members count="6" level="1">
        <member name="[Dim Clearance Date].[Month].&amp;[2023-07-01T00:00:00]"/>
        <member name="[Dim Clearance Date].[Month].&amp;[2023-08-01T00:00:00]"/>
        <member name="[Dim Clearance Date].[Month].&amp;[2023-09-01T00:00:00]"/>
        <member name="[Dim Clearance Date].[Month].&amp;[2023-10-01T00:00:00]"/>
        <member name="[Dim Clearance Date].[Month].&amp;[2023-11-01T00:00:00]"/>
        <member name="[Dim Clearance Date].[Month].&amp;[2023-12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Ф_UCH_Доход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7" cacheId="323" applyNumberFormats="0" applyBorderFormats="0" applyFontFormats="0" applyPatternFormats="0" applyAlignmentFormats="0" applyWidthHeightFormats="1" dataCaption="Значения" updatedVersion="6" minRefreshableVersion="3" subtotalHiddenItems="1" rowGrandTotals="0" colGrandTotals="0" itemPrintTitles="1" createdVersion="4" indent="0" outline="1" outlineData="1" multipleFieldFilters="0" fieldListSortAscending="1">
  <location ref="AB10:AF18" firstHeaderRow="0" firstDataRow="1" firstDataCol="1" rowPageCount="5" colPageCount="1"/>
  <pivotFields count="75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xis="axisPage" allDrilled="1" showAll="0" sortType="descending" defaultAttributeDrillState="1">
      <items count="1"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Row" allDrilled="1" showAll="0" dataSourceSort="1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7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61" hier="103" name="[Dim TMC].[TMC Line Model].[All]" cap="All"/>
    <pageField fld="71" hier="40" name="[Dim Market For Strategic].[Market For Strategic ID].&amp;[2]" cap="Рынок Украина"/>
    <pageField fld="22" hier="8" name="[Dim Clearance Date].[Year].[All]" cap="All"/>
    <pageField fld="27" hier="115" name="[Dim TMC].[TMC_KPI].[All]" cap="All"/>
    <pageField fld="23" hier="5" name="[Dim Clearance Date].[Month].&amp;[2025-01-01T00:00:00]" cap="Январь 2025"/>
  </pageFields>
  <dataFields count="4">
    <dataField fld="60" baseField="0" baseItem="0"/>
    <dataField name="Ф_UCH_Доход" fld="72" baseField="0" baseItem="0"/>
    <dataField name="Доля Ф_UCH_Доход %" fld="74" showDataAs="percentOfCol" baseField="63" baseItem="0" numFmtId="10">
      <extLst>
        <ext xmlns:x14="http://schemas.microsoft.com/office/spreadsheetml/2009/9/main" uri="{E15A36E0-9728-4e99-A89B-3F7291B0FE68}">
          <x14:dataField sourceField="72" uniqueName="[__Xl2].[Measures].[Sales SUM Base Currency Fact]"/>
        </ext>
      </extLst>
    </dataField>
    <dataField fld="73" baseField="0" baseItem="0"/>
  </dataFields>
  <formats count="8">
    <format dxfId="26">
      <pivotArea outline="0" collapsedLevelsAreSubtotals="1" fieldPosition="0"/>
    </format>
    <format dxfId="25">
      <pivotArea field="61" type="button" dataOnly="0" labelOnly="1" outline="0" axis="axisPage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outline="0" fieldPosition="0">
        <references count="1">
          <reference field="4294967294" count="1">
            <x v="2"/>
          </reference>
        </references>
      </pivotArea>
    </format>
    <format dxfId="22">
      <pivotArea field="61" type="button" dataOnly="0" labelOnly="1" outline="0" axis="axisPage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">
      <pivotArea field="61" type="button" dataOnly="0" labelOnly="1" outline="0" axis="axisPage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57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>
      <members count="32" level="1">
        <member name="[Dim CFO Simple].[CFOID].&amp;[584]"/>
        <member name="[Dim CFO Simple].[CFOID].&amp;[585]"/>
        <member name="[Dim CFO Simple].[CFOID].&amp;[586]"/>
        <member name=""/>
        <member name=""/>
        <member name=""/>
        <member name="[Dim CFO Simple].[CFOID].&amp;[590]"/>
        <member name="[Dim CFO Simple].[CFOID].&amp;[610]"/>
        <member name="[Dim CFO Simple].[CFOID].&amp;[655]"/>
        <member name="[Dim CFO Simple].[CFOID].&amp;[702]"/>
        <member name=""/>
        <member name="[Dim CFO Simple].[CFOID].&amp;[758]"/>
        <member name="[Dim CFO Simple].[CFOID].&amp;[789]"/>
        <member name="[Dim CFO Simple].[CFOID].&amp;[790]"/>
        <member name="[Dim CFO Simple].[CFOID].&amp;[879]"/>
        <member name="[Dim CFO Simple].[CFOID].&amp;[936]"/>
        <member name="[Dim CFO Simple].[CFOID].&amp;[945]"/>
        <member name="[Dim CFO Simple].[CFOID].&amp;[973]"/>
        <member name="[Dim CFO Simple].[CFOID].&amp;[1009]"/>
        <member name="[Dim CFO Simple].[CFOID].&amp;[1016]"/>
        <member name="[Dim CFO Simple].[CFOID].&amp;[1019]"/>
        <member name="[Dim CFO Simple].[CFOID].&amp;[1040]"/>
        <member name=""/>
        <member name="[Dim CFO Simple].[CFOID].&amp;[1060]"/>
        <member name=""/>
        <member name="[Dim CFO Simple].[CFOID].&amp;[1150]"/>
        <member name="[Dim CFO Simple].[CFOID].&amp;[1151]"/>
        <member name="[Dim CFO Simple].[CFOID].&amp;[1152]"/>
        <member name="[Dim CFO Simple].[CFOID].&amp;[1315]"/>
        <member name=""/>
        <member name=""/>
        <member name=""/>
      </members>
    </pivotHierarchy>
    <pivotHierarchy/>
    <pivotHierarchy/>
    <pivotHierarchy/>
    <pivotHierarchy multipleItemSelectionAllowed="1">
      <mps count="1">
        <mp field="24"/>
      </mps>
      <members count="6" level="1">
        <member name="[Dim Clearance Date].[Month].&amp;[2025-01-01T00:00:00]"/>
        <member name="[Dim Clearance Date].[Month].&amp;[2025-02-01T00:00:00]"/>
        <member name="[Dim Clearance Date].[Month].&amp;[2025-03-01T00:00:00]"/>
        <member name="[Dim Clearance Date].[Month].&amp;[2025-04-01T00:00:00]"/>
        <member name="[Dim Clearance Date].[Month].&amp;[2025-05-01T00:00:00]"/>
        <member name="[Dim Clearance Date].[Month].&amp;[2025-06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Ф_UCH_Доход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6" cacheId="322" applyNumberFormats="0" applyBorderFormats="0" applyFontFormats="0" applyPatternFormats="0" applyAlignmentFormats="0" applyWidthHeightFormats="1" dataCaption="Значения" updatedVersion="6" minRefreshableVersion="3" subtotalHiddenItems="1" rowGrandTotals="0" colGrandTotals="0" itemPrintTitles="1" createdVersion="4" indent="0" outline="1" outlineData="1" multipleFieldFilters="0" fieldListSortAscending="1">
  <location ref="S10:W16" firstHeaderRow="0" firstDataRow="1" firstDataCol="1" rowPageCount="5" colPageCount="1"/>
  <pivotFields count="75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xis="axisPage" allDrilled="1" showAll="0" sortType="descending" defaultAttributeDrillState="1">
      <items count="1"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Row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7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61" hier="103" name="[Dim TMC].[TMC Line Model].[All]" cap="All"/>
    <pageField fld="71" hier="40" name="[Dim Market For Strategic].[Market For Strategic ID].&amp;[2]" cap="Рынок Украина"/>
    <pageField fld="22" hier="8" name="[Dim Clearance Date].[Year].[All]" cap="All"/>
    <pageField fld="27" hier="115" name="[Dim TMC].[TMC_KPI].[All]" cap="All"/>
    <pageField fld="23" hier="5" name="[Dim Clearance Date].[Month].&amp;[2024-07-01T00:00:00]" cap="Июль 2024"/>
  </pageFields>
  <dataFields count="4">
    <dataField fld="60" baseField="0" baseItem="0"/>
    <dataField name="Ф_UCH_Доход" fld="72" baseField="0" baseItem="0"/>
    <dataField name="Доля Ф_UCH_Доход %" fld="74" showDataAs="percentOfCol" baseField="63" baseItem="0" numFmtId="10">
      <extLst>
        <ext xmlns:x14="http://schemas.microsoft.com/office/spreadsheetml/2009/9/main" uri="{E15A36E0-9728-4e99-A89B-3F7291B0FE68}">
          <x14:dataField sourceField="72" uniqueName="[__Xl2].[Measures].[Sales SUM Base Currency Fact]"/>
        </ext>
      </extLst>
    </dataField>
    <dataField fld="73" baseField="0" baseItem="0"/>
  </dataFields>
  <formats count="8">
    <format dxfId="34">
      <pivotArea outline="0" collapsedLevelsAreSubtotals="1" fieldPosition="0"/>
    </format>
    <format dxfId="33">
      <pivotArea field="61" type="button" dataOnly="0" labelOnly="1" outline="0" axis="axisPage" fieldPosition="0"/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outline="0" fieldPosition="0">
        <references count="1">
          <reference field="4294967294" count="1">
            <x v="2"/>
          </reference>
        </references>
      </pivotArea>
    </format>
    <format dxfId="30">
      <pivotArea field="61" type="button" dataOnly="0" labelOnly="1" outline="0" axis="axisPage" fieldPosition="0"/>
    </format>
    <format dxfId="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">
      <pivotArea field="61" type="button" dataOnly="0" labelOnly="1" outline="0" axis="axisPage" fieldPosition="0"/>
    </format>
    <format dxfId="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57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>
      <members count="32" level="1">
        <member name="[Dim CFO Simple].[CFOID].&amp;[584]"/>
        <member name="[Dim CFO Simple].[CFOID].&amp;[585]"/>
        <member name="[Dim CFO Simple].[CFOID].&amp;[586]"/>
        <member name=""/>
        <member name=""/>
        <member name=""/>
        <member name="[Dim CFO Simple].[CFOID].&amp;[590]"/>
        <member name="[Dim CFO Simple].[CFOID].&amp;[610]"/>
        <member name="[Dim CFO Simple].[CFOID].&amp;[655]"/>
        <member name="[Dim CFO Simple].[CFOID].&amp;[702]"/>
        <member name=""/>
        <member name="[Dim CFO Simple].[CFOID].&amp;[758]"/>
        <member name="[Dim CFO Simple].[CFOID].&amp;[789]"/>
        <member name="[Dim CFO Simple].[CFOID].&amp;[790]"/>
        <member name="[Dim CFO Simple].[CFOID].&amp;[879]"/>
        <member name="[Dim CFO Simple].[CFOID].&amp;[936]"/>
        <member name="[Dim CFO Simple].[CFOID].&amp;[945]"/>
        <member name="[Dim CFO Simple].[CFOID].&amp;[973]"/>
        <member name="[Dim CFO Simple].[CFOID].&amp;[1009]"/>
        <member name="[Dim CFO Simple].[CFOID].&amp;[1016]"/>
        <member name="[Dim CFO Simple].[CFOID].&amp;[1019]"/>
        <member name="[Dim CFO Simple].[CFOID].&amp;[1040]"/>
        <member name=""/>
        <member name="[Dim CFO Simple].[CFOID].&amp;[1060]"/>
        <member name=""/>
        <member name="[Dim CFO Simple].[CFOID].&amp;[1150]"/>
        <member name="[Dim CFO Simple].[CFOID].&amp;[1151]"/>
        <member name="[Dim CFO Simple].[CFOID].&amp;[1152]"/>
        <member name="[Dim CFO Simple].[CFOID].&amp;[1315]"/>
        <member name="[Dim CFO Simple].[CFOID].&amp;[1355]"/>
        <member name="[Dim CFO Simple].[CFOID].&amp;[1356]"/>
        <member name="[Dim CFO Simple].[CFOID].&amp;[1357]"/>
      </members>
    </pivotHierarchy>
    <pivotHierarchy/>
    <pivotHierarchy/>
    <pivotHierarchy/>
    <pivotHierarchy multipleItemSelectionAllowed="1">
      <mps count="1">
        <mp field="24"/>
      </mps>
      <members count="6" level="1">
        <member name="[Dim Clearance Date].[Month].&amp;[2024-07-01T00:00:00]"/>
        <member name="[Dim Clearance Date].[Month].&amp;[2024-08-01T00:00:00]"/>
        <member name="[Dim Clearance Date].[Month].&amp;[2024-09-01T00:00:00]"/>
        <member name="[Dim Clearance Date].[Month].&amp;[2024-10-01T00:00:00]"/>
        <member name="[Dim Clearance Date].[Month].&amp;[2024-11-01T00:00:00]"/>
        <member name="[Dim Clearance Date].[Month].&amp;[2024-12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Ф_UCH_Доход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2" cacheId="326" applyNumberFormats="0" applyBorderFormats="0" applyFontFormats="0" applyPatternFormats="0" applyAlignmentFormats="0" applyWidthHeightFormats="1" dataCaption="Значения" updatedVersion="6" minRefreshableVersion="3" subtotalHiddenItems="1" rowGrandTotals="0" colGrandTotals="0" itemPrintTitles="1" createdVersion="4" indent="0" outline="1" outlineData="1" multipleFieldFilters="0" fieldListSortAscending="1">
  <location ref="S26:W311" firstHeaderRow="0" firstDataRow="1" firstDataCol="1" rowPageCount="5" colPageCount="1"/>
  <pivotFields count="75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xis="axisRow" allDrilled="1" showAll="0" sortType="descending" defaultAttributeDrillState="1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1"/>
  </rowFields>
  <rowItems count="285">
    <i>
      <x v="97"/>
    </i>
    <i>
      <x v="237"/>
    </i>
    <i>
      <x v="141"/>
    </i>
    <i>
      <x v="3"/>
    </i>
    <i>
      <x v="29"/>
    </i>
    <i>
      <x v="68"/>
    </i>
    <i>
      <x v="228"/>
    </i>
    <i>
      <x v="182"/>
    </i>
    <i>
      <x v="188"/>
    </i>
    <i>
      <x v="24"/>
    </i>
    <i>
      <x v="148"/>
    </i>
    <i>
      <x v="241"/>
    </i>
    <i>
      <x v="17"/>
    </i>
    <i>
      <x v="232"/>
    </i>
    <i>
      <x v="246"/>
    </i>
    <i>
      <x v="174"/>
    </i>
    <i>
      <x v="58"/>
    </i>
    <i>
      <x v="183"/>
    </i>
    <i>
      <x v="184"/>
    </i>
    <i>
      <x v="119"/>
    </i>
    <i>
      <x v="194"/>
    </i>
    <i>
      <x v="52"/>
    </i>
    <i>
      <x v="100"/>
    </i>
    <i>
      <x v="127"/>
    </i>
    <i>
      <x v="198"/>
    </i>
    <i>
      <x v="71"/>
    </i>
    <i>
      <x v="250"/>
    </i>
    <i>
      <x v="221"/>
    </i>
    <i>
      <x v="216"/>
    </i>
    <i>
      <x v="50"/>
    </i>
    <i>
      <x v="149"/>
    </i>
    <i>
      <x v="78"/>
    </i>
    <i>
      <x v="57"/>
    </i>
    <i>
      <x v="139"/>
    </i>
    <i>
      <x v="12"/>
    </i>
    <i>
      <x v="111"/>
    </i>
    <i>
      <x v="115"/>
    </i>
    <i>
      <x v="131"/>
    </i>
    <i>
      <x v="205"/>
    </i>
    <i>
      <x v="195"/>
    </i>
    <i>
      <x/>
    </i>
    <i>
      <x v="157"/>
    </i>
    <i>
      <x v="206"/>
    </i>
    <i>
      <x v="126"/>
    </i>
    <i>
      <x v="11"/>
    </i>
    <i>
      <x v="96"/>
    </i>
    <i>
      <x v="15"/>
    </i>
    <i>
      <x v="28"/>
    </i>
    <i>
      <x v="166"/>
    </i>
    <i>
      <x v="32"/>
    </i>
    <i>
      <x v="203"/>
    </i>
    <i>
      <x v="268"/>
    </i>
    <i>
      <x v="44"/>
    </i>
    <i>
      <x v="169"/>
    </i>
    <i>
      <x v="48"/>
    </i>
    <i>
      <x v="14"/>
    </i>
    <i>
      <x v="55"/>
    </i>
    <i>
      <x v="185"/>
    </i>
    <i>
      <x v="244"/>
    </i>
    <i>
      <x v="138"/>
    </i>
    <i>
      <x v="10"/>
    </i>
    <i>
      <x v="140"/>
    </i>
    <i>
      <x v="77"/>
    </i>
    <i>
      <x v="150"/>
    </i>
    <i>
      <x v="245"/>
    </i>
    <i>
      <x v="204"/>
    </i>
    <i>
      <x v="145"/>
    </i>
    <i>
      <x v="220"/>
    </i>
    <i>
      <x v="40"/>
    </i>
    <i>
      <x v="125"/>
    </i>
    <i>
      <x v="217"/>
    </i>
    <i>
      <x v="76"/>
    </i>
    <i>
      <x v="66"/>
    </i>
    <i>
      <x v="64"/>
    </i>
    <i>
      <x v="8"/>
    </i>
    <i>
      <x v="60"/>
    </i>
    <i>
      <x v="218"/>
    </i>
    <i>
      <x v="116"/>
    </i>
    <i>
      <x v="154"/>
    </i>
    <i>
      <x v="1"/>
    </i>
    <i>
      <x v="39"/>
    </i>
    <i>
      <x v="95"/>
    </i>
    <i>
      <x v="101"/>
    </i>
    <i>
      <x v="90"/>
    </i>
    <i>
      <x v="53"/>
    </i>
    <i>
      <x v="120"/>
    </i>
    <i>
      <x v="45"/>
    </i>
    <i>
      <x v="199"/>
    </i>
    <i>
      <x v="213"/>
    </i>
    <i>
      <x v="223"/>
    </i>
    <i>
      <x v="175"/>
    </i>
    <i>
      <x v="227"/>
    </i>
    <i>
      <x v="173"/>
    </i>
    <i>
      <x v="123"/>
    </i>
    <i>
      <x v="94"/>
    </i>
    <i>
      <x v="69"/>
    </i>
    <i>
      <x v="151"/>
    </i>
    <i>
      <x v="23"/>
    </i>
    <i>
      <x v="202"/>
    </i>
    <i>
      <x v="283"/>
    </i>
    <i>
      <x v="34"/>
    </i>
    <i>
      <x v="72"/>
    </i>
    <i>
      <x v="63"/>
    </i>
    <i>
      <x v="104"/>
    </i>
    <i>
      <x v="132"/>
    </i>
    <i>
      <x v="193"/>
    </i>
    <i>
      <x v="186"/>
    </i>
    <i>
      <x v="114"/>
    </i>
    <i>
      <x v="269"/>
    </i>
    <i>
      <x v="36"/>
    </i>
    <i>
      <x v="261"/>
    </i>
    <i>
      <x v="196"/>
    </i>
    <i>
      <x v="16"/>
    </i>
    <i>
      <x v="85"/>
    </i>
    <i>
      <x v="37"/>
    </i>
    <i>
      <x v="142"/>
    </i>
    <i>
      <x v="161"/>
    </i>
    <i>
      <x v="65"/>
    </i>
    <i>
      <x v="219"/>
    </i>
    <i>
      <x v="2"/>
    </i>
    <i>
      <x v="67"/>
    </i>
    <i>
      <x v="73"/>
    </i>
    <i>
      <x v="277"/>
    </i>
    <i>
      <x v="26"/>
    </i>
    <i>
      <x v="109"/>
    </i>
    <i>
      <x v="25"/>
    </i>
    <i>
      <x v="201"/>
    </i>
    <i>
      <x v="9"/>
    </i>
    <i>
      <x v="162"/>
    </i>
    <i>
      <x v="84"/>
    </i>
    <i>
      <x v="279"/>
    </i>
    <i>
      <x v="270"/>
    </i>
    <i>
      <x v="135"/>
    </i>
    <i>
      <x v="47"/>
    </i>
    <i>
      <x v="190"/>
    </i>
    <i>
      <x v="155"/>
    </i>
    <i>
      <x v="93"/>
    </i>
    <i>
      <x v="266"/>
    </i>
    <i>
      <x v="83"/>
    </i>
    <i>
      <x v="159"/>
    </i>
    <i>
      <x v="208"/>
    </i>
    <i>
      <x v="274"/>
    </i>
    <i>
      <x v="239"/>
    </i>
    <i>
      <x v="230"/>
    </i>
    <i>
      <x v="226"/>
    </i>
    <i>
      <x v="163"/>
    </i>
    <i>
      <x v="33"/>
    </i>
    <i>
      <x v="224"/>
    </i>
    <i>
      <x v="272"/>
    </i>
    <i>
      <x v="210"/>
    </i>
    <i>
      <x v="165"/>
    </i>
    <i>
      <x v="38"/>
    </i>
    <i>
      <x v="144"/>
    </i>
    <i>
      <x v="5"/>
    </i>
    <i>
      <x v="236"/>
    </i>
    <i>
      <x v="70"/>
    </i>
    <i>
      <x v="282"/>
    </i>
    <i>
      <x v="264"/>
    </i>
    <i>
      <x v="281"/>
    </i>
    <i>
      <x v="82"/>
    </i>
    <i>
      <x v="247"/>
    </i>
    <i>
      <x v="273"/>
    </i>
    <i>
      <x v="59"/>
    </i>
    <i>
      <x v="122"/>
    </i>
    <i>
      <x v="248"/>
    </i>
    <i>
      <x v="130"/>
    </i>
    <i>
      <x v="91"/>
    </i>
    <i>
      <x v="262"/>
    </i>
    <i>
      <x v="121"/>
    </i>
    <i>
      <x v="49"/>
    </i>
    <i>
      <x v="98"/>
    </i>
    <i>
      <x v="117"/>
    </i>
    <i>
      <x v="86"/>
    </i>
    <i>
      <x v="284"/>
    </i>
    <i>
      <x v="179"/>
    </i>
    <i>
      <x v="214"/>
    </i>
    <i>
      <x v="99"/>
    </i>
    <i>
      <x v="61"/>
    </i>
    <i>
      <x v="258"/>
    </i>
    <i>
      <x v="136"/>
    </i>
    <i>
      <x v="231"/>
    </i>
    <i>
      <x v="30"/>
    </i>
    <i>
      <x v="137"/>
    </i>
    <i>
      <x v="260"/>
    </i>
    <i>
      <x v="92"/>
    </i>
    <i>
      <x v="158"/>
    </i>
    <i>
      <x v="280"/>
    </i>
    <i>
      <x v="211"/>
    </i>
    <i>
      <x v="265"/>
    </i>
    <i>
      <x v="256"/>
    </i>
    <i>
      <x v="229"/>
    </i>
    <i>
      <x v="167"/>
    </i>
    <i>
      <x v="180"/>
    </i>
    <i>
      <x v="51"/>
    </i>
    <i>
      <x v="80"/>
    </i>
    <i>
      <x v="133"/>
    </i>
    <i>
      <x v="46"/>
    </i>
    <i>
      <x v="110"/>
    </i>
    <i>
      <x v="153"/>
    </i>
    <i>
      <x v="35"/>
    </i>
    <i>
      <x v="103"/>
    </i>
    <i>
      <x v="106"/>
    </i>
    <i>
      <x v="19"/>
    </i>
    <i>
      <x v="129"/>
    </i>
    <i>
      <x v="146"/>
    </i>
    <i>
      <x v="27"/>
    </i>
    <i>
      <x v="18"/>
    </i>
    <i>
      <x v="263"/>
    </i>
    <i>
      <x v="255"/>
    </i>
    <i>
      <x v="170"/>
    </i>
    <i>
      <x v="13"/>
    </i>
    <i>
      <x v="177"/>
    </i>
    <i>
      <x v="215"/>
    </i>
    <i>
      <x v="278"/>
    </i>
    <i>
      <x v="128"/>
    </i>
    <i>
      <x v="249"/>
    </i>
    <i>
      <x v="43"/>
    </i>
    <i>
      <x v="209"/>
    </i>
    <i>
      <x v="89"/>
    </i>
    <i>
      <x v="7"/>
    </i>
    <i>
      <x v="251"/>
    </i>
    <i>
      <x v="200"/>
    </i>
    <i>
      <x v="276"/>
    </i>
    <i>
      <x v="21"/>
    </i>
    <i>
      <x v="20"/>
    </i>
    <i>
      <x v="234"/>
    </i>
    <i>
      <x v="267"/>
    </i>
    <i>
      <x v="118"/>
    </i>
    <i>
      <x v="147"/>
    </i>
    <i>
      <x v="240"/>
    </i>
    <i>
      <x v="134"/>
    </i>
    <i>
      <x v="171"/>
    </i>
    <i>
      <x v="212"/>
    </i>
    <i>
      <x v="6"/>
    </i>
    <i>
      <x v="172"/>
    </i>
    <i>
      <x v="88"/>
    </i>
    <i>
      <x v="156"/>
    </i>
    <i>
      <x v="191"/>
    </i>
    <i>
      <x v="22"/>
    </i>
    <i>
      <x v="160"/>
    </i>
    <i>
      <x v="168"/>
    </i>
    <i>
      <x v="42"/>
    </i>
    <i>
      <x v="259"/>
    </i>
    <i>
      <x v="181"/>
    </i>
    <i>
      <x v="4"/>
    </i>
    <i>
      <x v="271"/>
    </i>
    <i>
      <x v="238"/>
    </i>
    <i>
      <x v="143"/>
    </i>
    <i>
      <x v="75"/>
    </i>
    <i>
      <x v="81"/>
    </i>
    <i>
      <x v="222"/>
    </i>
    <i>
      <x v="275"/>
    </i>
    <i>
      <x v="192"/>
    </i>
    <i>
      <x v="124"/>
    </i>
    <i>
      <x v="87"/>
    </i>
    <i>
      <x v="74"/>
    </i>
    <i>
      <x v="197"/>
    </i>
    <i>
      <x v="207"/>
    </i>
    <i>
      <x v="105"/>
    </i>
    <i>
      <x v="253"/>
    </i>
    <i>
      <x v="56"/>
    </i>
    <i>
      <x v="254"/>
    </i>
    <i>
      <x v="233"/>
    </i>
    <i>
      <x v="107"/>
    </i>
    <i>
      <x v="243"/>
    </i>
    <i>
      <x v="113"/>
    </i>
    <i>
      <x v="79"/>
    </i>
    <i>
      <x v="235"/>
    </i>
    <i>
      <x v="54"/>
    </i>
    <i>
      <x v="108"/>
    </i>
    <i>
      <x v="31"/>
    </i>
    <i>
      <x v="62"/>
    </i>
    <i>
      <x v="176"/>
    </i>
    <i>
      <x v="102"/>
    </i>
    <i>
      <x v="187"/>
    </i>
    <i>
      <x v="164"/>
    </i>
    <i>
      <x v="257"/>
    </i>
    <i>
      <x v="252"/>
    </i>
    <i>
      <x v="189"/>
    </i>
    <i>
      <x v="152"/>
    </i>
    <i>
      <x v="225"/>
    </i>
    <i>
      <x v="112"/>
    </i>
    <i>
      <x v="178"/>
    </i>
    <i>
      <x v="242"/>
    </i>
    <i>
      <x v="41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70" hier="1" name="[Dim CFO Simple].[CFOID].[All]" cap="All"/>
    <pageField fld="71" hier="40" name="[Dim Market For Strategic].[Market For Strategic ID].&amp;[2]" cap="Рынок Украина"/>
    <pageField fld="22" hier="8" name="[Dim Clearance Date].[Year].[All]" cap="All"/>
    <pageField fld="27" hier="115" name="[Dim TMC].[TMC_KPI].[All]" cap="All"/>
    <pageField fld="23" hier="5" name="[Dim Clearance Date].[Month].&amp;[2025-07-01T00:00:00]" cap="Июль 2025"/>
  </pageFields>
  <dataFields count="4">
    <dataField fld="60" baseField="0" baseItem="0"/>
    <dataField name="Ф_UCH_Доход" fld="72" baseField="0" baseItem="0"/>
    <dataField name="Доля Ф_UCH_Доход %" fld="74" showDataAs="percentOfCol" baseField="63" baseItem="0" numFmtId="10">
      <extLst>
        <ext xmlns:x14="http://schemas.microsoft.com/office/spreadsheetml/2009/9/main" uri="{E15A36E0-9728-4e99-A89B-3F7291B0FE68}">
          <x14:dataField sourceField="72" uniqueName="[__Xl2].[Measures].[Sales SUM Base Currency Fact]"/>
        </ext>
      </extLst>
    </dataField>
    <dataField fld="73" baseField="0" baseItem="0"/>
  </dataFields>
  <formats count="8">
    <format dxfId="42">
      <pivotArea outline="0" collapsedLevelsAreSubtotals="1" fieldPosition="0"/>
    </format>
    <format dxfId="41">
      <pivotArea field="61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outline="0" fieldPosition="0">
        <references count="1">
          <reference field="4294967294" count="1">
            <x v="2"/>
          </reference>
        </references>
      </pivotArea>
    </format>
    <format dxfId="38">
      <pivotArea field="61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">
      <pivotArea field="61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57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/>
    <pivotHierarchy/>
    <pivotHierarchy/>
    <pivotHierarchy/>
    <pivotHierarchy multipleItemSelectionAllowed="1">
      <mps count="1">
        <mp field="24"/>
      </mps>
      <members count="3" level="1">
        <member name="[Dim Clearance Date].[Month].&amp;[2025-07-01T00:00:00]"/>
        <member name="[Dim Clearance Date].[Month].&amp;[2025-08-01T00:00:00]"/>
        <member name="[Dim Clearance Date].[Month].&amp;[2025-09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 multipleItemSelectionAllowed="1">
      <members count="1" level="1">
        <member name="[Dim Market For Strategic].[Market For Strategic ID].&amp;[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Ф_UCH_Доход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0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6.xml><?xml version="1.0" encoding="utf-8"?>
<pivotTableDefinition xmlns="http://schemas.openxmlformats.org/spreadsheetml/2006/main" name="Сводная таблица5" cacheId="321" applyNumberFormats="0" applyBorderFormats="0" applyFontFormats="0" applyPatternFormats="0" applyAlignmentFormats="0" applyWidthHeightFormats="1" dataCaption="Значения" updatedVersion="6" minRefreshableVersion="3" subtotalHiddenItems="1" rowGrandTotals="0" colGrandTotals="0" itemPrintTitles="1" createdVersion="4" indent="0" outline="1" outlineData="1" multipleFieldFilters="0" fieldListSortAscending="1">
  <location ref="J10:N16" firstHeaderRow="0" firstDataRow="1" firstDataCol="1" rowPageCount="5" colPageCount="1"/>
  <pivotFields count="75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xis="axisPage" allDrilled="1" showAll="0" sortType="descending" defaultAttributeDrillState="1">
      <items count="1"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Row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7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61" hier="103" name="[Dim TMC].[TMC Line Model].[All]" cap="All"/>
    <pageField fld="71" hier="40" name="[Dim Market For Strategic].[Market For Strategic ID].&amp;[2]" cap="Рынок Украина"/>
    <pageField fld="22" hier="8" name="[Dim Clearance Date].[Year].[All]" cap="All"/>
    <pageField fld="27" hier="115" name="[Dim TMC].[TMC_KPI].[All]" cap="All"/>
    <pageField fld="23" hier="5" name="[Dim Clearance Date].[Month].&amp;[2024-01-01T00:00:00]" cap="Январь 2024"/>
  </pageFields>
  <dataFields count="4">
    <dataField fld="60" baseField="0" baseItem="0"/>
    <dataField name="Ф_UCH_Доход" fld="72" baseField="0" baseItem="0"/>
    <dataField name="Доля Ф_UCH_Доход %" fld="74" showDataAs="percentOfCol" baseField="63" baseItem="0" numFmtId="10">
      <extLst>
        <ext xmlns:x14="http://schemas.microsoft.com/office/spreadsheetml/2009/9/main" uri="{E15A36E0-9728-4e99-A89B-3F7291B0FE68}">
          <x14:dataField sourceField="72" uniqueName="[__Xl2].[Measures].[Sales SUM Base Currency Fact]"/>
        </ext>
      </extLst>
    </dataField>
    <dataField fld="73" baseField="0" baseItem="0"/>
  </dataFields>
  <formats count="8">
    <format dxfId="50">
      <pivotArea outline="0" collapsedLevelsAreSubtotals="1" fieldPosition="0"/>
    </format>
    <format dxfId="49">
      <pivotArea field="61" type="button" dataOnly="0" labelOnly="1" outline="0" axis="axisPage" fieldPosition="0"/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outline="0" fieldPosition="0">
        <references count="1">
          <reference field="4294967294" count="1">
            <x v="2"/>
          </reference>
        </references>
      </pivotArea>
    </format>
    <format dxfId="46">
      <pivotArea field="61" type="button" dataOnly="0" labelOnly="1" outline="0" axis="axisPage" fieldPosition="0"/>
    </format>
    <format dxfId="4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4">
      <pivotArea field="61" type="button" dataOnly="0" labelOnly="1" outline="0" axis="axisPage" fieldPosition="0"/>
    </format>
    <format dxfId="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57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>
      <members count="32" level="1">
        <member name="[Dim CFO Simple].[CFOID].&amp;[584]"/>
        <member name="[Dim CFO Simple].[CFOID].&amp;[585]"/>
        <member name="[Dim CFO Simple].[CFOID].&amp;[586]"/>
        <member name=""/>
        <member name=""/>
        <member name=""/>
        <member name="[Dim CFO Simple].[CFOID].&amp;[590]"/>
        <member name="[Dim CFO Simple].[CFOID].&amp;[610]"/>
        <member name="[Dim CFO Simple].[CFOID].&amp;[655]"/>
        <member name="[Dim CFO Simple].[CFOID].&amp;[702]"/>
        <member name=""/>
        <member name="[Dim CFO Simple].[CFOID].&amp;[758]"/>
        <member name="[Dim CFO Simple].[CFOID].&amp;[789]"/>
        <member name="[Dim CFO Simple].[CFOID].&amp;[790]"/>
        <member name="[Dim CFO Simple].[CFOID].&amp;[879]"/>
        <member name="[Dim CFO Simple].[CFOID].&amp;[936]"/>
        <member name="[Dim CFO Simple].[CFOID].&amp;[945]"/>
        <member name="[Dim CFO Simple].[CFOID].&amp;[973]"/>
        <member name="[Dim CFO Simple].[CFOID].&amp;[1009]"/>
        <member name="[Dim CFO Simple].[CFOID].&amp;[1016]"/>
        <member name="[Dim CFO Simple].[CFOID].&amp;[1019]"/>
        <member name="[Dim CFO Simple].[CFOID].&amp;[1040]"/>
        <member name=""/>
        <member name="[Dim CFO Simple].[CFOID].&amp;[1060]"/>
        <member name=""/>
        <member name="[Dim CFO Simple].[CFOID].&amp;[1150]"/>
        <member name="[Dim CFO Simple].[CFOID].&amp;[1151]"/>
        <member name="[Dim CFO Simple].[CFOID].&amp;[1152]"/>
        <member name="[Dim CFO Simple].[CFOID].&amp;[1315]"/>
        <member name="[Dim CFO Simple].[CFOID].&amp;[1355]"/>
        <member name="[Dim CFO Simple].[CFOID].&amp;[1356]"/>
        <member name="[Dim CFO Simple].[CFOID].&amp;[1357]"/>
      </members>
    </pivotHierarchy>
    <pivotHierarchy/>
    <pivotHierarchy/>
    <pivotHierarchy/>
    <pivotHierarchy multipleItemSelectionAllowed="1">
      <mps count="1">
        <mp field="24"/>
      </mps>
      <members count="6" level="1">
        <member name="[Dim Clearance Date].[Month].&amp;[2024-01-01T00:00:00]"/>
        <member name="[Dim Clearance Date].[Month].&amp;[2024-02-01T00:00:00]"/>
        <member name="[Dim Clearance Date].[Month].&amp;[2024-03-01T00:00:00]"/>
        <member name="[Dim Clearance Date].[Month].&amp;[2024-04-01T00:00:00]"/>
        <member name="[Dim Clearance Date].[Month].&amp;[2024-05-01T00:00:00]"/>
        <member name="[Dim Clearance Date].[Month].&amp;[2024-06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Ф_UCH_Доход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7.xml><?xml version="1.0" encoding="utf-8"?>
<pivotTableDefinition xmlns="http://schemas.openxmlformats.org/spreadsheetml/2006/main" name="Сводная таблица1" cacheId="325" applyNumberFormats="0" applyBorderFormats="0" applyFontFormats="0" applyPatternFormats="0" applyAlignmentFormats="0" applyWidthHeightFormats="1" dataCaption="Значения" updatedVersion="6" minRefreshableVersion="3" subtotalHiddenItems="1" rowGrandTotals="0" colGrandTotals="0" itemPrintTitles="1" createdVersion="4" indent="0" outline="1" outlineData="1" multipleFieldFilters="0" fieldListSortAscending="1">
  <location ref="J26:N308" firstHeaderRow="0" firstDataRow="1" firstDataCol="1" rowPageCount="5" colPageCount="1"/>
  <pivotFields count="75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xis="axisRow" allDrilled="1" showAll="0" sortType="descending" defaultAttributeDrillState="1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1"/>
  </rowFields>
  <rowItems count="282">
    <i>
      <x v="241"/>
    </i>
    <i>
      <x v="100"/>
    </i>
    <i>
      <x v="28"/>
    </i>
    <i>
      <x v="3"/>
    </i>
    <i>
      <x v="142"/>
    </i>
    <i>
      <x v="184"/>
    </i>
    <i>
      <x v="189"/>
    </i>
    <i>
      <x v="232"/>
    </i>
    <i>
      <x v="149"/>
    </i>
    <i>
      <x v="67"/>
    </i>
    <i>
      <x v="246"/>
    </i>
    <i>
      <x v="248"/>
    </i>
    <i>
      <x v="70"/>
    </i>
    <i>
      <x v="119"/>
    </i>
    <i>
      <x v="53"/>
    </i>
    <i>
      <x v="58"/>
    </i>
    <i>
      <x v="249"/>
    </i>
    <i>
      <x v="236"/>
    </i>
    <i>
      <x v="186"/>
    </i>
    <i>
      <x v="23"/>
    </i>
    <i>
      <x v="201"/>
    </i>
    <i>
      <x v="140"/>
    </i>
    <i>
      <x v="16"/>
    </i>
    <i>
      <x v="77"/>
    </i>
    <i>
      <x v="207"/>
    </i>
    <i>
      <x v="103"/>
    </i>
    <i>
      <x v="112"/>
    </i>
    <i>
      <x v="129"/>
    </i>
    <i>
      <x v="231"/>
    </i>
    <i>
      <x v="209"/>
    </i>
    <i>
      <x v="185"/>
    </i>
    <i>
      <x v="57"/>
    </i>
    <i>
      <x v="159"/>
    </i>
    <i>
      <x v="44"/>
    </i>
    <i>
      <x v="253"/>
    </i>
    <i>
      <x v="220"/>
    </i>
    <i>
      <x v="139"/>
    </i>
    <i>
      <x v="128"/>
    </i>
    <i>
      <x v="280"/>
    </i>
    <i>
      <x v="51"/>
    </i>
    <i>
      <x v="115"/>
    </i>
    <i>
      <x v="199"/>
    </i>
    <i>
      <x v="14"/>
    </i>
    <i>
      <x v="55"/>
    </i>
    <i>
      <x v="227"/>
    </i>
    <i>
      <x v="10"/>
    </i>
    <i>
      <x v="65"/>
    </i>
    <i>
      <x v="11"/>
    </i>
    <i>
      <x v="225"/>
    </i>
    <i>
      <x v="197"/>
    </i>
    <i>
      <x v="9"/>
    </i>
    <i>
      <x v="27"/>
    </i>
    <i>
      <x v="210"/>
    </i>
    <i>
      <x v="187"/>
    </i>
    <i>
      <x v="273"/>
    </i>
    <i>
      <x v="180"/>
    </i>
    <i>
      <x v="174"/>
    </i>
    <i>
      <x v="63"/>
    </i>
    <i>
      <x v="156"/>
    </i>
    <i>
      <x v="35"/>
    </i>
    <i>
      <x v="168"/>
    </i>
    <i>
      <x v="133"/>
    </i>
    <i>
      <x v="39"/>
    </i>
    <i>
      <x v="151"/>
    </i>
    <i>
      <x v="33"/>
    </i>
    <i>
      <x v="54"/>
    </i>
    <i>
      <x v="13"/>
    </i>
    <i>
      <x v="172"/>
    </i>
    <i>
      <x v="222"/>
    </i>
    <i>
      <x v="146"/>
    </i>
    <i>
      <x v="191"/>
    </i>
    <i>
      <x v="52"/>
    </i>
    <i>
      <x v="226"/>
    </i>
    <i>
      <x v="208"/>
    </i>
    <i>
      <x v="141"/>
    </i>
    <i>
      <x v="217"/>
    </i>
    <i>
      <x v="91"/>
    </i>
    <i>
      <x v="22"/>
    </i>
    <i>
      <x v="178"/>
    </i>
    <i>
      <x v="150"/>
    </i>
    <i>
      <x v="7"/>
    </i>
    <i>
      <x v="1"/>
    </i>
    <i>
      <x v="120"/>
    </i>
    <i>
      <x v="247"/>
    </i>
    <i>
      <x/>
    </i>
    <i>
      <x v="31"/>
    </i>
    <i>
      <x v="206"/>
    </i>
    <i>
      <x v="48"/>
    </i>
    <i>
      <x v="66"/>
    </i>
    <i>
      <x v="110"/>
    </i>
    <i>
      <x v="264"/>
    </i>
    <i>
      <x v="40"/>
    </i>
    <i>
      <x v="99"/>
    </i>
    <i>
      <x v="68"/>
    </i>
    <i>
      <x v="279"/>
    </i>
    <i>
      <x v="37"/>
    </i>
    <i>
      <x v="188"/>
    </i>
    <i>
      <x v="157"/>
    </i>
    <i>
      <x v="221"/>
    </i>
    <i>
      <x v="107"/>
    </i>
    <i>
      <x v="8"/>
    </i>
    <i>
      <x v="104"/>
    </i>
    <i>
      <x v="97"/>
    </i>
    <i>
      <x v="200"/>
    </i>
    <i>
      <x v="41"/>
    </i>
    <i>
      <x v="196"/>
    </i>
    <i>
      <x v="84"/>
    </i>
    <i>
      <x v="71"/>
    </i>
    <i>
      <x v="85"/>
    </i>
    <i>
      <x v="161"/>
    </i>
    <i>
      <x v="268"/>
    </i>
    <i>
      <x v="24"/>
    </i>
    <i>
      <x v="64"/>
    </i>
    <i>
      <x v="32"/>
    </i>
    <i>
      <x v="45"/>
    </i>
    <i>
      <x v="152"/>
    </i>
    <i>
      <x v="223"/>
    </i>
    <i>
      <x v="72"/>
    </i>
    <i>
      <x v="260"/>
    </i>
    <i>
      <x v="69"/>
    </i>
    <i>
      <x v="79"/>
    </i>
    <i>
      <x v="127"/>
    </i>
    <i>
      <x v="224"/>
    </i>
    <i>
      <x v="198"/>
    </i>
    <i>
      <x v="134"/>
    </i>
    <i>
      <x v="170"/>
    </i>
    <i>
      <x v="203"/>
    </i>
    <i>
      <x v="214"/>
    </i>
    <i>
      <x v="114"/>
    </i>
    <i>
      <x v="102"/>
    </i>
    <i>
      <x v="145"/>
    </i>
    <i>
      <x v="122"/>
    </i>
    <i>
      <x v="34"/>
    </i>
    <i>
      <x v="235"/>
    </i>
    <i>
      <x v="88"/>
    </i>
    <i>
      <x v="138"/>
    </i>
    <i>
      <x v="250"/>
    </i>
    <i>
      <x v="234"/>
    </i>
    <i>
      <x v="49"/>
    </i>
    <i>
      <x v="182"/>
    </i>
    <i>
      <x v="271"/>
    </i>
    <i>
      <x v="136"/>
    </i>
    <i>
      <x v="73"/>
    </i>
    <i>
      <x v="101"/>
    </i>
    <i>
      <x v="82"/>
    </i>
    <i>
      <x v="75"/>
    </i>
    <i>
      <x v="265"/>
    </i>
    <i>
      <x v="25"/>
    </i>
    <i>
      <x v="76"/>
    </i>
    <i>
      <x v="163"/>
    </i>
    <i>
      <x v="155"/>
    </i>
    <i>
      <x v="12"/>
    </i>
    <i>
      <x v="171"/>
    </i>
    <i>
      <x v="218"/>
    </i>
    <i>
      <x v="111"/>
    </i>
    <i>
      <x v="80"/>
    </i>
    <i>
      <x v="244"/>
    </i>
    <i>
      <x v="192"/>
    </i>
    <i>
      <x v="263"/>
    </i>
    <i>
      <x v="251"/>
    </i>
    <i>
      <x v="259"/>
    </i>
    <i>
      <x v="94"/>
    </i>
    <i>
      <x v="173"/>
    </i>
    <i>
      <x v="212"/>
    </i>
    <i>
      <x v="62"/>
    </i>
    <i>
      <x v="164"/>
    </i>
    <i>
      <x v="116"/>
    </i>
    <i>
      <x v="47"/>
    </i>
    <i>
      <x v="278"/>
    </i>
    <i>
      <x v="255"/>
    </i>
    <i>
      <x v="93"/>
    </i>
    <i>
      <x v="272"/>
    </i>
    <i>
      <x v="132"/>
    </i>
    <i>
      <x v="233"/>
    </i>
    <i>
      <x v="274"/>
    </i>
    <i>
      <x v="183"/>
    </i>
    <i>
      <x v="96"/>
    </i>
    <i>
      <x v="237"/>
    </i>
    <i>
      <x v="83"/>
    </i>
    <i>
      <x v="59"/>
    </i>
    <i>
      <x v="243"/>
    </i>
    <i>
      <x v="6"/>
    </i>
    <i>
      <x v="121"/>
    </i>
    <i>
      <x v="36"/>
    </i>
    <i>
      <x v="92"/>
    </i>
    <i>
      <x v="162"/>
    </i>
    <i>
      <x v="2"/>
    </i>
    <i>
      <x v="106"/>
    </i>
    <i>
      <x v="117"/>
    </i>
    <i>
      <x v="167"/>
    </i>
    <i>
      <x v="230"/>
    </i>
    <i>
      <x v="238"/>
    </i>
    <i>
      <x v="267"/>
    </i>
    <i>
      <x v="87"/>
    </i>
    <i>
      <x v="42"/>
    </i>
    <i>
      <x v="46"/>
    </i>
    <i>
      <x v="26"/>
    </i>
    <i>
      <x v="137"/>
    </i>
    <i>
      <x v="15"/>
    </i>
    <i>
      <x v="43"/>
    </i>
    <i>
      <x v="131"/>
    </i>
    <i>
      <x v="113"/>
    </i>
    <i>
      <x v="17"/>
    </i>
    <i>
      <x v="4"/>
    </i>
    <i>
      <x v="118"/>
    </i>
    <i>
      <x v="175"/>
    </i>
    <i>
      <x v="60"/>
    </i>
    <i>
      <x v="276"/>
    </i>
    <i>
      <x v="275"/>
    </i>
    <i>
      <x v="215"/>
    </i>
    <i>
      <x v="213"/>
    </i>
    <i>
      <x v="147"/>
    </i>
    <i>
      <x v="61"/>
    </i>
    <i>
      <x v="181"/>
    </i>
    <i>
      <x v="257"/>
    </i>
    <i>
      <x v="211"/>
    </i>
    <i>
      <x v="270"/>
    </i>
    <i>
      <x v="216"/>
    </i>
    <i>
      <x v="108"/>
    </i>
    <i>
      <x v="179"/>
    </i>
    <i>
      <x v="245"/>
    </i>
    <i>
      <x v="144"/>
    </i>
    <i>
      <x v="109"/>
    </i>
    <i>
      <x v="154"/>
    </i>
    <i>
      <x v="86"/>
    </i>
    <i>
      <x v="165"/>
    </i>
    <i>
      <x v="98"/>
    </i>
    <i>
      <x v="130"/>
    </i>
    <i>
      <x v="269"/>
    </i>
    <i>
      <x v="160"/>
    </i>
    <i>
      <x v="56"/>
    </i>
    <i>
      <x v="219"/>
    </i>
    <i>
      <x v="50"/>
    </i>
    <i>
      <x v="30"/>
    </i>
    <i>
      <x v="74"/>
    </i>
    <i>
      <x v="95"/>
    </i>
    <i>
      <x v="126"/>
    </i>
    <i>
      <x v="135"/>
    </i>
    <i>
      <x v="240"/>
    </i>
    <i>
      <x v="261"/>
    </i>
    <i>
      <x v="90"/>
    </i>
    <i>
      <x v="204"/>
    </i>
    <i>
      <x v="148"/>
    </i>
    <i>
      <x v="239"/>
    </i>
    <i>
      <x v="202"/>
    </i>
    <i>
      <x v="124"/>
    </i>
    <i>
      <x v="5"/>
    </i>
    <i>
      <x v="123"/>
    </i>
    <i>
      <x v="281"/>
    </i>
    <i>
      <x v="105"/>
    </i>
    <i>
      <x v="81"/>
    </i>
    <i>
      <x v="19"/>
    </i>
    <i>
      <x v="20"/>
    </i>
    <i>
      <x v="78"/>
    </i>
    <i>
      <x v="252"/>
    </i>
    <i>
      <x v="195"/>
    </i>
    <i>
      <x v="242"/>
    </i>
    <i>
      <x v="258"/>
    </i>
    <i>
      <x v="193"/>
    </i>
    <i>
      <x v="21"/>
    </i>
    <i>
      <x v="153"/>
    </i>
    <i>
      <x v="176"/>
    </i>
    <i>
      <x v="89"/>
    </i>
    <i>
      <x v="177"/>
    </i>
    <i>
      <x v="190"/>
    </i>
    <i>
      <x v="158"/>
    </i>
    <i>
      <x v="18"/>
    </i>
    <i>
      <x v="266"/>
    </i>
    <i>
      <x v="143"/>
    </i>
    <i>
      <x v="262"/>
    </i>
    <i>
      <x v="254"/>
    </i>
    <i>
      <x v="228"/>
    </i>
    <i>
      <x v="277"/>
    </i>
    <i>
      <x v="205"/>
    </i>
    <i>
      <x v="29"/>
    </i>
    <i>
      <x v="125"/>
    </i>
    <i>
      <x v="229"/>
    </i>
    <i>
      <x v="166"/>
    </i>
    <i>
      <x v="256"/>
    </i>
    <i>
      <x v="38"/>
    </i>
    <i>
      <x v="194"/>
    </i>
    <i>
      <x v="169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70" hier="1" name="[Dim CFO Simple].[CFOID].[All]" cap="All"/>
    <pageField fld="71" hier="40" name="[Dim Market For Strategic].[Market For Strategic ID].&amp;[2]" cap="Рынок Украина"/>
    <pageField fld="22" hier="8" name="[Dim Clearance Date].[Year].[All]" cap="All"/>
    <pageField fld="27" hier="115" name="[Dim TMC].[TMC_KPI].[All]" cap="All"/>
    <pageField fld="23" hier="5" name="[Dim Clearance Date].[Month].&amp;[2025-04-01T00:00:00]" cap="Апрель 2025"/>
  </pageFields>
  <dataFields count="4">
    <dataField fld="60" baseField="0" baseItem="0"/>
    <dataField name="Ф_UCH_Доход" fld="72" baseField="0" baseItem="0"/>
    <dataField name="Доля Ф_UCH_Доход %" fld="74" showDataAs="percentOfCol" baseField="63" baseItem="0" numFmtId="10">
      <extLst>
        <ext xmlns:x14="http://schemas.microsoft.com/office/spreadsheetml/2009/9/main" uri="{E15A36E0-9728-4e99-A89B-3F7291B0FE68}">
          <x14:dataField sourceField="72" uniqueName="[__Xl2].[Measures].[Sales SUM Base Currency Fact]"/>
        </ext>
      </extLst>
    </dataField>
    <dataField fld="73" baseField="0" baseItem="0"/>
  </dataFields>
  <formats count="8">
    <format dxfId="58">
      <pivotArea outline="0" collapsedLevelsAreSubtotals="1" fieldPosition="0"/>
    </format>
    <format dxfId="57">
      <pivotArea field="61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outline="0" fieldPosition="0">
        <references count="1">
          <reference field="4294967294" count="1">
            <x v="2"/>
          </reference>
        </references>
      </pivotArea>
    </format>
    <format dxfId="54">
      <pivotArea field="6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2">
      <pivotArea field="61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57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/>
    <pivotHierarchy/>
    <pivotHierarchy/>
    <pivotHierarchy/>
    <pivotHierarchy multipleItemSelectionAllowed="1">
      <mps count="1">
        <mp field="24"/>
      </mps>
      <members count="3" level="1">
        <member name="[Dim Clearance Date].[Month].&amp;[2025-04-01T00:00:00]"/>
        <member name="[Dim Clearance Date].[Month].&amp;[2025-05-01T00:00:00]"/>
        <member name="[Dim Clearance Date].[Month].&amp;[2025-06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 multipleItemSelectionAllowed="1">
      <members count="1" level="1">
        <member name="[Dim Market For Strategic].[Market For Strategic ID].&amp;[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Ф_UCH_Доход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0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8.xml><?xml version="1.0" encoding="utf-8"?>
<pivotTableDefinition xmlns="http://schemas.openxmlformats.org/spreadsheetml/2006/main" name="Сводная таблица3" cacheId="327" applyNumberFormats="0" applyBorderFormats="0" applyFontFormats="0" applyPatternFormats="0" applyAlignmentFormats="0" applyWidthHeightFormats="1" dataCaption="Значения" updatedVersion="6" minRefreshableVersion="3" subtotalHiddenItems="1" rowGrandTotals="0" colGrandTotals="0" itemPrintTitles="1" createdVersion="4" indent="0" outline="1" outlineData="1" multipleFieldFilters="0" fieldListSortAscending="1">
  <location ref="AB26:AF313" firstHeaderRow="0" firstDataRow="1" firstDataCol="1" rowPageCount="5" colPageCount="1"/>
  <pivotFields count="75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xis="axisRow" allDrilled="1" showAll="0" sortType="descending" defaultAttributeDrillState="1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1"/>
  </rowFields>
  <rowItems count="287">
    <i>
      <x v="103"/>
    </i>
    <i>
      <x v="245"/>
    </i>
    <i>
      <x v="188"/>
    </i>
    <i>
      <x v="254"/>
    </i>
    <i>
      <x v="5"/>
    </i>
    <i>
      <x v="222"/>
    </i>
    <i>
      <x v="258"/>
    </i>
    <i>
      <x v="144"/>
    </i>
    <i>
      <x v="72"/>
    </i>
    <i>
      <x v="250"/>
    </i>
    <i>
      <x v="29"/>
    </i>
    <i>
      <x v="150"/>
    </i>
    <i>
      <x v="236"/>
    </i>
    <i>
      <x v="200"/>
    </i>
    <i>
      <x v="25"/>
    </i>
    <i>
      <x v="62"/>
    </i>
    <i>
      <x v="204"/>
    </i>
    <i>
      <x v="195"/>
    </i>
    <i>
      <x v="240"/>
    </i>
    <i>
      <x v="18"/>
    </i>
    <i>
      <x v="107"/>
    </i>
    <i>
      <x v="75"/>
    </i>
    <i>
      <x v="170"/>
    </i>
    <i>
      <x v="189"/>
    </i>
    <i>
      <x v="190"/>
    </i>
    <i>
      <x v="56"/>
    </i>
    <i>
      <x v="159"/>
    </i>
    <i>
      <x v="123"/>
    </i>
    <i>
      <x v="227"/>
    </i>
    <i>
      <x v="223"/>
    </i>
    <i>
      <x v="211"/>
    </i>
    <i>
      <x v="116"/>
    </i>
    <i>
      <x v="209"/>
    </i>
    <i>
      <x v="131"/>
    </i>
    <i>
      <x v="24"/>
    </i>
    <i>
      <x v="202"/>
    </i>
    <i>
      <x v="151"/>
    </i>
    <i>
      <x v="120"/>
    </i>
    <i>
      <x v="81"/>
    </i>
    <i>
      <x v="31"/>
    </i>
    <i>
      <x v="130"/>
    </i>
    <i>
      <x v="197"/>
    </i>
    <i>
      <x v="147"/>
    </i>
    <i>
      <x v="192"/>
    </i>
    <i>
      <x v="179"/>
    </i>
    <i>
      <x v="16"/>
    </i>
    <i>
      <x v="142"/>
    </i>
    <i>
      <x v="15"/>
    </i>
    <i>
      <x v="253"/>
    </i>
    <i>
      <x v="156"/>
    </i>
    <i>
      <x v="212"/>
    </i>
    <i>
      <x v="9"/>
    </i>
    <i>
      <x v="44"/>
    </i>
    <i>
      <x v="102"/>
    </i>
    <i>
      <x v="12"/>
    </i>
    <i>
      <x v="54"/>
    </i>
    <i>
      <x v="285"/>
    </i>
    <i>
      <x v="70"/>
    </i>
    <i>
      <x v="82"/>
    </i>
    <i>
      <x v="111"/>
    </i>
    <i>
      <x v="11"/>
    </i>
    <i>
      <x v="135"/>
    </i>
    <i>
      <x v="235"/>
    </i>
    <i>
      <x v="50"/>
    </i>
    <i>
      <x v="94"/>
    </i>
    <i>
      <x v="210"/>
    </i>
    <i>
      <x v="143"/>
    </i>
    <i>
      <x v="43"/>
    </i>
    <i>
      <x v="229"/>
    </i>
    <i>
      <x v="28"/>
    </i>
    <i>
      <x v="47"/>
    </i>
    <i>
      <x v="119"/>
    </i>
    <i>
      <x v="61"/>
    </i>
    <i>
      <x v="219"/>
    </i>
    <i>
      <x v="59"/>
    </i>
    <i>
      <x v="121"/>
    </i>
    <i>
      <x/>
    </i>
    <i>
      <x v="57"/>
    </i>
    <i>
      <x v="36"/>
    </i>
    <i>
      <x v="33"/>
    </i>
    <i>
      <x v="2"/>
    </i>
    <i>
      <x v="88"/>
    </i>
    <i>
      <x v="3"/>
    </i>
    <i>
      <x v="73"/>
    </i>
    <i>
      <x v="136"/>
    </i>
    <i>
      <x v="68"/>
    </i>
    <i>
      <x v="34"/>
    </i>
    <i>
      <x v="224"/>
    </i>
    <i>
      <x v="199"/>
    </i>
    <i>
      <x v="13"/>
    </i>
    <i>
      <x v="228"/>
    </i>
    <i>
      <x v="35"/>
    </i>
    <i>
      <x v="193"/>
    </i>
    <i>
      <x v="273"/>
    </i>
    <i>
      <x v="108"/>
    </i>
    <i>
      <x v="42"/>
    </i>
    <i>
      <x v="65"/>
    </i>
    <i>
      <x v="281"/>
    </i>
    <i>
      <x v="71"/>
    </i>
    <i>
      <x v="80"/>
    </i>
    <i>
      <x v="141"/>
    </i>
    <i>
      <x v="173"/>
    </i>
    <i>
      <x v="208"/>
    </i>
    <i>
      <x v="252"/>
    </i>
    <i>
      <x v="238"/>
    </i>
    <i>
      <x v="38"/>
    </i>
    <i>
      <x v="125"/>
    </i>
    <i>
      <x v="48"/>
    </i>
    <i>
      <x v="152"/>
    </i>
    <i>
      <x v="268"/>
    </i>
    <i>
      <x v="124"/>
    </i>
    <i>
      <x v="100"/>
    </i>
    <i>
      <x v="225"/>
    </i>
    <i>
      <x v="114"/>
    </i>
    <i>
      <x v="153"/>
    </i>
    <i>
      <x v="248"/>
    </i>
    <i>
      <x v="64"/>
    </i>
    <i>
      <x v="163"/>
    </i>
    <i>
      <x v="51"/>
    </i>
    <i>
      <x v="10"/>
    </i>
    <i>
      <x v="146"/>
    </i>
    <i>
      <x v="246"/>
    </i>
    <i>
      <x v="284"/>
    </i>
    <i>
      <x v="99"/>
    </i>
    <i>
      <x v="157"/>
    </i>
    <i>
      <x v="96"/>
    </i>
    <i>
      <x v="67"/>
    </i>
    <i>
      <x v="203"/>
    </i>
    <i>
      <x v="77"/>
    </i>
    <i>
      <x v="52"/>
    </i>
    <i>
      <x v="216"/>
    </i>
    <i>
      <x v="41"/>
    </i>
    <i>
      <x v="126"/>
    </i>
    <i>
      <x v="271"/>
    </i>
    <i>
      <x v="276"/>
    </i>
    <i>
      <x v="63"/>
    </i>
    <i>
      <x v="115"/>
    </i>
    <i>
      <x v="55"/>
    </i>
    <i>
      <x v="69"/>
    </i>
    <i>
      <x v="205"/>
    </i>
    <i>
      <x v="26"/>
    </i>
    <i>
      <x v="78"/>
    </i>
    <i>
      <x v="122"/>
    </i>
    <i>
      <x v="129"/>
    </i>
    <i>
      <x v="206"/>
    </i>
    <i>
      <x v="237"/>
    </i>
    <i>
      <x v="220"/>
    </i>
    <i>
      <x v="127"/>
    </i>
    <i>
      <x v="84"/>
    </i>
    <i>
      <x v="217"/>
    </i>
    <i>
      <x v="186"/>
    </i>
    <i>
      <x v="234"/>
    </i>
    <i>
      <x v="214"/>
    </i>
    <i>
      <x v="138"/>
    </i>
    <i>
      <x v="242"/>
    </i>
    <i>
      <x v="162"/>
    </i>
    <i>
      <x v="97"/>
    </i>
    <i>
      <x v="49"/>
    </i>
    <i>
      <x v="14"/>
    </i>
    <i>
      <x v="286"/>
    </i>
    <i>
      <x v="87"/>
    </i>
    <i>
      <x v="175"/>
    </i>
    <i>
      <x v="279"/>
    </i>
    <i>
      <x v="53"/>
    </i>
    <i>
      <x v="185"/>
    </i>
    <i>
      <x v="181"/>
    </i>
    <i>
      <x v="278"/>
    </i>
    <i>
      <x v="239"/>
    </i>
    <i>
      <x v="145"/>
    </i>
    <i>
      <x v="30"/>
    </i>
    <i>
      <x v="267"/>
    </i>
    <i>
      <x v="104"/>
    </i>
    <i>
      <x v="255"/>
    </i>
    <i>
      <x v="280"/>
    </i>
    <i>
      <x v="4"/>
    </i>
    <i>
      <x v="37"/>
    </i>
    <i>
      <x v="172"/>
    </i>
    <i>
      <x v="85"/>
    </i>
    <i>
      <x v="174"/>
    </i>
    <i>
      <x v="17"/>
    </i>
    <i>
      <x v="218"/>
    </i>
    <i>
      <x v="76"/>
    </i>
    <i>
      <x v="79"/>
    </i>
    <i>
      <x v="98"/>
    </i>
    <i>
      <x v="93"/>
    </i>
    <i>
      <x v="274"/>
    </i>
    <i>
      <x v="269"/>
    </i>
    <i>
      <x v="118"/>
    </i>
    <i>
      <x v="128"/>
    </i>
    <i>
      <x v="90"/>
    </i>
    <i>
      <x v="106"/>
    </i>
    <i>
      <x v="256"/>
    </i>
    <i>
      <x v="133"/>
    </i>
    <i>
      <x v="86"/>
    </i>
    <i>
      <x v="8"/>
    </i>
    <i>
      <x v="139"/>
    </i>
    <i>
      <x v="46"/>
    </i>
    <i>
      <x v="194"/>
    </i>
    <i>
      <x v="221"/>
    </i>
    <i>
      <x v="207"/>
    </i>
    <i>
      <x v="92"/>
    </i>
    <i>
      <x v="264"/>
    </i>
    <i>
      <x v="91"/>
    </i>
    <i>
      <x v="140"/>
    </i>
    <i>
      <x v="166"/>
    </i>
    <i>
      <x v="45"/>
    </i>
    <i>
      <x v="263"/>
    </i>
    <i>
      <x v="196"/>
    </i>
    <i>
      <x v="257"/>
    </i>
    <i>
      <x v="169"/>
    </i>
    <i>
      <x v="260"/>
    </i>
    <i>
      <x v="176"/>
    </i>
    <i>
      <x v="184"/>
    </i>
    <i>
      <x v="74"/>
    </i>
    <i>
      <x v="137"/>
    </i>
    <i>
      <x v="241"/>
    </i>
    <i>
      <x v="275"/>
    </i>
    <i>
      <x v="165"/>
    </i>
    <i>
      <x v="83"/>
    </i>
    <i>
      <x v="89"/>
    </i>
    <i>
      <x v="27"/>
    </i>
    <i>
      <x v="183"/>
    </i>
    <i>
      <x v="277"/>
    </i>
    <i>
      <x v="187"/>
    </i>
    <i>
      <x v="230"/>
    </i>
    <i>
      <x v="215"/>
    </i>
    <i>
      <x v="249"/>
    </i>
    <i>
      <x v="95"/>
    </i>
    <i>
      <x v="270"/>
    </i>
    <i>
      <x v="167"/>
    </i>
    <i>
      <x v="161"/>
    </i>
    <i>
      <x v="66"/>
    </i>
    <i>
      <x v="226"/>
    </i>
    <i>
      <x v="244"/>
    </i>
    <i>
      <x v="171"/>
    </i>
    <i>
      <x v="134"/>
    </i>
    <i>
      <x v="231"/>
    </i>
    <i>
      <x v="112"/>
    </i>
    <i>
      <x v="180"/>
    </i>
    <i>
      <x v="272"/>
    </i>
    <i>
      <x v="178"/>
    </i>
    <i>
      <x v="182"/>
    </i>
    <i>
      <x v="60"/>
    </i>
    <i>
      <x v="201"/>
    </i>
    <i>
      <x v="20"/>
    </i>
    <i>
      <x v="158"/>
    </i>
    <i>
      <x v="247"/>
    </i>
    <i>
      <x v="113"/>
    </i>
    <i>
      <x v="177"/>
    </i>
    <i>
      <x v="7"/>
    </i>
    <i>
      <x v="148"/>
    </i>
    <i>
      <x v="149"/>
    </i>
    <i>
      <x v="243"/>
    </i>
    <i>
      <x v="110"/>
    </i>
    <i>
      <x v="164"/>
    </i>
    <i>
      <x v="261"/>
    </i>
    <i>
      <x v="109"/>
    </i>
    <i>
      <x v="233"/>
    </i>
    <i>
      <x v="1"/>
    </i>
    <i>
      <x v="21"/>
    </i>
    <i>
      <x v="32"/>
    </i>
    <i>
      <x v="262"/>
    </i>
    <i>
      <x v="19"/>
    </i>
    <i>
      <x v="22"/>
    </i>
    <i>
      <x v="155"/>
    </i>
    <i>
      <x v="282"/>
    </i>
    <i>
      <x v="39"/>
    </i>
    <i>
      <x v="117"/>
    </i>
    <i>
      <x v="40"/>
    </i>
    <i>
      <x v="160"/>
    </i>
    <i>
      <x v="265"/>
    </i>
    <i>
      <x v="58"/>
    </i>
    <i>
      <x v="251"/>
    </i>
    <i>
      <x v="213"/>
    </i>
    <i>
      <x v="23"/>
    </i>
    <i>
      <x v="101"/>
    </i>
    <i>
      <x v="168"/>
    </i>
    <i>
      <x v="191"/>
    </i>
    <i>
      <x v="198"/>
    </i>
    <i>
      <x v="105"/>
    </i>
    <i>
      <x v="132"/>
    </i>
    <i>
      <x v="6"/>
    </i>
    <i>
      <x v="154"/>
    </i>
    <i>
      <x v="266"/>
    </i>
    <i>
      <x v="283"/>
    </i>
    <i>
      <x v="259"/>
    </i>
    <i>
      <x v="232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70" hier="1" name="[Dim CFO Simple].[CFOID].[All]" cap="All"/>
    <pageField fld="71" hier="40" name="[Dim Market For Strategic].[Market For Strategic ID].&amp;[2]" cap="Рынок Украина"/>
    <pageField fld="22" hier="8" name="[Dim Clearance Date].[Year].[All]" cap="All"/>
    <pageField fld="27" hier="115" name="[Dim TMC].[TMC_KPI].[All]" cap="All"/>
    <pageField fld="23" hier="5" name="[Dim Clearance Date].[Month].&amp;[2025-10-01T00:00:00]" cap="Октябрь 2025"/>
  </pageFields>
  <dataFields count="4">
    <dataField fld="60" baseField="0" baseItem="0"/>
    <dataField name="Ф_UCH_Доход" fld="72" baseField="0" baseItem="0"/>
    <dataField name="Доля Ф_UCH_Доход %" fld="74" showDataAs="percentOfCol" baseField="63" baseItem="0" numFmtId="10">
      <extLst>
        <ext xmlns:x14="http://schemas.microsoft.com/office/spreadsheetml/2009/9/main" uri="{E15A36E0-9728-4e99-A89B-3F7291B0FE68}">
          <x14:dataField sourceField="72" uniqueName="[__Xl2].[Measures].[Sales SUM Base Currency Fact]"/>
        </ext>
      </extLst>
    </dataField>
    <dataField fld="73" baseField="0" baseItem="0"/>
  </dataFields>
  <formats count="8">
    <format dxfId="66">
      <pivotArea outline="0" collapsedLevelsAreSubtotals="1" fieldPosition="0"/>
    </format>
    <format dxfId="65">
      <pivotArea field="61" type="button" dataOnly="0" labelOnly="1" outline="0" axis="axisRow" fieldPosition="0"/>
    </format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outline="0" fieldPosition="0">
        <references count="1">
          <reference field="4294967294" count="1">
            <x v="2"/>
          </reference>
        </references>
      </pivotArea>
    </format>
    <format dxfId="62">
      <pivotArea field="61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0">
      <pivotArea field="61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57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/>
    <pivotHierarchy/>
    <pivotHierarchy/>
    <pivotHierarchy/>
    <pivotHierarchy multipleItemSelectionAllowed="1">
      <mps count="1">
        <mp field="24"/>
      </mps>
      <members count="3" level="1">
        <member name="[Dim Clearance Date].[Month].&amp;[2025-10-01T00:00:00]"/>
        <member name="[Dim Clearance Date].[Month].&amp;[2025-11-01T00:00:00]"/>
        <member name="[Dim Clearance Date].[Month].&amp;[2025-12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 multipleItemSelectionAllowed="1">
      <members count="1" level="1">
        <member name="[Dim Market For Strategic].[Market For Strategic ID].&amp;[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Ф_UCH_Доход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0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9.xml><?xml version="1.0" encoding="utf-8"?>
<pivotTableDefinition xmlns="http://schemas.openxmlformats.org/spreadsheetml/2006/main" name="СводнаяТаблица11" cacheId="328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4" indent="0" outline="1" outlineData="1" multipleFieldFilters="0" fieldListSortAscending="1">
  <location ref="A10:C23" firstHeaderRow="0" firstDataRow="1" firstDataCol="1" rowPageCount="4" colPageCount="1"/>
  <pivotFields count="73">
    <pivotField allDrilled="1" showAll="0" dataSourceSort="1">
      <items count="4">
        <item s="1" c="1" x="0"/>
        <item s="1" c="1" x="1"/>
        <item s="1" c="1" x="2"/>
        <item t="default"/>
      </items>
    </pivotField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>
      <items count="4">
        <item s="1" c="1" x="0"/>
        <item s="1" c="1" x="1"/>
        <item c="1" x="2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sortType="descending" defaultAttributeDrillState="1">
      <items count="22">
        <item s="1" x="19"/>
        <item s="1" x="18"/>
        <item s="1" x="17"/>
        <item s="1" x="16"/>
        <item s="1" x="15"/>
        <item s="1"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/>
        <item s="1" x="20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allDrilled="1" showAll="0" dataSourceSort="1" defaultAttributeDrillState="1">
      <items count="29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4">
    <pageField fld="70" hier="1" name="[Dim CFO Simple].[CFOID].[All]" cap="All"/>
    <pageField fld="71" hier="40" name="[Dim Market For Strategic].[Market For Strategic ID].&amp;[2]" cap="Рынок Украина"/>
    <pageField fld="22" hier="8" name="[Dim Clearance Date].[Year].[All]" cap="All"/>
    <pageField fld="27" hier="115" name="[Dim TMC].[TMC_KPI].[All]" cap="All"/>
  </pageFields>
  <dataFields count="2">
    <dataField fld="60" baseField="0" baseItem="0"/>
    <dataField fld="72" baseField="0" baseItem="0"/>
  </dataFields>
  <formats count="3">
    <format dxfId="2">
      <pivotArea outline="0" collapsedLevelsAreSubtotals="1" fieldPosition="0"/>
    </format>
    <format dxfId="1">
      <pivotArea field="61" type="button" dataOnly="0" labelOnly="1" outline="0"/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1156">
    <pivotHierarchy multipleItemSelectionAllowed="1">
      <mps count="1">
        <mp field="20"/>
      </mps>
      <members count="10" level="1">
        <member name=""/>
        <member name=""/>
        <member name="[Dim CFO].[CFO Parent ID].&amp;[29]"/>
        <member name="[Dim CFO].[CFO Parent ID].&amp;[30]"/>
        <member name="[Dim CFO].[CFO Parent ID].&amp;[92]"/>
        <member name="[Dim CFO].[CFO Parent ID].&amp;[106]"/>
        <member name="[Dim CFO].[CFO Parent ID].&amp;[113]"/>
        <member name="[Dim CFO].[CFO Parent ID].&amp;[282]"/>
        <member name="[Dim CFO].[CFO Parent ID].&amp;[289]"/>
        <member name="[Dim CFO].[CFO Parent ID].[All].UNKNOWNMEMBER"/>
      </members>
      <members count="9" level="2">
        <member name="[Dim CFO].[CFO Parent ID].&amp;[1]"/>
        <member name="[Dim CFO].[CFO Parent ID].&amp;[5]"/>
        <member name="[Dim CFO].[CFO Parent ID].&amp;[26]"/>
        <member name="[Dim CFO].[CFO Parent ID].&amp;[31]"/>
        <member name="[Dim CFO].[CFO Parent ID].&amp;[32]"/>
        <member name="[Dim CFO].[CFO Parent ID].&amp;[97]"/>
        <member name="[Dim CFO].[CFO Parent ID].&amp;[195]"/>
        <member name="[Dim CFO].[CFO Parent ID].&amp;[196]"/>
        <member name="[Dim CFO].[CFO Parent ID].&amp;[74].DATAMEMBER"/>
      </members>
    </pivotHierarchy>
    <pivotHierarchy multipleItemSelectionAllowed="1"/>
    <pivotHierarchy/>
    <pivotHierarchy/>
    <pivotHierarchy/>
    <pivotHierarchy multipleItemSelectionAllowed="1">
      <mps count="1">
        <mp field="2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>
      <mps count="3">
        <mp field="53"/>
        <mp field="54"/>
        <mp field="55"/>
      </mps>
    </pivotHierarchy>
    <pivotHierarchy/>
    <pivotHierarchy multipleItemSelectionAllowed="1"/>
    <pivotHierarchy/>
    <pivotHierarchy/>
    <pivotHierarchy/>
    <pivotHierarchy/>
    <pivotHierarchy/>
    <pivotHierarchy/>
    <pivotHierarchy multipleItemSelectionAllowed="1">
      <members count="1" level="1">
        <member name="[Dim Market For Strategic].[Market For Strategic ID].&amp;[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21"/>
        <mp field="25"/>
        <mp field="26"/>
        <mp field="48"/>
        <mp field="50"/>
        <mp field="56"/>
        <mp field="58"/>
        <mp field="62"/>
        <mp field="63"/>
        <mp field="64"/>
        <mp field="6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455" level="1">
        <member name="[Dim TMC].[TMC Line Model].&amp;[]"/>
        <member name="[Dim TMC].[TMC Line Model].&amp;[_Линия модели не задана]"/>
        <member name="[Dim TMC].[TMC Line Model].&amp;[AGENT]"/>
        <member name="[Dim TMC].[TMC Line Model].&amp;[AIRLINE]"/>
        <member name="[Dim TMC].[TMC Line Model].&amp;[ALFOX]"/>
        <member name="[Dim TMC].[TMC Line Model].&amp;[ALLEGRO]"/>
        <member name="[Dim TMC].[TMC Line Model].&amp;[AMARO]"/>
        <member name="[Dim TMC].[TMC Line Model].&amp;[APOLLO]"/>
        <member name="[Dim TMC].[TMC Line Model].&amp;[AURA]"/>
        <member name="[Dim TMC].[TMC Line Model].&amp;[BALENO]"/>
        <member name="[Dim TMC].[TMC Line Model].&amp;[BANDI]"/>
        <member name="[Dim TMC].[TMC Line Model].&amp;[BETA]"/>
        <member name="[Dim TMC].[TMC Line Model].&amp;[BLUES]"/>
        <member name="[Dim TMC].[TMC Line Model].&amp;[BOMBA]"/>
        <member name="[Dim TMC].[TMC Line Model].&amp;[CARRY GTS]"/>
        <member name="[Dim TMC].[TMC Line Model].&amp;[CASTANO]"/>
        <member name="[Dim TMC].[TMC Line Model].&amp;[CHARLEY]"/>
        <member name="[Dim TMC].[TMC Line Model].&amp;[CHINQUE]"/>
        <member name="[Dim TMC].[TMC Line Model].&amp;[COMODO]"/>
        <member name="[Dim TMC].[TMC Line Model].&amp;[Conference table]"/>
        <member name="[Dim TMC].[TMC Line Model].&amp;[CRUISE]"/>
        <member name="[Dim TMC].[TMC Line Model].&amp;[DRIVE]"/>
        <member name="[Dim TMC].[TMC Line Model].&amp;[EASY]"/>
        <member name="[Dim TMC].[TMC Line Model].&amp;[EDITOR]"/>
        <member name="[Dim TMC].[TMC Line Model].&amp;[ELEVEN]"/>
        <member name="[Dim TMC].[TMC Line Model].&amp;[ELF]"/>
        <member name="[Dim TMC].[TMC Line Model].&amp;[FAMILY]"/>
        <member name="[Dim TMC].[TMC Line Model].&amp;[FELICIA]"/>
        <member name="[Dim TMC].[TMC Line Model].&amp;[FINE]"/>
        <member name="[Dim TMC].[TMC Line Model].&amp;[FLEX]"/>
        <member name="[Dim TMC].[TMC Line Model].&amp;[FOCUS]"/>
        <member name="[Dim TMC].[TMC Line Model].&amp;[FOOTBALL]"/>
        <member name="[Dim TMC].[TMC Line Model].&amp;[FORMULA]"/>
        <member name="[Dim TMC].[TMC Line Model].&amp;[FORTUNA]"/>
        <member name="[Dim TMC].[TMC Line Model].&amp;[FORWARD]"/>
        <member name="[Dim TMC].[TMC Line Model].&amp;[FRAME]"/>
        <member name="[Dim TMC].[TMC Line Model].&amp;[GAMMA]"/>
        <member name="[Dim TMC].[TMC Line Model].&amp;[GEMINA]"/>
        <member name="[Dim TMC].[TMC Line Model].&amp;[GRAND]"/>
        <member name="[Dim TMC].[TMC Line Model].&amp;[HELEN]"/>
        <member name="[Dim TMC].[TMC Line Model].&amp;[HELIOS]"/>
        <member name="[Dim TMC].[TMC Line Model].&amp;[INDIANA]"/>
        <member name="[Dim TMC].[TMC Line Model].&amp;[INFINITA]"/>
        <member name="[Dim TMC].[TMC Line Model].&amp;[ISOTOP]"/>
        <member name="[Dim TMC].[TMC Line Model].&amp;[JANE]"/>
        <member name="[Dim TMC].[TMC Line Model].&amp;[KENDI]"/>
        <member name="[Dim TMC].[TMC Line Model].&amp;[LAGUNA]"/>
        <member name="[Dim TMC].[TMC Line Model].&amp;[LANA]"/>
        <member name="[Dim TMC].[TMC Line Model].&amp;[LENA]"/>
        <member name="[Dim TMC].[TMC Line Model].&amp;[LEONARDO]"/>
        <member name="[Dim TMC].[TMC Line Model].&amp;[LIRA]"/>
        <member name="[Dim TMC].[TMC Line Model].&amp;[LORD]"/>
        <member name="[Dim TMC].[TMC Line Model].&amp;[LUIS GTS]"/>
        <member name="[Dim TMC].[TMC Line Model].&amp;[LUXUS]"/>
        <member name="[Dim TMC].[TMC Line Model].&amp;[MADAME]"/>
        <member name="[Dim TMC].[TMC Line Model].&amp;[MADRID]"/>
        <member name="[Dim TMC].[TMC Line Model].&amp;[MAGNATE]"/>
        <member name="[Dim TMC].[TMC Line Model].&amp;[MARS]"/>
        <member name="[Dim TMC].[TMC Line Model].&amp;[Meeting table]"/>
        <member name="[Dim TMC].[TMC Line Model].&amp;[METRO]"/>
        <member name="[Dim TMC].[TMC Line Model].&amp;[MICHEL]"/>
        <member name="[Dim TMC].[TMC Line Model].&amp;[MIND]"/>
        <member name="[Dim TMC].[TMC Line Model].&amp;[MOLINO]"/>
        <member name="[Dim TMC].[TMC Line Model].&amp;[MONTANA]"/>
        <member name="[Dim TMC].[TMC Line Model].&amp;[MUSTANG]"/>
        <member name="[Dim TMC].[TMC Line Model].&amp;[NICOLE GTS]"/>
        <member name="[Dim TMC].[TMC Line Model].&amp;[NICOLE HOKER]"/>
        <member name="[Dim TMC].[TMC Line Model].&amp;[NILSINGE]"/>
        <member name="[Dim TMC].[TMC Line Model].&amp;[N-OFFICE]"/>
        <member name="[Dim TMC].[TMC Line Model].&amp;[NOVATOR]"/>
        <member name="[Dim TMC].[TMC Line Model].&amp;[Office cabinet]"/>
        <member name="[Dim TMC].[TMC Line Model].&amp;[ONIX]"/>
        <member name="[Dim TMC].[TMC Line Model].&amp;[ORLANDO]"/>
        <member name="[Dim TMC].[TMC Line Model].&amp;[OXFORD]"/>
        <member name="[Dim TMC].[TMC Line Model].&amp;[OXY]"/>
        <member name="[Dim TMC].[TMC Line Model].&amp;[PALERMO]"/>
        <member name="[Dim TMC].[TMC Line Model].&amp;[PALMA]"/>
        <member name="[Dim TMC].[TMC Line Model].&amp;[Pedestal]"/>
        <member name="[Dim TMC].[TMC Line Model].&amp;[PEGASO]"/>
        <member name="[Dim TMC].[TMC Line Model].&amp;[PICCOLO]"/>
        <member name="[Dim TMC].[TMC Line Model].&amp;[POINT]"/>
        <member name="[Dim TMC].[TMC Line Model].&amp;[PRACTICK]"/>
        <member name="[Dim TMC].[TMC Line Model].&amp;[PROFI]"/>
        <member name="[Dim TMC].[TMC Line Model].&amp;[RALLY]"/>
        <member name="[Dim TMC].[TMC Line Model].&amp;[RAPSODY]"/>
        <member name="[Dim TMC].[TMC Line Model].&amp;[RAY HOKER]"/>
        <member name="[Dim TMC].[TMC Line Model].&amp;[REAL]"/>
        <member name="[Dim TMC].[TMC Line Model].&amp;[RETRO]"/>
        <member name="[Dim TMC].[TMC Line Model].&amp;[REWIND]"/>
        <member name="[Dim TMC].[TMC Line Model].&amp;[RICHMOND]"/>
        <member name="[Dim TMC].[TMC Line Model].&amp;[RIDER]"/>
        <member name="[Dim TMC].[TMC Line Model].&amp;[ROCKY]"/>
        <member name="[Dim TMC].[TMC Line Model].&amp;[ROUND]"/>
        <member name="[Dim TMC].[TMC Line Model].&amp;[SANREMO]"/>
        <member name="[Dim TMC].[TMC Line Model].&amp;[SANTIAGO]"/>
        <member name="[Dim TMC].[TMC Line Model].&amp;[Screen]"/>
        <member name="[Dim TMC].[TMC Line Model].&amp;[SENATOR]"/>
        <member name="[Dim TMC].[TMC Line Model].&amp;[SENIOR]"/>
        <member name="[Dim TMC].[TMC Line Model].&amp;[SIENA]"/>
        <member name="[Dim TMC].[TMC Line Model].&amp;[SIMPLE]"/>
        <member name="[Dim TMC].[TMC Line Model].&amp;[SINGLE]"/>
        <member name="[Dim TMC].[TMC Line Model].&amp;[SIRIUS]"/>
        <member name="[Dim TMC].[TMC Line Model].&amp;[SMART]"/>
        <member name="[Dim TMC].[TMC Line Model].&amp;[SNOW]"/>
        <member name="[Dim TMC].[TMC Line Model].&amp;[SPARKO]"/>
        <member name="[Dim TMC].[TMC Line Model].&amp;[SPIDER]"/>
        <member name="[Dim TMC].[TMC Line Model].&amp;[SPORT]"/>
        <member name="[Dim TMC].[TMC Line Model].&amp;[SPOT]"/>
        <member name="[Dim TMC].[TMC Line Model].&amp;[STRONGMAN]"/>
        <member name="[Dim TMC].[TMC Line Model].&amp;[SWING]"/>
        <member name="[Dim TMC].[TMC Line Model].&amp;[TANGO]"/>
        <member name="[Dim TMC].[TMC Line Model].&amp;[TANTAL]"/>
        <member name="[Dim TMC].[TMC Line Model].&amp;[TEXAS]"/>
        <member name="[Dim TMC].[TMC Line Model].&amp;[T-MOBILE]"/>
        <member name="[Dim TMC].[TMC Line Model].&amp;[TOLDO]"/>
        <member name="[Dim TMC].[TMC Line Model].&amp;[TOPAZ]"/>
        <member name="[Dim TMC].[TMC Line Model].&amp;[TWINKS]"/>
        <member name="[Dim TMC].[TMC Line Model].&amp;[ULTRA]"/>
        <member name="[Dim TMC].[TMC Line Model].&amp;[VERSUS]"/>
        <member name="[Dim TMC].[TMC Line Model].&amp;[Working table]"/>
        <member name="[Dim TMC].[TMC Line Model].&amp;[X-ART]"/>
        <member name="[Dim TMC].[TMC Line Model].&amp;[YORK]"/>
        <member name="[Dim TMC].[TMC Line Model].&amp;[ZEUS]"/>
        <member name="[Dim TMC].[TMC Line Model].&amp;[ZORBA]"/>
        <member name="[Dim TMC].[TMC Line Model].&amp;[Бытовая мебель]"/>
        <member name="[Dim TMC].[TMC Line Model].&amp;[Бюджет Lite]"/>
        <member name="[Dim TMC].[TMC Line Model].&amp;[Визит]"/>
        <member name="[Dim TMC].[TMC Line Model].&amp;[Заявки на гарант.ремонт-рекламации]"/>
        <member name="[Dim TMC].[TMC Line Model].&amp;[Кресла и стулья закупные]"/>
        <member name="[Dim TMC].[TMC Line Model].&amp;[ПОРОЛОН 14]"/>
        <member name="[Dim TMC].[TMC Line Model].&amp;[ПОРОЛОН 16]"/>
        <member name="[Dim TMC].[TMC Line Model].&amp;[ПОРОЛОН 18]"/>
        <member name="[Dim TMC].[TMC Line Model].&amp;[ПОРОЛОН 20]"/>
        <member name="[Dim TMC].[TMC Line Model].&amp;[ПОРОЛОН 22]"/>
        <member name="[Dim TMC].[TMC Line Model].&amp;[ПОРОЛОН 25]"/>
        <member name="[Dim TMC].[TMC Line Model].&amp;[ПОРОЛОН 28]"/>
        <member name="[Dim TMC].[TMC Line Model].&amp;[ПОРОЛОН 30]"/>
        <member name="[Dim TMC].[TMC Line Model].&amp;[ПОРОЛОН 35]"/>
        <member name="[Dim TMC].[TMC Line Model].&amp;[ПОРОЛОН 45]"/>
        <member name="[Dim TMC].[TMC Line Model].&amp;[Премьер]"/>
        <member name="[Dim TMC].[TMC Line Model].&amp;[РАМА FOXY]"/>
        <member name="[Dim TMC].[TMC Line Model].&amp;[СИДЕНЬЕ D36]"/>
        <member name="[Dim TMC].[TMC Line Model].&amp;[СКАМЬЯ E-671]"/>
        <member name="[Dim TMC].[TMC Line Model].&amp;[СП 101]"/>
        <member name="[Dim TMC].[TMC Line Model].&amp;[Стойки-Ресепшн]"/>
        <member name="[Dim TMC].[TMC Line Model].&amp;[СТОЛ ДЛЯ СТОЛОВОЙ E-571]"/>
        <member name="[Dim TMC].[TMC Line Model].&amp;[СТОЛ УЧЕН. E-151]"/>
        <member name="[Dim TMC].[TMC Line Model].&amp;[СТОЛ УЧЕН. E-171]"/>
        <member name="[Dim TMC].[TMC Line Model].&amp;[СТОЛ УЧЕН. E-172]"/>
        <member name="[Dim TMC].[TMC Line Model].&amp;[СТОЛ УЧЕН. E-176]"/>
        <member name="[Dim TMC].[TMC Line Model].&amp;[СТОЛ УЧЕН. E-177]"/>
        <member name="[Dim TMC].[TMC Line Model].&amp;[СТОЛ УЧЕН. E-179]"/>
        <member name="[Dim TMC].[TMC Line Model].&amp;[СТОЛ УЧЕН. E-184]"/>
        <member name="[Dim TMC].[TMC Line Model].&amp;[Столы компьютерные]"/>
        <member name="[Dim TMC].[TMC Line Model].&amp;[Столы компьютерные СК]"/>
        <member name="[Dim TMC].[TMC Line Model].&amp;[СТУЛ УЧЕН. E-251]"/>
        <member name="[Dim TMC].[TMC Line Model].&amp;[СТУЛ УЧЕН. E-262]"/>
        <member name="[Dim TMC].[TMC Line Model].&amp;[СТУЛ УЧЕН. E-265]"/>
        <member name="[Dim TMC].[TMC Line Model].&amp;[СТУЛ УЧЕН. E-276]"/>
        <member name="[Dim TMC].[TMC Line Model].&amp;[СТУЛ УЧЕН. E-277]"/>
        <member name="[Dim TMC].[TMC Line Model].&amp;[СТУЛ УЧЕН. E-278]"/>
        <member name="[Dim TMC].[TMC Line Model].&amp;[СТУЛ УЧЕН. E-279]"/>
        <member name="[Dim TMC].[TMC Line Model].&amp;[СТУЛ УЧЕН. E-284]"/>
        <member name="[Dim TMC].[TMC Line Model].&amp;[ТРУБА]"/>
        <member name="[Dim TMC].[TMC Line Model].[All].UNKNOWNMEMBER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6"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9"/>
        <mp field="51"/>
        <mp field="57"/>
        <mp field="59"/>
        <mp field="66"/>
        <mp field="67"/>
        <mp field="68"/>
        <mp field="6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topLeftCell="G25" zoomScale="85" zoomScaleNormal="85" workbookViewId="0">
      <selection activeCell="A3" sqref="A3:XFD3"/>
    </sheetView>
  </sheetViews>
  <sheetFormatPr defaultRowHeight="14.4" x14ac:dyDescent="0.3"/>
  <cols>
    <col min="1" max="1" width="36.88671875" customWidth="1"/>
    <col min="2" max="2" width="17.6640625" customWidth="1"/>
    <col min="3" max="5" width="11.5546875" bestFit="1" customWidth="1"/>
    <col min="6" max="11" width="15.33203125" bestFit="1" customWidth="1"/>
    <col min="12" max="12" width="14.33203125" bestFit="1" customWidth="1"/>
    <col min="13" max="13" width="15.33203125" bestFit="1" customWidth="1"/>
    <col min="18" max="20" width="13" customWidth="1"/>
    <col min="21" max="21" width="12.88671875" customWidth="1"/>
  </cols>
  <sheetData>
    <row r="1" spans="1:25" ht="57.6" x14ac:dyDescent="0.3">
      <c r="B1" s="75" t="s">
        <v>361</v>
      </c>
      <c r="C1" s="75" t="s">
        <v>363</v>
      </c>
      <c r="D1" s="75" t="s">
        <v>365</v>
      </c>
      <c r="E1" s="75" t="s">
        <v>367</v>
      </c>
      <c r="J1" s="75" t="s">
        <v>362</v>
      </c>
      <c r="K1" s="75" t="s">
        <v>364</v>
      </c>
      <c r="L1" s="75" t="s">
        <v>366</v>
      </c>
      <c r="M1" s="75" t="s">
        <v>368</v>
      </c>
      <c r="R1" s="75" t="s">
        <v>376</v>
      </c>
      <c r="S1" s="75" t="s">
        <v>377</v>
      </c>
      <c r="T1" s="75" t="s">
        <v>378</v>
      </c>
      <c r="U1" s="75" t="s">
        <v>379</v>
      </c>
    </row>
    <row r="2" spans="1:25" ht="43.2" x14ac:dyDescent="0.3">
      <c r="A2" s="75" t="s">
        <v>261</v>
      </c>
      <c r="B2" s="75" t="s">
        <v>334</v>
      </c>
      <c r="C2" s="75" t="s">
        <v>392</v>
      </c>
      <c r="D2" s="75" t="s">
        <v>330</v>
      </c>
      <c r="E2" s="75" t="s">
        <v>393</v>
      </c>
      <c r="F2" s="77" t="s">
        <v>394</v>
      </c>
      <c r="G2" s="77" t="s">
        <v>395</v>
      </c>
      <c r="H2" s="77" t="s">
        <v>396</v>
      </c>
      <c r="I2" s="95" t="s">
        <v>397</v>
      </c>
      <c r="J2" s="75" t="s">
        <v>334</v>
      </c>
      <c r="K2" s="75" t="s">
        <v>392</v>
      </c>
      <c r="L2" s="75" t="s">
        <v>330</v>
      </c>
      <c r="M2" s="75" t="s">
        <v>393</v>
      </c>
      <c r="N2" s="77" t="s">
        <v>394</v>
      </c>
      <c r="O2" s="77" t="s">
        <v>395</v>
      </c>
      <c r="P2" s="77" t="s">
        <v>396</v>
      </c>
      <c r="Q2" s="95" t="s">
        <v>397</v>
      </c>
      <c r="R2" s="75" t="s">
        <v>334</v>
      </c>
      <c r="S2" s="75" t="s">
        <v>392</v>
      </c>
      <c r="T2" s="75" t="s">
        <v>330</v>
      </c>
      <c r="U2" s="75" t="s">
        <v>393</v>
      </c>
      <c r="V2" s="77" t="s">
        <v>394</v>
      </c>
      <c r="W2" s="77" t="s">
        <v>395</v>
      </c>
      <c r="X2" s="77" t="s">
        <v>396</v>
      </c>
      <c r="Y2" s="95" t="s">
        <v>397</v>
      </c>
    </row>
    <row r="3" spans="1:25" x14ac:dyDescent="0.3">
      <c r="A3" s="5" t="s">
        <v>251</v>
      </c>
      <c r="B3" s="48">
        <v>26725</v>
      </c>
      <c r="C3" s="48">
        <v>19187</v>
      </c>
      <c r="D3" s="48">
        <v>11862</v>
      </c>
      <c r="E3" s="48">
        <v>17643</v>
      </c>
      <c r="F3" s="44">
        <f>IFERROR(C3/B3-1,"")</f>
        <v>-0.2820579981290926</v>
      </c>
      <c r="G3" s="44">
        <f>IFERROR(D3/C3-1,"")</f>
        <v>-0.38176890603012459</v>
      </c>
      <c r="H3" s="44">
        <f>IFERROR(E3/D3-1,"")</f>
        <v>0.48735457764289336</v>
      </c>
      <c r="I3" s="44">
        <f>IFERROR(E3/C3-1,"")</f>
        <v>-8.0471152342732055E-2</v>
      </c>
      <c r="J3" s="48">
        <v>104351482.65439998</v>
      </c>
      <c r="K3" s="48">
        <v>76149863.924999997</v>
      </c>
      <c r="L3" s="48">
        <v>48903590.938400008</v>
      </c>
      <c r="M3" s="48">
        <v>80667044.841199979</v>
      </c>
      <c r="N3" s="44">
        <f>IFERROR(K3/J3-1,"")</f>
        <v>-0.27025604248288904</v>
      </c>
      <c r="O3" s="44">
        <f>IFERROR(L3/K3-1,"")</f>
        <v>-0.3577980521860793</v>
      </c>
      <c r="P3" s="44">
        <f>IFERROR(M3/L3-1,"")</f>
        <v>0.6495116880641727</v>
      </c>
      <c r="Q3" s="44">
        <f>IFERROR(M3/K3-1,"")</f>
        <v>5.9319619016640068E-2</v>
      </c>
      <c r="R3" s="48">
        <v>41678917.37519908</v>
      </c>
      <c r="S3" s="48">
        <v>29293818.94481523</v>
      </c>
      <c r="T3" s="48">
        <v>20819003.04785135</v>
      </c>
      <c r="U3" s="48">
        <v>37262622.48077222</v>
      </c>
      <c r="V3" s="44">
        <f>IFERROR(S3/R3-1,"")</f>
        <v>-0.29715499370800758</v>
      </c>
      <c r="W3" s="44">
        <f>IFERROR(T3/S3-1,"")</f>
        <v>-0.28930389420816205</v>
      </c>
      <c r="X3" s="44">
        <f>IFERROR(U3/T3-1,"")</f>
        <v>0.78983702510279197</v>
      </c>
      <c r="Y3" s="44">
        <f>IFERROR(U3/S3-1,"")</f>
        <v>0.27203020374260234</v>
      </c>
    </row>
    <row r="4" spans="1:25" x14ac:dyDescent="0.3">
      <c r="A4" s="5" t="s">
        <v>116</v>
      </c>
      <c r="B4" s="48">
        <v>54881</v>
      </c>
      <c r="C4" s="48">
        <v>31299</v>
      </c>
      <c r="D4" s="48">
        <v>22967</v>
      </c>
      <c r="E4" s="48">
        <v>25652</v>
      </c>
      <c r="F4" s="44">
        <f t="shared" ref="F4:H19" si="0">IFERROR(C4/B4-1,"")</f>
        <v>-0.42969333649168195</v>
      </c>
      <c r="G4" s="44">
        <f t="shared" si="0"/>
        <v>-0.26620658806990638</v>
      </c>
      <c r="H4" s="44">
        <f t="shared" si="0"/>
        <v>0.11690686637349246</v>
      </c>
      <c r="I4" s="44">
        <f t="shared" ref="I4:I19" si="1">IFERROR(E4/C4-1,"")</f>
        <v>-0.18042109971564591</v>
      </c>
      <c r="J4" s="48">
        <v>101798290.11510001</v>
      </c>
      <c r="K4" s="48">
        <v>64253468.645000003</v>
      </c>
      <c r="L4" s="48">
        <v>46903608.631400004</v>
      </c>
      <c r="M4" s="48">
        <v>55936401.206600003</v>
      </c>
      <c r="N4" s="44">
        <f t="shared" ref="N4:P19" si="2">IFERROR(K4/J4-1,"")</f>
        <v>-0.3688158359796545</v>
      </c>
      <c r="O4" s="44">
        <f t="shared" si="2"/>
        <v>-0.27002215412615094</v>
      </c>
      <c r="P4" s="44">
        <f t="shared" si="2"/>
        <v>0.19258203875496527</v>
      </c>
      <c r="Q4" s="44">
        <f t="shared" ref="Q4:Q19" si="3">IFERROR(M4/K4-1,"")</f>
        <v>-0.12944153232180733</v>
      </c>
      <c r="R4" s="48">
        <v>36343787.825654991</v>
      </c>
      <c r="S4" s="48">
        <v>23321133.373067126</v>
      </c>
      <c r="T4" s="48">
        <v>18351032.553700421</v>
      </c>
      <c r="U4" s="48">
        <v>24679206.147043385</v>
      </c>
      <c r="V4" s="44">
        <f t="shared" ref="V4:X19" si="4">IFERROR(S4/R4-1,"")</f>
        <v>-0.35831858019474805</v>
      </c>
      <c r="W4" s="44">
        <f t="shared" si="4"/>
        <v>-0.21311574955900403</v>
      </c>
      <c r="X4" s="44">
        <f t="shared" si="4"/>
        <v>0.34484019222487339</v>
      </c>
      <c r="Y4" s="44">
        <f t="shared" ref="Y4:Y19" si="5">IFERROR(U4/S4-1,"")</f>
        <v>5.8233566621794575E-2</v>
      </c>
    </row>
    <row r="5" spans="1:25" x14ac:dyDescent="0.3">
      <c r="A5" s="5" t="s">
        <v>259</v>
      </c>
      <c r="B5" s="48">
        <v>107526</v>
      </c>
      <c r="C5" s="48">
        <v>64256</v>
      </c>
      <c r="D5" s="48">
        <v>58364</v>
      </c>
      <c r="E5" s="48">
        <v>67148</v>
      </c>
      <c r="F5" s="44">
        <f t="shared" si="0"/>
        <v>-0.40241429979725829</v>
      </c>
      <c r="G5" s="44">
        <f t="shared" si="0"/>
        <v>-9.1695717131474064E-2</v>
      </c>
      <c r="H5" s="44">
        <f t="shared" si="0"/>
        <v>0.15050373517922</v>
      </c>
      <c r="I5" s="44">
        <f t="shared" si="1"/>
        <v>4.5007470119521997E-2</v>
      </c>
      <c r="J5" s="48">
        <v>77193435.386399999</v>
      </c>
      <c r="K5" s="48">
        <v>51648130.935999982</v>
      </c>
      <c r="L5" s="48">
        <v>46674388.507700011</v>
      </c>
      <c r="M5" s="48">
        <v>54214244.376900002</v>
      </c>
      <c r="N5" s="44">
        <f t="shared" si="2"/>
        <v>-0.33092586594352569</v>
      </c>
      <c r="O5" s="44">
        <f t="shared" si="2"/>
        <v>-9.630053088393864E-2</v>
      </c>
      <c r="P5" s="44">
        <f t="shared" si="2"/>
        <v>0.16154161008357115</v>
      </c>
      <c r="Q5" s="44">
        <f t="shared" si="3"/>
        <v>4.9684536388738376E-2</v>
      </c>
      <c r="R5" s="48">
        <v>33002286.946643487</v>
      </c>
      <c r="S5" s="48">
        <v>22045621.049319521</v>
      </c>
      <c r="T5" s="48">
        <v>19928779.213011783</v>
      </c>
      <c r="U5" s="48">
        <v>25520625.676624786</v>
      </c>
      <c r="V5" s="44">
        <f t="shared" si="4"/>
        <v>-0.33199717083359037</v>
      </c>
      <c r="W5" s="44">
        <f t="shared" si="4"/>
        <v>-9.6020966321249457E-2</v>
      </c>
      <c r="X5" s="44">
        <f t="shared" si="4"/>
        <v>0.28059152062671289</v>
      </c>
      <c r="Y5" s="44">
        <f t="shared" si="5"/>
        <v>0.15762788535333772</v>
      </c>
    </row>
    <row r="6" spans="1:25" x14ac:dyDescent="0.3">
      <c r="A6" s="5" t="s">
        <v>252</v>
      </c>
      <c r="B6" s="48">
        <v>78009</v>
      </c>
      <c r="C6" s="48">
        <v>58965</v>
      </c>
      <c r="D6" s="48">
        <v>40156</v>
      </c>
      <c r="E6" s="48">
        <v>47534</v>
      </c>
      <c r="F6" s="44">
        <f t="shared" si="0"/>
        <v>-0.24412567780640693</v>
      </c>
      <c r="G6" s="44">
        <f t="shared" si="0"/>
        <v>-0.31898583905706779</v>
      </c>
      <c r="H6" s="44">
        <f t="shared" si="0"/>
        <v>0.18373343958561605</v>
      </c>
      <c r="I6" s="44">
        <f t="shared" si="1"/>
        <v>-0.19386076486051051</v>
      </c>
      <c r="J6" s="48">
        <v>66683259.694999993</v>
      </c>
      <c r="K6" s="48">
        <v>49237454.959999993</v>
      </c>
      <c r="L6" s="48">
        <v>27945548.176300008</v>
      </c>
      <c r="M6" s="48">
        <v>43255800.353399999</v>
      </c>
      <c r="N6" s="44">
        <f t="shared" si="2"/>
        <v>-0.26162195451744108</v>
      </c>
      <c r="O6" s="44">
        <f t="shared" si="2"/>
        <v>-0.43243313044911269</v>
      </c>
      <c r="P6" s="44">
        <f t="shared" si="2"/>
        <v>0.54786014861874399</v>
      </c>
      <c r="Q6" s="44">
        <f t="shared" si="3"/>
        <v>-0.1214858609458882</v>
      </c>
      <c r="R6" s="48">
        <v>24715841.126966435</v>
      </c>
      <c r="S6" s="48">
        <v>17502360.574590068</v>
      </c>
      <c r="T6" s="48">
        <v>10575011.4787878</v>
      </c>
      <c r="U6" s="48">
        <v>19039783.293511096</v>
      </c>
      <c r="V6" s="44">
        <f t="shared" si="4"/>
        <v>-0.29185656742654964</v>
      </c>
      <c r="W6" s="44">
        <f t="shared" si="4"/>
        <v>-0.39579513096418517</v>
      </c>
      <c r="X6" s="44">
        <f t="shared" si="4"/>
        <v>0.80045036657431612</v>
      </c>
      <c r="Y6" s="44">
        <f t="shared" si="5"/>
        <v>8.7840877941519402E-2</v>
      </c>
    </row>
    <row r="7" spans="1:25" x14ac:dyDescent="0.3">
      <c r="A7" s="5" t="s">
        <v>256</v>
      </c>
      <c r="B7" s="48">
        <v>6808</v>
      </c>
      <c r="C7" s="48">
        <v>7086</v>
      </c>
      <c r="D7" s="48">
        <v>1539</v>
      </c>
      <c r="E7" s="48">
        <v>5029</v>
      </c>
      <c r="F7" s="44">
        <f t="shared" si="0"/>
        <v>4.0834312573442944E-2</v>
      </c>
      <c r="G7" s="44">
        <f t="shared" si="0"/>
        <v>-0.78281117696867064</v>
      </c>
      <c r="H7" s="44">
        <f t="shared" si="0"/>
        <v>2.2677063027940223</v>
      </c>
      <c r="I7" s="44">
        <f t="shared" si="1"/>
        <v>-0.29029071408410956</v>
      </c>
      <c r="J7" s="48">
        <v>13274969.159999998</v>
      </c>
      <c r="K7" s="48">
        <v>14856407.569999987</v>
      </c>
      <c r="L7" s="48">
        <v>3462301.834999999</v>
      </c>
      <c r="M7" s="48">
        <v>11801728.290000007</v>
      </c>
      <c r="N7" s="44">
        <f t="shared" si="2"/>
        <v>0.11912934719013601</v>
      </c>
      <c r="O7" s="44">
        <f t="shared" si="2"/>
        <v>-0.7669489196034488</v>
      </c>
      <c r="P7" s="44">
        <f t="shared" si="2"/>
        <v>2.4086364656881538</v>
      </c>
      <c r="Q7" s="44">
        <f t="shared" si="3"/>
        <v>-0.20561358899229387</v>
      </c>
      <c r="R7" s="48">
        <v>4245577.9875624245</v>
      </c>
      <c r="S7" s="48">
        <v>4785922.3312698985</v>
      </c>
      <c r="T7" s="48">
        <v>1236084.8183022514</v>
      </c>
      <c r="U7" s="48">
        <v>5069489.9587340355</v>
      </c>
      <c r="V7" s="44">
        <f t="shared" si="4"/>
        <v>0.12727226900328592</v>
      </c>
      <c r="W7" s="44">
        <f t="shared" si="4"/>
        <v>-0.74172484784677484</v>
      </c>
      <c r="X7" s="44">
        <f t="shared" si="4"/>
        <v>3.1012476519992562</v>
      </c>
      <c r="Y7" s="44">
        <f t="shared" si="5"/>
        <v>5.9250361338165636E-2</v>
      </c>
    </row>
    <row r="8" spans="1:25" x14ac:dyDescent="0.3">
      <c r="A8" s="5" t="s">
        <v>388</v>
      </c>
      <c r="B8" s="48">
        <v>3932.5</v>
      </c>
      <c r="C8" s="48">
        <v>2361</v>
      </c>
      <c r="D8" s="48">
        <v>1622</v>
      </c>
      <c r="E8" s="48">
        <v>1498</v>
      </c>
      <c r="F8" s="44">
        <f t="shared" si="0"/>
        <v>-0.39961856325492684</v>
      </c>
      <c r="G8" s="44">
        <f t="shared" si="0"/>
        <v>-0.31300296484540446</v>
      </c>
      <c r="H8" s="44">
        <f t="shared" si="0"/>
        <v>-7.644882860665847E-2</v>
      </c>
      <c r="I8" s="44">
        <f t="shared" si="1"/>
        <v>-0.36552308343922069</v>
      </c>
      <c r="J8" s="48">
        <v>10065869.914999997</v>
      </c>
      <c r="K8" s="48">
        <v>5679902.0000000009</v>
      </c>
      <c r="L8" s="48">
        <v>4934825.8</v>
      </c>
      <c r="M8" s="48">
        <v>4877919.25</v>
      </c>
      <c r="N8" s="44">
        <f t="shared" si="2"/>
        <v>-0.43572666367008162</v>
      </c>
      <c r="O8" s="44">
        <f t="shared" si="2"/>
        <v>-0.13117765060030984</v>
      </c>
      <c r="P8" s="44">
        <f t="shared" si="2"/>
        <v>-1.1531622858906188E-2</v>
      </c>
      <c r="Q8" s="44">
        <f t="shared" si="3"/>
        <v>-0.14119658226497589</v>
      </c>
      <c r="R8" s="48">
        <v>4222096.3862060532</v>
      </c>
      <c r="S8" s="48">
        <v>2198456.581741726</v>
      </c>
      <c r="T8" s="48">
        <v>2256819.8898099037</v>
      </c>
      <c r="U8" s="48">
        <v>1975349.0911521262</v>
      </c>
      <c r="V8" s="44">
        <f t="shared" si="4"/>
        <v>-0.47929739621192213</v>
      </c>
      <c r="W8" s="44">
        <f t="shared" si="4"/>
        <v>2.6547400823326406E-2</v>
      </c>
      <c r="X8" s="44">
        <f t="shared" si="4"/>
        <v>-0.12472009836880971</v>
      </c>
      <c r="Y8" s="44">
        <f t="shared" si="5"/>
        <v>-0.10148369198760476</v>
      </c>
    </row>
    <row r="9" spans="1:25" x14ac:dyDescent="0.3">
      <c r="A9" s="5" t="s">
        <v>249</v>
      </c>
      <c r="B9" s="48">
        <v>8503</v>
      </c>
      <c r="C9" s="48">
        <v>3416</v>
      </c>
      <c r="D9" s="48">
        <v>3012</v>
      </c>
      <c r="E9" s="48">
        <v>2295</v>
      </c>
      <c r="F9" s="44">
        <f t="shared" si="0"/>
        <v>-0.59825943784546631</v>
      </c>
      <c r="G9" s="44">
        <f t="shared" si="0"/>
        <v>-0.11826697892271665</v>
      </c>
      <c r="H9" s="44">
        <f t="shared" si="0"/>
        <v>-0.23804780876494025</v>
      </c>
      <c r="I9" s="44">
        <f t="shared" si="1"/>
        <v>-0.32816159250585475</v>
      </c>
      <c r="J9" s="48">
        <v>14549396.079999996</v>
      </c>
      <c r="K9" s="48">
        <v>6480186.6800000034</v>
      </c>
      <c r="L9" s="48">
        <v>4671519.08</v>
      </c>
      <c r="M9" s="48">
        <v>4709913.2866000002</v>
      </c>
      <c r="N9" s="44">
        <f t="shared" si="2"/>
        <v>-0.55460785833524406</v>
      </c>
      <c r="O9" s="44">
        <f t="shared" si="2"/>
        <v>-0.27910732966723772</v>
      </c>
      <c r="P9" s="44">
        <f t="shared" si="2"/>
        <v>8.2187840705554294E-3</v>
      </c>
      <c r="Q9" s="44">
        <f t="shared" si="3"/>
        <v>-0.27318246847172656</v>
      </c>
      <c r="R9" s="48">
        <v>5928440.8388966098</v>
      </c>
      <c r="S9" s="48">
        <v>2412246.8013150645</v>
      </c>
      <c r="T9" s="48">
        <v>1930051.510376153</v>
      </c>
      <c r="U9" s="48">
        <v>2236567.3582606195</v>
      </c>
      <c r="V9" s="44">
        <f t="shared" si="4"/>
        <v>-0.59310603464434219</v>
      </c>
      <c r="W9" s="44">
        <f t="shared" si="4"/>
        <v>-0.1998946752363967</v>
      </c>
      <c r="X9" s="44">
        <f t="shared" si="4"/>
        <v>0.15881226290417949</v>
      </c>
      <c r="Y9" s="44">
        <f t="shared" si="5"/>
        <v>-7.2828138049005342E-2</v>
      </c>
    </row>
    <row r="10" spans="1:25" x14ac:dyDescent="0.3">
      <c r="A10" s="5" t="s">
        <v>390</v>
      </c>
      <c r="B10" s="48">
        <v>4475</v>
      </c>
      <c r="C10" s="48">
        <v>1917</v>
      </c>
      <c r="D10" s="48">
        <v>12977</v>
      </c>
      <c r="E10" s="48">
        <v>3475</v>
      </c>
      <c r="F10" s="44">
        <f t="shared" si="0"/>
        <v>-0.57162011173184357</v>
      </c>
      <c r="G10" s="44">
        <f t="shared" si="0"/>
        <v>5.7694314032342202</v>
      </c>
      <c r="H10" s="44">
        <f>IFERROR(E10/D10-1,"")</f>
        <v>-0.73221854049472146</v>
      </c>
      <c r="I10" s="44">
        <f t="shared" si="1"/>
        <v>0.81272822117892551</v>
      </c>
      <c r="J10" s="48">
        <v>4239927.1399999997</v>
      </c>
      <c r="K10" s="48">
        <v>1956771.4600000002</v>
      </c>
      <c r="L10" s="48">
        <v>11816811.149999999</v>
      </c>
      <c r="M10" s="48">
        <v>3111446.45</v>
      </c>
      <c r="N10" s="44">
        <f t="shared" si="2"/>
        <v>-0.53848936658850222</v>
      </c>
      <c r="O10" s="44">
        <f t="shared" si="2"/>
        <v>5.0389326968209138</v>
      </c>
      <c r="P10" s="44">
        <f t="shared" si="2"/>
        <v>-0.73669322370443391</v>
      </c>
      <c r="Q10" s="44">
        <f t="shared" si="3"/>
        <v>0.59009190066580386</v>
      </c>
      <c r="R10" s="48">
        <v>1910384.6067758801</v>
      </c>
      <c r="S10" s="48">
        <v>842104.96828502789</v>
      </c>
      <c r="T10" s="48">
        <v>3649948.1279002479</v>
      </c>
      <c r="U10" s="48">
        <v>1181067.1839483643</v>
      </c>
      <c r="V10" s="44">
        <f t="shared" si="4"/>
        <v>-0.55919610883683135</v>
      </c>
      <c r="W10" s="44">
        <f t="shared" si="4"/>
        <v>3.3343149195918853</v>
      </c>
      <c r="X10" s="44">
        <f t="shared" si="4"/>
        <v>-0.67641535096888838</v>
      </c>
      <c r="Y10" s="44">
        <f t="shared" si="5"/>
        <v>0.40251777204645078</v>
      </c>
    </row>
    <row r="11" spans="1:25" x14ac:dyDescent="0.3">
      <c r="A11" s="5" t="s">
        <v>250</v>
      </c>
      <c r="B11" s="48">
        <v>2133</v>
      </c>
      <c r="C11" s="48">
        <v>1664</v>
      </c>
      <c r="D11" s="48">
        <v>1467</v>
      </c>
      <c r="E11" s="48">
        <v>1156</v>
      </c>
      <c r="F11" s="44">
        <f t="shared" si="0"/>
        <v>-0.21987810595405533</v>
      </c>
      <c r="G11" s="44">
        <f t="shared" si="0"/>
        <v>-0.11838942307692313</v>
      </c>
      <c r="H11" s="44">
        <f t="shared" si="0"/>
        <v>-0.21199727334696661</v>
      </c>
      <c r="I11" s="44">
        <f t="shared" si="1"/>
        <v>-0.30528846153846156</v>
      </c>
      <c r="J11" s="48">
        <v>3900269.6100000003</v>
      </c>
      <c r="K11" s="48">
        <v>3364475.79</v>
      </c>
      <c r="L11" s="48">
        <v>3463375.7800000003</v>
      </c>
      <c r="M11" s="48">
        <v>2953695.9899999998</v>
      </c>
      <c r="N11" s="44">
        <f t="shared" si="2"/>
        <v>-0.13737353403115127</v>
      </c>
      <c r="O11" s="44">
        <f t="shared" si="2"/>
        <v>2.9395363846562272E-2</v>
      </c>
      <c r="P11" s="44">
        <f t="shared" si="2"/>
        <v>-0.14716271706444761</v>
      </c>
      <c r="Q11" s="44">
        <f t="shared" si="3"/>
        <v>-0.12209325483064337</v>
      </c>
      <c r="R11" s="48">
        <v>1710718.2832022347</v>
      </c>
      <c r="S11" s="48">
        <v>1421269.5974718439</v>
      </c>
      <c r="T11" s="48">
        <v>1324345.9683071251</v>
      </c>
      <c r="U11" s="48">
        <v>1271305.661940888</v>
      </c>
      <c r="V11" s="44">
        <f t="shared" si="4"/>
        <v>-0.16919716622691472</v>
      </c>
      <c r="W11" s="44">
        <f t="shared" si="4"/>
        <v>-6.8195104811308638E-2</v>
      </c>
      <c r="X11" s="44">
        <f t="shared" si="4"/>
        <v>-4.0050189025785388E-2</v>
      </c>
      <c r="Y11" s="44">
        <f t="shared" si="5"/>
        <v>-0.10551406699876786</v>
      </c>
    </row>
    <row r="12" spans="1:25" x14ac:dyDescent="0.3">
      <c r="A12" s="5" t="s">
        <v>247</v>
      </c>
      <c r="B12" s="48">
        <v>15093</v>
      </c>
      <c r="C12" s="48">
        <v>9342</v>
      </c>
      <c r="D12" s="48">
        <v>6957</v>
      </c>
      <c r="E12" s="48">
        <v>7040</v>
      </c>
      <c r="F12" s="44">
        <f t="shared" si="0"/>
        <v>-0.38103756708407877</v>
      </c>
      <c r="G12" s="44">
        <f t="shared" si="0"/>
        <v>-0.25529865125240847</v>
      </c>
      <c r="H12" s="44">
        <f t="shared" si="0"/>
        <v>1.1930429782952334E-2</v>
      </c>
      <c r="I12" s="44">
        <f t="shared" si="1"/>
        <v>-0.24641404410190537</v>
      </c>
      <c r="J12" s="48">
        <v>5550667.4400000013</v>
      </c>
      <c r="K12" s="48">
        <v>3071901.2590000001</v>
      </c>
      <c r="L12" s="48">
        <v>2897245.35</v>
      </c>
      <c r="M12" s="48">
        <v>2445724.9700000007</v>
      </c>
      <c r="N12" s="44">
        <f t="shared" si="2"/>
        <v>-0.4465708327501603</v>
      </c>
      <c r="O12" s="44">
        <f t="shared" si="2"/>
        <v>-5.6855964523044533E-2</v>
      </c>
      <c r="P12" s="44">
        <f t="shared" si="2"/>
        <v>-0.15584471643038422</v>
      </c>
      <c r="Q12" s="44">
        <f t="shared" si="3"/>
        <v>-0.20383997928495901</v>
      </c>
      <c r="R12" s="48">
        <v>2409463.1014333204</v>
      </c>
      <c r="S12" s="48">
        <v>1294452.2917733777</v>
      </c>
      <c r="T12" s="48">
        <v>1293366.666959974</v>
      </c>
      <c r="U12" s="48">
        <v>1171741.5558052917</v>
      </c>
      <c r="V12" s="44">
        <f t="shared" si="4"/>
        <v>-0.46276318114050174</v>
      </c>
      <c r="W12" s="44">
        <f t="shared" si="4"/>
        <v>-8.3867502904755309E-4</v>
      </c>
      <c r="X12" s="44">
        <f t="shared" si="4"/>
        <v>-9.4037610726863008E-2</v>
      </c>
      <c r="Y12" s="44">
        <f t="shared" si="5"/>
        <v>-9.4797418760002583E-2</v>
      </c>
    </row>
    <row r="13" spans="1:25" x14ac:dyDescent="0.3">
      <c r="A13" s="5" t="s">
        <v>258</v>
      </c>
      <c r="B13" s="48">
        <v>1764</v>
      </c>
      <c r="C13" s="48">
        <v>1714</v>
      </c>
      <c r="D13" s="48">
        <v>689</v>
      </c>
      <c r="E13" s="48">
        <v>1201</v>
      </c>
      <c r="F13" s="44">
        <f t="shared" si="0"/>
        <v>-2.8344671201814053E-2</v>
      </c>
      <c r="G13" s="44">
        <f t="shared" si="0"/>
        <v>-0.59801633605600935</v>
      </c>
      <c r="H13" s="44">
        <f t="shared" si="0"/>
        <v>0.74310595065312057</v>
      </c>
      <c r="I13" s="44">
        <f t="shared" si="1"/>
        <v>-0.29929988331388568</v>
      </c>
      <c r="J13" s="48">
        <v>3099852.13</v>
      </c>
      <c r="K13" s="48">
        <v>3128273.6599999988</v>
      </c>
      <c r="L13" s="48">
        <v>1220087.1000000001</v>
      </c>
      <c r="M13" s="48">
        <v>2434195.8533999999</v>
      </c>
      <c r="N13" s="44">
        <f t="shared" si="2"/>
        <v>9.1686728295645725E-3</v>
      </c>
      <c r="O13" s="44">
        <f t="shared" si="2"/>
        <v>-0.60998070098509194</v>
      </c>
      <c r="P13" s="44">
        <f t="shared" si="2"/>
        <v>0.99510006572481569</v>
      </c>
      <c r="Q13" s="44">
        <f t="shared" si="3"/>
        <v>-0.2218724709014106</v>
      </c>
      <c r="R13" s="48">
        <v>1175832.6435892312</v>
      </c>
      <c r="S13" s="48">
        <v>1174931.7611138998</v>
      </c>
      <c r="T13" s="48">
        <v>526905.54240195733</v>
      </c>
      <c r="U13" s="48">
        <v>1086763.9890043957</v>
      </c>
      <c r="V13" s="44">
        <f t="shared" si="4"/>
        <v>-7.6616555956587895E-4</v>
      </c>
      <c r="W13" s="44">
        <f t="shared" si="4"/>
        <v>-0.55154370675755504</v>
      </c>
      <c r="X13" s="44">
        <f t="shared" si="4"/>
        <v>1.0625404395069777</v>
      </c>
      <c r="Y13" s="44">
        <f t="shared" si="5"/>
        <v>-7.5040759836057402E-2</v>
      </c>
    </row>
    <row r="14" spans="1:25" x14ac:dyDescent="0.3">
      <c r="A14" s="5" t="s">
        <v>253</v>
      </c>
      <c r="B14" s="48">
        <v>444</v>
      </c>
      <c r="C14" s="48">
        <v>570</v>
      </c>
      <c r="D14" s="48">
        <v>630</v>
      </c>
      <c r="E14" s="48">
        <v>431</v>
      </c>
      <c r="F14" s="44">
        <f t="shared" si="0"/>
        <v>0.28378378378378377</v>
      </c>
      <c r="G14" s="44">
        <f t="shared" si="0"/>
        <v>0.10526315789473695</v>
      </c>
      <c r="H14" s="44">
        <f t="shared" si="0"/>
        <v>-0.31587301587301586</v>
      </c>
      <c r="I14" s="44">
        <f t="shared" si="1"/>
        <v>-0.243859649122807</v>
      </c>
      <c r="J14" s="48">
        <v>2405433.59</v>
      </c>
      <c r="K14" s="48">
        <v>2617486.3199999998</v>
      </c>
      <c r="L14" s="48">
        <v>2979997.6834</v>
      </c>
      <c r="M14" s="48">
        <v>2066375.6800000004</v>
      </c>
      <c r="N14" s="44">
        <f t="shared" si="2"/>
        <v>8.8155719983938452E-2</v>
      </c>
      <c r="O14" s="44">
        <f t="shared" si="2"/>
        <v>0.13849599160464776</v>
      </c>
      <c r="P14" s="44">
        <f t="shared" si="2"/>
        <v>-0.30658480323300497</v>
      </c>
      <c r="Q14" s="44">
        <f t="shared" si="3"/>
        <v>-0.21054957796302809</v>
      </c>
      <c r="R14" s="48">
        <v>1086348.5965052603</v>
      </c>
      <c r="S14" s="48">
        <v>892745.76164967089</v>
      </c>
      <c r="T14" s="48">
        <v>1199134.5323817846</v>
      </c>
      <c r="U14" s="48">
        <v>881718.07161416591</v>
      </c>
      <c r="V14" s="44">
        <f t="shared" si="4"/>
        <v>-0.17821428174934084</v>
      </c>
      <c r="W14" s="44">
        <f t="shared" si="4"/>
        <v>0.34319823615398581</v>
      </c>
      <c r="X14" s="44">
        <f t="shared" si="4"/>
        <v>-0.26470462837655861</v>
      </c>
      <c r="Y14" s="44">
        <f t="shared" si="5"/>
        <v>-1.235255378320399E-2</v>
      </c>
    </row>
    <row r="15" spans="1:25" x14ac:dyDescent="0.3">
      <c r="A15" s="5" t="s">
        <v>248</v>
      </c>
      <c r="B15" s="48">
        <v>1147</v>
      </c>
      <c r="C15" s="48">
        <v>1090</v>
      </c>
      <c r="D15" s="48">
        <v>544</v>
      </c>
      <c r="E15" s="48">
        <v>366</v>
      </c>
      <c r="F15" s="44">
        <f t="shared" si="0"/>
        <v>-4.9694856146469069E-2</v>
      </c>
      <c r="G15" s="44">
        <f t="shared" si="0"/>
        <v>-0.50091743119266052</v>
      </c>
      <c r="H15" s="44">
        <f t="shared" si="0"/>
        <v>-0.32720588235294112</v>
      </c>
      <c r="I15" s="44">
        <f t="shared" si="1"/>
        <v>-0.66422018348623846</v>
      </c>
      <c r="J15" s="48">
        <v>5191399.0299999984</v>
      </c>
      <c r="K15" s="48">
        <v>5461875.8900000006</v>
      </c>
      <c r="L15" s="48">
        <v>2641522.1199999996</v>
      </c>
      <c r="M15" s="48">
        <v>1957770.2799999998</v>
      </c>
      <c r="N15" s="44">
        <f t="shared" si="2"/>
        <v>5.2100957456164165E-2</v>
      </c>
      <c r="O15" s="44">
        <f t="shared" si="2"/>
        <v>-0.51637090018169574</v>
      </c>
      <c r="P15" s="44">
        <f t="shared" si="2"/>
        <v>-0.25884766772272949</v>
      </c>
      <c r="Q15" s="44">
        <f t="shared" si="3"/>
        <v>-0.6415571647125069</v>
      </c>
      <c r="R15" s="48">
        <v>1407241.5762289558</v>
      </c>
      <c r="S15" s="48">
        <v>1342205.8988341822</v>
      </c>
      <c r="T15" s="48">
        <v>671537.06210619002</v>
      </c>
      <c r="U15" s="48">
        <v>687505.29829864763</v>
      </c>
      <c r="V15" s="44">
        <f t="shared" si="4"/>
        <v>-4.6215005648889695E-2</v>
      </c>
      <c r="W15" s="44">
        <f t="shared" si="4"/>
        <v>-0.4996765677386189</v>
      </c>
      <c r="X15" s="44">
        <f t="shared" si="4"/>
        <v>2.3778637239135092E-2</v>
      </c>
      <c r="Y15" s="44">
        <f t="shared" si="5"/>
        <v>-0.48777955834063658</v>
      </c>
    </row>
    <row r="16" spans="1:25" x14ac:dyDescent="0.3">
      <c r="A16" s="5" t="s">
        <v>246</v>
      </c>
      <c r="B16" s="48">
        <v>3817</v>
      </c>
      <c r="C16" s="48">
        <v>2071</v>
      </c>
      <c r="D16" s="48">
        <v>1405</v>
      </c>
      <c r="E16" s="48">
        <v>1243</v>
      </c>
      <c r="F16" s="44">
        <f t="shared" si="0"/>
        <v>-0.45742729892585798</v>
      </c>
      <c r="G16" s="44">
        <f t="shared" si="0"/>
        <v>-0.32158377595364562</v>
      </c>
      <c r="H16" s="44">
        <f t="shared" si="0"/>
        <v>-0.1153024911032029</v>
      </c>
      <c r="I16" s="44">
        <f t="shared" si="1"/>
        <v>-0.39980685659101878</v>
      </c>
      <c r="J16" s="48">
        <v>4732923.5600000005</v>
      </c>
      <c r="K16" s="48">
        <v>2385283.8599999989</v>
      </c>
      <c r="L16" s="48">
        <v>1569499.06</v>
      </c>
      <c r="M16" s="48">
        <v>1506205.4167000004</v>
      </c>
      <c r="N16" s="44">
        <f t="shared" si="2"/>
        <v>-0.49602315994302715</v>
      </c>
      <c r="O16" s="44">
        <f t="shared" si="2"/>
        <v>-0.34200742883490576</v>
      </c>
      <c r="P16" s="44">
        <f t="shared" si="2"/>
        <v>-4.0327289714974235E-2</v>
      </c>
      <c r="Q16" s="44">
        <f t="shared" si="3"/>
        <v>-0.36854248588258121</v>
      </c>
      <c r="R16" s="48">
        <v>2050281.1700491479</v>
      </c>
      <c r="S16" s="48">
        <v>1052575.57013625</v>
      </c>
      <c r="T16" s="48">
        <v>731319.49272191769</v>
      </c>
      <c r="U16" s="48">
        <v>724816.76309646643</v>
      </c>
      <c r="V16" s="44">
        <f t="shared" si="4"/>
        <v>-0.48661891573094906</v>
      </c>
      <c r="W16" s="44">
        <f t="shared" si="4"/>
        <v>-0.30520951324449563</v>
      </c>
      <c r="X16" s="44">
        <f t="shared" si="4"/>
        <v>-8.8917766997411718E-3</v>
      </c>
      <c r="Y16" s="44">
        <f t="shared" si="5"/>
        <v>-0.31138743510583</v>
      </c>
    </row>
    <row r="17" spans="1:25" x14ac:dyDescent="0.3">
      <c r="A17" s="5" t="s">
        <v>389</v>
      </c>
      <c r="B17" s="48">
        <v>0</v>
      </c>
      <c r="C17" s="48">
        <v>0</v>
      </c>
      <c r="D17" s="48">
        <v>79</v>
      </c>
      <c r="E17" s="48">
        <v>11</v>
      </c>
      <c r="F17" s="44" t="str">
        <f t="shared" si="0"/>
        <v/>
      </c>
      <c r="G17" s="44" t="str">
        <f t="shared" si="0"/>
        <v/>
      </c>
      <c r="H17" s="44">
        <f t="shared" si="0"/>
        <v>-0.86075949367088611</v>
      </c>
      <c r="I17" s="44" t="str">
        <f t="shared" si="1"/>
        <v/>
      </c>
      <c r="J17" s="48">
        <v>0</v>
      </c>
      <c r="K17" s="48">
        <v>0</v>
      </c>
      <c r="L17" s="48">
        <v>211437.15</v>
      </c>
      <c r="M17" s="48">
        <v>40821.199999999997</v>
      </c>
      <c r="N17" s="44" t="str">
        <f t="shared" si="2"/>
        <v/>
      </c>
      <c r="O17" s="44" t="str">
        <f t="shared" si="2"/>
        <v/>
      </c>
      <c r="P17" s="44">
        <f t="shared" si="2"/>
        <v>-0.80693459025530756</v>
      </c>
      <c r="Q17" s="44" t="str">
        <f t="shared" si="3"/>
        <v/>
      </c>
      <c r="R17" s="48">
        <v>0</v>
      </c>
      <c r="S17" s="48">
        <v>0</v>
      </c>
      <c r="T17" s="48">
        <v>64103.814401877957</v>
      </c>
      <c r="U17" s="48">
        <v>13544.46829570692</v>
      </c>
      <c r="V17" s="44" t="str">
        <f t="shared" si="4"/>
        <v/>
      </c>
      <c r="W17" s="44" t="str">
        <f t="shared" si="4"/>
        <v/>
      </c>
      <c r="X17" s="44">
        <f t="shared" si="4"/>
        <v>-0.78871041572043921</v>
      </c>
      <c r="Y17" s="44" t="str">
        <f t="shared" si="5"/>
        <v/>
      </c>
    </row>
    <row r="18" spans="1:25" x14ac:dyDescent="0.3">
      <c r="A18" s="5" t="s">
        <v>4</v>
      </c>
      <c r="B18" s="48">
        <v>315257.5</v>
      </c>
      <c r="C18" s="48">
        <v>204938</v>
      </c>
      <c r="D18" s="48">
        <v>164270</v>
      </c>
      <c r="E18" s="48">
        <v>181722</v>
      </c>
      <c r="F18" s="44">
        <f>IFERROR(C18/B18-1,"")</f>
        <v>-0.34993457728999311</v>
      </c>
      <c r="G18" s="44">
        <f t="shared" si="0"/>
        <v>-0.1984405039572944</v>
      </c>
      <c r="H18" s="44">
        <f t="shared" si="0"/>
        <v>0.10623972727826136</v>
      </c>
      <c r="I18" s="44">
        <f t="shared" si="1"/>
        <v>-0.1132830417004167</v>
      </c>
      <c r="J18" s="48">
        <v>417037175.50589997</v>
      </c>
      <c r="K18" s="48">
        <v>290291482.95499998</v>
      </c>
      <c r="L18" s="48">
        <v>210295758.36220008</v>
      </c>
      <c r="M18" s="48">
        <v>271979287.44479996</v>
      </c>
      <c r="N18" s="44">
        <f t="shared" si="2"/>
        <v>-0.30391941053491733</v>
      </c>
      <c r="O18" s="44">
        <f t="shared" si="2"/>
        <v>-0.27557034666842284</v>
      </c>
      <c r="P18" s="44">
        <f t="shared" si="2"/>
        <v>0.29331798968745759</v>
      </c>
      <c r="Q18" s="44">
        <f t="shared" si="3"/>
        <v>-6.3082097083222766E-2</v>
      </c>
      <c r="R18" s="48">
        <v>161887218.46491313</v>
      </c>
      <c r="S18" s="48">
        <v>109579845.50538288</v>
      </c>
      <c r="T18" s="48">
        <v>84557443.719020724</v>
      </c>
      <c r="U18" s="48">
        <v>122802106.99810217</v>
      </c>
      <c r="V18" s="44">
        <f t="shared" si="4"/>
        <v>-0.32310996170996142</v>
      </c>
      <c r="W18" s="44">
        <f t="shared" si="4"/>
        <v>-0.22834857697561717</v>
      </c>
      <c r="X18" s="44">
        <f t="shared" si="4"/>
        <v>0.45229209395409531</v>
      </c>
      <c r="Y18" s="44">
        <f>IFERROR(U18/S18-1,"")</f>
        <v>0.1206632609467384</v>
      </c>
    </row>
    <row r="19" spans="1:25" x14ac:dyDescent="0.3">
      <c r="A19" s="34" t="s">
        <v>391</v>
      </c>
      <c r="B19" s="48">
        <v>315257.5</v>
      </c>
      <c r="C19" s="48">
        <v>204938</v>
      </c>
      <c r="D19" s="48">
        <v>164270</v>
      </c>
      <c r="E19" s="48">
        <v>181722</v>
      </c>
      <c r="F19" s="44">
        <f t="shared" ref="F19" si="6">IFERROR(C19/B19-1,"")</f>
        <v>-0.34993457728999311</v>
      </c>
      <c r="G19" s="44">
        <f t="shared" si="0"/>
        <v>-0.1984405039572944</v>
      </c>
      <c r="H19" s="44">
        <f t="shared" si="0"/>
        <v>0.10623972727826136</v>
      </c>
      <c r="I19" s="44">
        <f t="shared" si="1"/>
        <v>-0.1132830417004167</v>
      </c>
      <c r="J19" s="93">
        <f>MROUND(J18/1000000,1)</f>
        <v>417</v>
      </c>
      <c r="K19" s="93">
        <f t="shared" ref="K19:M19" si="7">MROUND(K18/1000000,1)</f>
        <v>290</v>
      </c>
      <c r="L19" s="93">
        <f t="shared" si="7"/>
        <v>210</v>
      </c>
      <c r="M19" s="93">
        <f t="shared" si="7"/>
        <v>272</v>
      </c>
      <c r="N19" s="44">
        <f t="shared" si="2"/>
        <v>-0.30455635491606714</v>
      </c>
      <c r="O19" s="44">
        <f t="shared" si="2"/>
        <v>-0.27586206896551724</v>
      </c>
      <c r="P19" s="44">
        <f t="shared" si="2"/>
        <v>0.2952380952380953</v>
      </c>
      <c r="Q19" s="44">
        <f t="shared" si="3"/>
        <v>-6.2068965517241392E-2</v>
      </c>
      <c r="R19" s="93">
        <f t="shared" ref="R19:U19" si="8">MROUND(R18/1000000,1)</f>
        <v>162</v>
      </c>
      <c r="S19" s="93">
        <f t="shared" si="8"/>
        <v>110</v>
      </c>
      <c r="T19" s="93">
        <f t="shared" si="8"/>
        <v>85</v>
      </c>
      <c r="U19" s="93">
        <f t="shared" si="8"/>
        <v>123</v>
      </c>
      <c r="V19" s="44">
        <f t="shared" si="4"/>
        <v>-0.32098765432098764</v>
      </c>
      <c r="W19" s="44">
        <f t="shared" si="4"/>
        <v>-0.22727272727272729</v>
      </c>
      <c r="X19" s="44">
        <f t="shared" si="4"/>
        <v>0.44705882352941173</v>
      </c>
      <c r="Y19" s="44">
        <f t="shared" si="5"/>
        <v>0.11818181818181817</v>
      </c>
    </row>
    <row r="21" spans="1:25" ht="18" x14ac:dyDescent="0.35">
      <c r="A21" s="96" t="s">
        <v>400</v>
      </c>
      <c r="B21" t="s">
        <v>401</v>
      </c>
      <c r="L21" s="5" t="s">
        <v>252</v>
      </c>
    </row>
    <row r="35" spans="1:12" x14ac:dyDescent="0.3">
      <c r="A35" s="5" t="s">
        <v>251</v>
      </c>
    </row>
    <row r="37" spans="1:12" x14ac:dyDescent="0.3">
      <c r="L37" s="5" t="s">
        <v>390</v>
      </c>
    </row>
    <row r="49" spans="1:1" x14ac:dyDescent="0.3">
      <c r="A49" s="5" t="s">
        <v>116</v>
      </c>
    </row>
    <row r="63" spans="1:1" x14ac:dyDescent="0.3">
      <c r="A63" s="5" t="s">
        <v>259</v>
      </c>
    </row>
  </sheetData>
  <conditionalFormatting sqref="F3:I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{FBF3B664-5E71-4D8F-868B-60A94458E537}</x14:id>
        </ext>
      </extLst>
    </cfRule>
  </conditionalFormatting>
  <conditionalFormatting sqref="N3:Q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{3D7C97E9-0A06-43BE-9098-B1B8A5FCD494}</x14:id>
        </ext>
      </extLst>
    </cfRule>
  </conditionalFormatting>
  <conditionalFormatting sqref="V3:Y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{B65A4C22-E392-491C-A813-EBBBC6F87065}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F3B664-5E71-4D8F-868B-60A94458E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F3:I19</xm:sqref>
        </x14:conditionalFormatting>
        <x14:conditionalFormatting xmlns:xm="http://schemas.microsoft.com/office/excel/2006/main">
          <x14:cfRule type="dataBar" id="{3D7C97E9-0A06-43BE-9098-B1B8A5FCD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N3:Q19</xm:sqref>
        </x14:conditionalFormatting>
        <x14:conditionalFormatting xmlns:xm="http://schemas.microsoft.com/office/excel/2006/main">
          <x14:cfRule type="dataBar" id="{B65A4C22-E392-491C-A813-EBBBC6F87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V3:Y19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zoomScale="85" zoomScaleNormal="85" workbookViewId="0">
      <selection activeCell="A12" sqref="A12"/>
    </sheetView>
  </sheetViews>
  <sheetFormatPr defaultRowHeight="14.4" x14ac:dyDescent="0.3"/>
  <cols>
    <col min="1" max="1" width="36.88671875" customWidth="1"/>
    <col min="2" max="2" width="17.6640625" customWidth="1"/>
    <col min="3" max="5" width="11.5546875" bestFit="1" customWidth="1"/>
    <col min="6" max="11" width="15.33203125" bestFit="1" customWidth="1"/>
    <col min="12" max="12" width="14.33203125" bestFit="1" customWidth="1"/>
    <col min="13" max="13" width="15.33203125" bestFit="1" customWidth="1"/>
    <col min="18" max="20" width="13" customWidth="1"/>
    <col min="21" max="21" width="12.88671875" customWidth="1"/>
  </cols>
  <sheetData>
    <row r="1" spans="1:2" ht="43.2" x14ac:dyDescent="0.3">
      <c r="A1" s="92" t="s">
        <v>261</v>
      </c>
      <c r="B1" s="87" t="s">
        <v>369</v>
      </c>
    </row>
    <row r="2" spans="1:2" x14ac:dyDescent="0.3">
      <c r="A2" s="88" t="s">
        <v>251</v>
      </c>
      <c r="B2" s="89">
        <v>0.28335783061730141</v>
      </c>
    </row>
    <row r="3" spans="1:2" x14ac:dyDescent="0.3">
      <c r="A3" s="88" t="s">
        <v>116</v>
      </c>
      <c r="B3" s="89">
        <v>0.19648689659629037</v>
      </c>
    </row>
    <row r="4" spans="1:2" x14ac:dyDescent="0.3">
      <c r="A4" s="88" t="s">
        <v>259</v>
      </c>
      <c r="B4" s="89">
        <v>0.19043750400719522</v>
      </c>
    </row>
    <row r="5" spans="1:2" x14ac:dyDescent="0.3">
      <c r="A5" s="88" t="s">
        <v>252</v>
      </c>
      <c r="B5" s="89">
        <v>0.15194395398868554</v>
      </c>
    </row>
    <row r="6" spans="1:2" x14ac:dyDescent="0.3">
      <c r="A6" s="88" t="s">
        <v>256</v>
      </c>
      <c r="B6" s="89">
        <v>4.1455741094425964E-2</v>
      </c>
    </row>
    <row r="7" spans="1:2" x14ac:dyDescent="0.3">
      <c r="A7" s="88" t="s">
        <v>388</v>
      </c>
      <c r="B7" s="89">
        <v>1.7134588472000518E-2</v>
      </c>
    </row>
    <row r="8" spans="1:2" x14ac:dyDescent="0.3">
      <c r="A8" s="88" t="s">
        <v>249</v>
      </c>
      <c r="B8" s="89">
        <v>1.6544436627297269E-2</v>
      </c>
    </row>
    <row r="9" spans="1:2" x14ac:dyDescent="0.3">
      <c r="A9" s="88" t="s">
        <v>390</v>
      </c>
      <c r="B9" s="89">
        <v>1.0929527887001602E-2</v>
      </c>
    </row>
    <row r="10" spans="1:2" x14ac:dyDescent="0.3">
      <c r="A10" s="88" t="s">
        <v>250</v>
      </c>
      <c r="B10" s="89">
        <v>1.0375400384097821E-2</v>
      </c>
    </row>
    <row r="11" spans="1:2" x14ac:dyDescent="0.3">
      <c r="A11" s="88" t="s">
        <v>247</v>
      </c>
      <c r="B11" s="89">
        <v>8.5910587545387947E-3</v>
      </c>
    </row>
    <row r="12" spans="1:2" x14ac:dyDescent="0.3">
      <c r="A12" s="88" t="s">
        <v>258</v>
      </c>
      <c r="B12" s="89">
        <v>8.5505606121419695E-3</v>
      </c>
    </row>
    <row r="13" spans="1:2" x14ac:dyDescent="0.3">
      <c r="A13" s="88" t="s">
        <v>253</v>
      </c>
      <c r="B13" s="89">
        <v>7.2585246066445711E-3</v>
      </c>
    </row>
    <row r="14" spans="1:2" x14ac:dyDescent="0.3">
      <c r="A14" s="88" t="s">
        <v>248</v>
      </c>
      <c r="B14" s="89">
        <v>6.8770281653418551E-3</v>
      </c>
    </row>
    <row r="15" spans="1:2" x14ac:dyDescent="0.3">
      <c r="A15" s="88" t="s">
        <v>246</v>
      </c>
      <c r="B15" s="89">
        <v>5.2908235349432156E-3</v>
      </c>
    </row>
    <row r="16" spans="1:2" x14ac:dyDescent="0.3">
      <c r="A16" s="88" t="s">
        <v>389</v>
      </c>
      <c r="B16" s="89">
        <v>1.4339197249590128E-4</v>
      </c>
    </row>
    <row r="17" spans="1:2" x14ac:dyDescent="0.3">
      <c r="A17" s="90" t="s">
        <v>4</v>
      </c>
      <c r="B17" s="91">
        <v>0.95537726732040218</v>
      </c>
    </row>
    <row r="18" spans="1:2" x14ac:dyDescent="0.3">
      <c r="A18" s="94" t="s">
        <v>398</v>
      </c>
      <c r="B18" s="55">
        <f>100%-SUM(B2:B5)</f>
        <v>0.17777381479052745</v>
      </c>
    </row>
    <row r="45" spans="1:25" ht="57.6" x14ac:dyDescent="0.3">
      <c r="B45" s="75" t="s">
        <v>361</v>
      </c>
      <c r="C45" s="75" t="s">
        <v>363</v>
      </c>
      <c r="D45" s="75" t="s">
        <v>365</v>
      </c>
      <c r="E45" s="75" t="s">
        <v>367</v>
      </c>
      <c r="J45" s="75" t="s">
        <v>362</v>
      </c>
      <c r="K45" s="75" t="s">
        <v>364</v>
      </c>
      <c r="L45" s="75" t="s">
        <v>366</v>
      </c>
      <c r="M45" s="75" t="s">
        <v>368</v>
      </c>
      <c r="R45" s="75" t="s">
        <v>376</v>
      </c>
      <c r="S45" s="75" t="s">
        <v>377</v>
      </c>
      <c r="T45" s="75" t="s">
        <v>378</v>
      </c>
      <c r="U45" s="75" t="s">
        <v>379</v>
      </c>
    </row>
    <row r="46" spans="1:25" ht="43.2" x14ac:dyDescent="0.3">
      <c r="A46" s="75" t="s">
        <v>261</v>
      </c>
      <c r="B46" s="75" t="s">
        <v>334</v>
      </c>
      <c r="C46" s="75" t="s">
        <v>392</v>
      </c>
      <c r="D46" s="75" t="s">
        <v>330</v>
      </c>
      <c r="E46" s="75" t="s">
        <v>393</v>
      </c>
      <c r="F46" s="77" t="s">
        <v>394</v>
      </c>
      <c r="G46" s="77" t="s">
        <v>395</v>
      </c>
      <c r="H46" s="77" t="s">
        <v>396</v>
      </c>
      <c r="I46" s="84" t="s">
        <v>397</v>
      </c>
      <c r="J46" s="75" t="s">
        <v>334</v>
      </c>
      <c r="K46" s="75" t="s">
        <v>392</v>
      </c>
      <c r="L46" s="75" t="s">
        <v>330</v>
      </c>
      <c r="M46" s="75" t="s">
        <v>393</v>
      </c>
      <c r="N46" s="77" t="s">
        <v>394</v>
      </c>
      <c r="O46" s="77" t="s">
        <v>395</v>
      </c>
      <c r="P46" s="77" t="s">
        <v>396</v>
      </c>
      <c r="Q46" s="84" t="s">
        <v>397</v>
      </c>
      <c r="R46" s="75" t="s">
        <v>334</v>
      </c>
      <c r="S46" s="75" t="s">
        <v>392</v>
      </c>
      <c r="T46" s="75" t="s">
        <v>330</v>
      </c>
      <c r="U46" s="75" t="s">
        <v>393</v>
      </c>
      <c r="V46" s="77" t="s">
        <v>394</v>
      </c>
      <c r="W46" s="77" t="s">
        <v>395</v>
      </c>
      <c r="X46" s="77" t="s">
        <v>396</v>
      </c>
      <c r="Y46" s="84" t="s">
        <v>397</v>
      </c>
    </row>
    <row r="47" spans="1:25" x14ac:dyDescent="0.3">
      <c r="A47" s="5" t="s">
        <v>251</v>
      </c>
      <c r="B47" s="48">
        <v>26725</v>
      </c>
      <c r="C47" s="48">
        <v>19187</v>
      </c>
      <c r="D47" s="48">
        <v>11862</v>
      </c>
      <c r="E47" s="48">
        <v>17643</v>
      </c>
      <c r="F47" s="44">
        <f>IFERROR(C47/B47-1,"")</f>
        <v>-0.2820579981290926</v>
      </c>
      <c r="G47" s="44">
        <f>IFERROR(D47/C47-1,"")</f>
        <v>-0.38176890603012459</v>
      </c>
      <c r="H47" s="44">
        <f>IFERROR(E47/D47-1,"")</f>
        <v>0.48735457764289336</v>
      </c>
      <c r="I47" s="44">
        <f>IFERROR(E47/C47-1,"")</f>
        <v>-8.0471152342732055E-2</v>
      </c>
      <c r="J47" s="48">
        <v>104351482.65439998</v>
      </c>
      <c r="K47" s="48">
        <v>76149863.924999997</v>
      </c>
      <c r="L47" s="48">
        <v>48903590.938400008</v>
      </c>
      <c r="M47" s="48">
        <v>80667044.841199979</v>
      </c>
      <c r="N47" s="44">
        <f>IFERROR(K47/J47-1,"")</f>
        <v>-0.27025604248288904</v>
      </c>
      <c r="O47" s="44">
        <f>IFERROR(L47/K47-1,"")</f>
        <v>-0.3577980521860793</v>
      </c>
      <c r="P47" s="44">
        <f>IFERROR(M47/L47-1,"")</f>
        <v>0.6495116880641727</v>
      </c>
      <c r="Q47" s="44">
        <f>IFERROR(M47/K47-1,"")</f>
        <v>5.9319619016640068E-2</v>
      </c>
      <c r="R47" s="48">
        <v>41678917.37519908</v>
      </c>
      <c r="S47" s="48">
        <v>29293818.94481523</v>
      </c>
      <c r="T47" s="48">
        <v>20819003.04785135</v>
      </c>
      <c r="U47" s="48">
        <v>37262622.48077222</v>
      </c>
      <c r="V47" s="44">
        <f>IFERROR(S47/R47-1,"")</f>
        <v>-0.29715499370800758</v>
      </c>
      <c r="W47" s="44">
        <f>IFERROR(T47/S47-1,"")</f>
        <v>-0.28930389420816205</v>
      </c>
      <c r="X47" s="44">
        <f>IFERROR(U47/T47-1,"")</f>
        <v>0.78983702510279197</v>
      </c>
      <c r="Y47" s="44">
        <f>IFERROR(U47/S47-1,"")</f>
        <v>0.27203020374260234</v>
      </c>
    </row>
    <row r="48" spans="1:25" x14ac:dyDescent="0.3">
      <c r="A48" s="5" t="s">
        <v>116</v>
      </c>
      <c r="B48" s="48">
        <v>54881</v>
      </c>
      <c r="C48" s="48">
        <v>31299</v>
      </c>
      <c r="D48" s="48">
        <v>22967</v>
      </c>
      <c r="E48" s="48">
        <v>25652</v>
      </c>
      <c r="F48" s="44">
        <f t="shared" ref="F48:F61" si="0">IFERROR(C48/B48-1,"")</f>
        <v>-0.42969333649168195</v>
      </c>
      <c r="G48" s="44">
        <f t="shared" ref="G48:G62" si="1">IFERROR(D48/C48-1,"")</f>
        <v>-0.26620658806990638</v>
      </c>
      <c r="H48" s="44">
        <f t="shared" ref="H48:H62" si="2">IFERROR(E48/D48-1,"")</f>
        <v>0.11690686637349246</v>
      </c>
      <c r="I48" s="44">
        <f t="shared" ref="I48:I63" si="3">IFERROR(E48/C48-1,"")</f>
        <v>-0.18042109971564591</v>
      </c>
      <c r="J48" s="48">
        <v>101798290.11510001</v>
      </c>
      <c r="K48" s="48">
        <v>64253468.645000003</v>
      </c>
      <c r="L48" s="48">
        <v>46903608.631400004</v>
      </c>
      <c r="M48" s="48">
        <v>55936401.206600003</v>
      </c>
      <c r="N48" s="44">
        <f t="shared" ref="N48:N62" si="4">IFERROR(K48/J48-1,"")</f>
        <v>-0.3688158359796545</v>
      </c>
      <c r="O48" s="44">
        <f t="shared" ref="O48:O62" si="5">IFERROR(L48/K48-1,"")</f>
        <v>-0.27002215412615094</v>
      </c>
      <c r="P48" s="44">
        <f t="shared" ref="P48:P62" si="6">IFERROR(M48/L48-1,"")</f>
        <v>0.19258203875496527</v>
      </c>
      <c r="Q48" s="44">
        <f t="shared" ref="Q48:Q63" si="7">IFERROR(M48/K48-1,"")</f>
        <v>-0.12944153232180733</v>
      </c>
      <c r="R48" s="48">
        <v>36343787.825654991</v>
      </c>
      <c r="S48" s="48">
        <v>23321133.373067126</v>
      </c>
      <c r="T48" s="48">
        <v>18351032.553700421</v>
      </c>
      <c r="U48" s="48">
        <v>24679206.147043385</v>
      </c>
      <c r="V48" s="44">
        <f t="shared" ref="V48:V62" si="8">IFERROR(S48/R48-1,"")</f>
        <v>-0.35831858019474805</v>
      </c>
      <c r="W48" s="44">
        <f t="shared" ref="W48:W62" si="9">IFERROR(T48/S48-1,"")</f>
        <v>-0.21311574955900403</v>
      </c>
      <c r="X48" s="44">
        <f t="shared" ref="X48:X62" si="10">IFERROR(U48/T48-1,"")</f>
        <v>0.34484019222487339</v>
      </c>
      <c r="Y48" s="44">
        <f t="shared" ref="Y48:Y63" si="11">IFERROR(U48/S48-1,"")</f>
        <v>5.8233566621794575E-2</v>
      </c>
    </row>
    <row r="49" spans="1:25" x14ac:dyDescent="0.3">
      <c r="A49" s="5" t="s">
        <v>259</v>
      </c>
      <c r="B49" s="48">
        <v>107526</v>
      </c>
      <c r="C49" s="48">
        <v>64256</v>
      </c>
      <c r="D49" s="48">
        <v>58364</v>
      </c>
      <c r="E49" s="48">
        <v>67148</v>
      </c>
      <c r="F49" s="44">
        <f t="shared" si="0"/>
        <v>-0.40241429979725829</v>
      </c>
      <c r="G49" s="44">
        <f t="shared" si="1"/>
        <v>-9.1695717131474064E-2</v>
      </c>
      <c r="H49" s="44">
        <f t="shared" si="2"/>
        <v>0.15050373517922</v>
      </c>
      <c r="I49" s="44">
        <f t="shared" si="3"/>
        <v>4.5007470119521997E-2</v>
      </c>
      <c r="J49" s="48">
        <v>77193435.386399999</v>
      </c>
      <c r="K49" s="48">
        <v>51648130.935999982</v>
      </c>
      <c r="L49" s="48">
        <v>46674388.507700011</v>
      </c>
      <c r="M49" s="48">
        <v>54214244.376900002</v>
      </c>
      <c r="N49" s="44">
        <f t="shared" si="4"/>
        <v>-0.33092586594352569</v>
      </c>
      <c r="O49" s="44">
        <f t="shared" si="5"/>
        <v>-9.630053088393864E-2</v>
      </c>
      <c r="P49" s="44">
        <f t="shared" si="6"/>
        <v>0.16154161008357115</v>
      </c>
      <c r="Q49" s="44">
        <f t="shared" si="7"/>
        <v>4.9684536388738376E-2</v>
      </c>
      <c r="R49" s="48">
        <v>33002286.946643487</v>
      </c>
      <c r="S49" s="48">
        <v>22045621.049319521</v>
      </c>
      <c r="T49" s="48">
        <v>19928779.213011783</v>
      </c>
      <c r="U49" s="48">
        <v>25520625.676624786</v>
      </c>
      <c r="V49" s="44">
        <f t="shared" si="8"/>
        <v>-0.33199717083359037</v>
      </c>
      <c r="W49" s="44">
        <f t="shared" si="9"/>
        <v>-9.6020966321249457E-2</v>
      </c>
      <c r="X49" s="44">
        <f t="shared" si="10"/>
        <v>0.28059152062671289</v>
      </c>
      <c r="Y49" s="44">
        <f t="shared" si="11"/>
        <v>0.15762788535333772</v>
      </c>
    </row>
    <row r="50" spans="1:25" x14ac:dyDescent="0.3">
      <c r="A50" s="5" t="s">
        <v>252</v>
      </c>
      <c r="B50" s="48">
        <v>78009</v>
      </c>
      <c r="C50" s="48">
        <v>58965</v>
      </c>
      <c r="D50" s="48">
        <v>40156</v>
      </c>
      <c r="E50" s="48">
        <v>47534</v>
      </c>
      <c r="F50" s="44">
        <f t="shared" si="0"/>
        <v>-0.24412567780640693</v>
      </c>
      <c r="G50" s="44">
        <f t="shared" si="1"/>
        <v>-0.31898583905706779</v>
      </c>
      <c r="H50" s="44">
        <f t="shared" si="2"/>
        <v>0.18373343958561605</v>
      </c>
      <c r="I50" s="44">
        <f t="shared" si="3"/>
        <v>-0.19386076486051051</v>
      </c>
      <c r="J50" s="48">
        <v>66683259.694999993</v>
      </c>
      <c r="K50" s="48">
        <v>49237454.959999993</v>
      </c>
      <c r="L50" s="48">
        <v>27945548.176300008</v>
      </c>
      <c r="M50" s="48">
        <v>43255800.353399999</v>
      </c>
      <c r="N50" s="44">
        <f t="shared" si="4"/>
        <v>-0.26162195451744108</v>
      </c>
      <c r="O50" s="44">
        <f t="shared" si="5"/>
        <v>-0.43243313044911269</v>
      </c>
      <c r="P50" s="44">
        <f t="shared" si="6"/>
        <v>0.54786014861874399</v>
      </c>
      <c r="Q50" s="44">
        <f t="shared" si="7"/>
        <v>-0.1214858609458882</v>
      </c>
      <c r="R50" s="48">
        <v>24715841.126966435</v>
      </c>
      <c r="S50" s="48">
        <v>17502360.574590068</v>
      </c>
      <c r="T50" s="48">
        <v>10575011.4787878</v>
      </c>
      <c r="U50" s="48">
        <v>19039783.293511096</v>
      </c>
      <c r="V50" s="44">
        <f t="shared" si="8"/>
        <v>-0.29185656742654964</v>
      </c>
      <c r="W50" s="44">
        <f t="shared" si="9"/>
        <v>-0.39579513096418517</v>
      </c>
      <c r="X50" s="44">
        <f t="shared" si="10"/>
        <v>0.80045036657431612</v>
      </c>
      <c r="Y50" s="44">
        <f t="shared" si="11"/>
        <v>8.7840877941519402E-2</v>
      </c>
    </row>
    <row r="51" spans="1:25" x14ac:dyDescent="0.3">
      <c r="A51" s="5" t="s">
        <v>256</v>
      </c>
      <c r="B51" s="48">
        <v>6808</v>
      </c>
      <c r="C51" s="48">
        <v>7086</v>
      </c>
      <c r="D51" s="48">
        <v>1539</v>
      </c>
      <c r="E51" s="48">
        <v>5029</v>
      </c>
      <c r="F51" s="44">
        <f t="shared" si="0"/>
        <v>4.0834312573442944E-2</v>
      </c>
      <c r="G51" s="44">
        <f t="shared" si="1"/>
        <v>-0.78281117696867064</v>
      </c>
      <c r="H51" s="44">
        <f t="shared" si="2"/>
        <v>2.2677063027940223</v>
      </c>
      <c r="I51" s="44">
        <f t="shared" si="3"/>
        <v>-0.29029071408410956</v>
      </c>
      <c r="J51" s="48">
        <v>13274969.159999998</v>
      </c>
      <c r="K51" s="48">
        <v>14856407.569999987</v>
      </c>
      <c r="L51" s="48">
        <v>3462301.834999999</v>
      </c>
      <c r="M51" s="48">
        <v>11801728.290000007</v>
      </c>
      <c r="N51" s="44">
        <f t="shared" si="4"/>
        <v>0.11912934719013601</v>
      </c>
      <c r="O51" s="44">
        <f t="shared" si="5"/>
        <v>-0.7669489196034488</v>
      </c>
      <c r="P51" s="44">
        <f t="shared" si="6"/>
        <v>2.4086364656881538</v>
      </c>
      <c r="Q51" s="44">
        <f t="shared" si="7"/>
        <v>-0.20561358899229387</v>
      </c>
      <c r="R51" s="48">
        <v>4245577.9875624245</v>
      </c>
      <c r="S51" s="48">
        <v>4785922.3312698985</v>
      </c>
      <c r="T51" s="48">
        <v>1236084.8183022514</v>
      </c>
      <c r="U51" s="48">
        <v>5069489.9587340355</v>
      </c>
      <c r="V51" s="44">
        <f t="shared" si="8"/>
        <v>0.12727226900328592</v>
      </c>
      <c r="W51" s="44">
        <f t="shared" si="9"/>
        <v>-0.74172484784677484</v>
      </c>
      <c r="X51" s="44">
        <f t="shared" si="10"/>
        <v>3.1012476519992562</v>
      </c>
      <c r="Y51" s="44">
        <f t="shared" si="11"/>
        <v>5.9250361338165636E-2</v>
      </c>
    </row>
    <row r="52" spans="1:25" x14ac:dyDescent="0.3">
      <c r="A52" s="5" t="s">
        <v>388</v>
      </c>
      <c r="B52" s="48">
        <v>3932.5</v>
      </c>
      <c r="C52" s="48">
        <v>2361</v>
      </c>
      <c r="D52" s="48">
        <v>1622</v>
      </c>
      <c r="E52" s="48">
        <v>1498</v>
      </c>
      <c r="F52" s="44">
        <f t="shared" si="0"/>
        <v>-0.39961856325492684</v>
      </c>
      <c r="G52" s="44">
        <f t="shared" si="1"/>
        <v>-0.31300296484540446</v>
      </c>
      <c r="H52" s="44">
        <f t="shared" si="2"/>
        <v>-7.644882860665847E-2</v>
      </c>
      <c r="I52" s="44">
        <f t="shared" si="3"/>
        <v>-0.36552308343922069</v>
      </c>
      <c r="J52" s="48">
        <v>10065869.914999997</v>
      </c>
      <c r="K52" s="48">
        <v>5679902.0000000009</v>
      </c>
      <c r="L52" s="48">
        <v>4934825.8</v>
      </c>
      <c r="M52" s="48">
        <v>4877919.25</v>
      </c>
      <c r="N52" s="44">
        <f t="shared" si="4"/>
        <v>-0.43572666367008162</v>
      </c>
      <c r="O52" s="44">
        <f t="shared" si="5"/>
        <v>-0.13117765060030984</v>
      </c>
      <c r="P52" s="44">
        <f t="shared" si="6"/>
        <v>-1.1531622858906188E-2</v>
      </c>
      <c r="Q52" s="44">
        <f t="shared" si="7"/>
        <v>-0.14119658226497589</v>
      </c>
      <c r="R52" s="48">
        <v>4222096.3862060532</v>
      </c>
      <c r="S52" s="48">
        <v>2198456.581741726</v>
      </c>
      <c r="T52" s="48">
        <v>2256819.8898099037</v>
      </c>
      <c r="U52" s="48">
        <v>1975349.0911521262</v>
      </c>
      <c r="V52" s="44">
        <f t="shared" si="8"/>
        <v>-0.47929739621192213</v>
      </c>
      <c r="W52" s="44">
        <f t="shared" si="9"/>
        <v>2.6547400823326406E-2</v>
      </c>
      <c r="X52" s="44">
        <f t="shared" si="10"/>
        <v>-0.12472009836880971</v>
      </c>
      <c r="Y52" s="44">
        <f t="shared" si="11"/>
        <v>-0.10148369198760476</v>
      </c>
    </row>
    <row r="53" spans="1:25" x14ac:dyDescent="0.3">
      <c r="A53" s="5" t="s">
        <v>249</v>
      </c>
      <c r="B53" s="48">
        <v>8503</v>
      </c>
      <c r="C53" s="48">
        <v>3416</v>
      </c>
      <c r="D53" s="48">
        <v>3012</v>
      </c>
      <c r="E53" s="48">
        <v>2295</v>
      </c>
      <c r="F53" s="44">
        <f t="shared" si="0"/>
        <v>-0.59825943784546631</v>
      </c>
      <c r="G53" s="44">
        <f t="shared" si="1"/>
        <v>-0.11826697892271665</v>
      </c>
      <c r="H53" s="44">
        <f t="shared" si="2"/>
        <v>-0.23804780876494025</v>
      </c>
      <c r="I53" s="44">
        <f t="shared" si="3"/>
        <v>-0.32816159250585475</v>
      </c>
      <c r="J53" s="48">
        <v>14549396.079999996</v>
      </c>
      <c r="K53" s="48">
        <v>6480186.6800000034</v>
      </c>
      <c r="L53" s="48">
        <v>4671519.08</v>
      </c>
      <c r="M53" s="48">
        <v>4709913.2866000002</v>
      </c>
      <c r="N53" s="44">
        <f t="shared" si="4"/>
        <v>-0.55460785833524406</v>
      </c>
      <c r="O53" s="44">
        <f t="shared" si="5"/>
        <v>-0.27910732966723772</v>
      </c>
      <c r="P53" s="44">
        <f t="shared" si="6"/>
        <v>8.2187840705554294E-3</v>
      </c>
      <c r="Q53" s="44">
        <f t="shared" si="7"/>
        <v>-0.27318246847172656</v>
      </c>
      <c r="R53" s="48">
        <v>5928440.8388966098</v>
      </c>
      <c r="S53" s="48">
        <v>2412246.8013150645</v>
      </c>
      <c r="T53" s="48">
        <v>1930051.510376153</v>
      </c>
      <c r="U53" s="48">
        <v>2236567.3582606195</v>
      </c>
      <c r="V53" s="44">
        <f t="shared" si="8"/>
        <v>-0.59310603464434219</v>
      </c>
      <c r="W53" s="44">
        <f t="shared" si="9"/>
        <v>-0.1998946752363967</v>
      </c>
      <c r="X53" s="44">
        <f t="shared" si="10"/>
        <v>0.15881226290417949</v>
      </c>
      <c r="Y53" s="44">
        <f t="shared" si="11"/>
        <v>-7.2828138049005342E-2</v>
      </c>
    </row>
    <row r="54" spans="1:25" x14ac:dyDescent="0.3">
      <c r="A54" s="5" t="s">
        <v>390</v>
      </c>
      <c r="B54" s="48">
        <v>4475</v>
      </c>
      <c r="C54" s="48">
        <v>1917</v>
      </c>
      <c r="D54" s="48">
        <v>12977</v>
      </c>
      <c r="E54" s="48">
        <v>3475</v>
      </c>
      <c r="F54" s="44">
        <f t="shared" si="0"/>
        <v>-0.57162011173184357</v>
      </c>
      <c r="G54" s="44">
        <f t="shared" si="1"/>
        <v>5.7694314032342202</v>
      </c>
      <c r="H54" s="44">
        <f t="shared" si="2"/>
        <v>-0.73221854049472146</v>
      </c>
      <c r="I54" s="44">
        <f t="shared" si="3"/>
        <v>0.81272822117892551</v>
      </c>
      <c r="J54" s="48">
        <v>4239927.1399999997</v>
      </c>
      <c r="K54" s="48">
        <v>1956771.4600000002</v>
      </c>
      <c r="L54" s="48">
        <v>11816811.149999999</v>
      </c>
      <c r="M54" s="48">
        <v>3111446.45</v>
      </c>
      <c r="N54" s="44">
        <f t="shared" si="4"/>
        <v>-0.53848936658850222</v>
      </c>
      <c r="O54" s="44">
        <f t="shared" si="5"/>
        <v>5.0389326968209138</v>
      </c>
      <c r="P54" s="44">
        <f t="shared" si="6"/>
        <v>-0.73669322370443391</v>
      </c>
      <c r="Q54" s="44">
        <f t="shared" si="7"/>
        <v>0.59009190066580386</v>
      </c>
      <c r="R54" s="48">
        <v>1910384.6067758801</v>
      </c>
      <c r="S54" s="48">
        <v>842104.96828502789</v>
      </c>
      <c r="T54" s="48">
        <v>3649948.1279002479</v>
      </c>
      <c r="U54" s="48">
        <v>1181067.1839483643</v>
      </c>
      <c r="V54" s="44">
        <f t="shared" si="8"/>
        <v>-0.55919610883683135</v>
      </c>
      <c r="W54" s="44">
        <f t="shared" si="9"/>
        <v>3.3343149195918853</v>
      </c>
      <c r="X54" s="44">
        <f t="shared" si="10"/>
        <v>-0.67641535096888838</v>
      </c>
      <c r="Y54" s="44">
        <f t="shared" si="11"/>
        <v>0.40251777204645078</v>
      </c>
    </row>
    <row r="55" spans="1:25" x14ac:dyDescent="0.3">
      <c r="A55" s="5" t="s">
        <v>250</v>
      </c>
      <c r="B55" s="48">
        <v>2133</v>
      </c>
      <c r="C55" s="48">
        <v>1664</v>
      </c>
      <c r="D55" s="48">
        <v>1467</v>
      </c>
      <c r="E55" s="48">
        <v>1156</v>
      </c>
      <c r="F55" s="44">
        <f t="shared" si="0"/>
        <v>-0.21987810595405533</v>
      </c>
      <c r="G55" s="44">
        <f t="shared" si="1"/>
        <v>-0.11838942307692313</v>
      </c>
      <c r="H55" s="44">
        <f t="shared" si="2"/>
        <v>-0.21199727334696661</v>
      </c>
      <c r="I55" s="44">
        <f t="shared" si="3"/>
        <v>-0.30528846153846156</v>
      </c>
      <c r="J55" s="48">
        <v>3900269.6100000003</v>
      </c>
      <c r="K55" s="48">
        <v>3364475.79</v>
      </c>
      <c r="L55" s="48">
        <v>3463375.7800000003</v>
      </c>
      <c r="M55" s="48">
        <v>2953695.9899999998</v>
      </c>
      <c r="N55" s="44">
        <f t="shared" si="4"/>
        <v>-0.13737353403115127</v>
      </c>
      <c r="O55" s="44">
        <f t="shared" si="5"/>
        <v>2.9395363846562272E-2</v>
      </c>
      <c r="P55" s="44">
        <f t="shared" si="6"/>
        <v>-0.14716271706444761</v>
      </c>
      <c r="Q55" s="44">
        <f t="shared" si="7"/>
        <v>-0.12209325483064337</v>
      </c>
      <c r="R55" s="48">
        <v>1710718.2832022347</v>
      </c>
      <c r="S55" s="48">
        <v>1421269.5974718439</v>
      </c>
      <c r="T55" s="48">
        <v>1324345.9683071251</v>
      </c>
      <c r="U55" s="48">
        <v>1271305.661940888</v>
      </c>
      <c r="V55" s="44">
        <f t="shared" si="8"/>
        <v>-0.16919716622691472</v>
      </c>
      <c r="W55" s="44">
        <f t="shared" si="9"/>
        <v>-6.8195104811308638E-2</v>
      </c>
      <c r="X55" s="44">
        <f t="shared" si="10"/>
        <v>-4.0050189025785388E-2</v>
      </c>
      <c r="Y55" s="44">
        <f t="shared" si="11"/>
        <v>-0.10551406699876786</v>
      </c>
    </row>
    <row r="56" spans="1:25" x14ac:dyDescent="0.3">
      <c r="A56" s="5" t="s">
        <v>247</v>
      </c>
      <c r="B56" s="48">
        <v>15093</v>
      </c>
      <c r="C56" s="48">
        <v>9342</v>
      </c>
      <c r="D56" s="48">
        <v>6957</v>
      </c>
      <c r="E56" s="48">
        <v>7040</v>
      </c>
      <c r="F56" s="44">
        <f t="shared" si="0"/>
        <v>-0.38103756708407877</v>
      </c>
      <c r="G56" s="44">
        <f t="shared" si="1"/>
        <v>-0.25529865125240847</v>
      </c>
      <c r="H56" s="44">
        <f t="shared" si="2"/>
        <v>1.1930429782952334E-2</v>
      </c>
      <c r="I56" s="44">
        <f t="shared" si="3"/>
        <v>-0.24641404410190537</v>
      </c>
      <c r="J56" s="48">
        <v>5550667.4400000013</v>
      </c>
      <c r="K56" s="48">
        <v>3071901.2590000001</v>
      </c>
      <c r="L56" s="48">
        <v>2897245.35</v>
      </c>
      <c r="M56" s="48">
        <v>2445724.9700000007</v>
      </c>
      <c r="N56" s="44">
        <f t="shared" si="4"/>
        <v>-0.4465708327501603</v>
      </c>
      <c r="O56" s="44">
        <f t="shared" si="5"/>
        <v>-5.6855964523044533E-2</v>
      </c>
      <c r="P56" s="44">
        <f t="shared" si="6"/>
        <v>-0.15584471643038422</v>
      </c>
      <c r="Q56" s="44">
        <f t="shared" si="7"/>
        <v>-0.20383997928495901</v>
      </c>
      <c r="R56" s="48">
        <v>2409463.1014333204</v>
      </c>
      <c r="S56" s="48">
        <v>1294452.2917733777</v>
      </c>
      <c r="T56" s="48">
        <v>1293366.666959974</v>
      </c>
      <c r="U56" s="48">
        <v>1171741.5558052917</v>
      </c>
      <c r="V56" s="44">
        <f t="shared" si="8"/>
        <v>-0.46276318114050174</v>
      </c>
      <c r="W56" s="44">
        <f t="shared" si="9"/>
        <v>-8.3867502904755309E-4</v>
      </c>
      <c r="X56" s="44">
        <f t="shared" si="10"/>
        <v>-9.4037610726863008E-2</v>
      </c>
      <c r="Y56" s="44">
        <f t="shared" si="11"/>
        <v>-9.4797418760002583E-2</v>
      </c>
    </row>
    <row r="57" spans="1:25" x14ac:dyDescent="0.3">
      <c r="A57" s="5" t="s">
        <v>258</v>
      </c>
      <c r="B57" s="48">
        <v>1764</v>
      </c>
      <c r="C57" s="48">
        <v>1714</v>
      </c>
      <c r="D57" s="48">
        <v>689</v>
      </c>
      <c r="E57" s="48">
        <v>1201</v>
      </c>
      <c r="F57" s="44">
        <f t="shared" si="0"/>
        <v>-2.8344671201814053E-2</v>
      </c>
      <c r="G57" s="44">
        <f t="shared" si="1"/>
        <v>-0.59801633605600935</v>
      </c>
      <c r="H57" s="44">
        <f t="shared" si="2"/>
        <v>0.74310595065312057</v>
      </c>
      <c r="I57" s="44">
        <f t="shared" si="3"/>
        <v>-0.29929988331388568</v>
      </c>
      <c r="J57" s="48">
        <v>3099852.13</v>
      </c>
      <c r="K57" s="48">
        <v>3128273.6599999988</v>
      </c>
      <c r="L57" s="48">
        <v>1220087.1000000001</v>
      </c>
      <c r="M57" s="48">
        <v>2434195.8533999999</v>
      </c>
      <c r="N57" s="44">
        <f t="shared" si="4"/>
        <v>9.1686728295645725E-3</v>
      </c>
      <c r="O57" s="44">
        <f t="shared" si="5"/>
        <v>-0.60998070098509194</v>
      </c>
      <c r="P57" s="44">
        <f t="shared" si="6"/>
        <v>0.99510006572481569</v>
      </c>
      <c r="Q57" s="44">
        <f t="shared" si="7"/>
        <v>-0.2218724709014106</v>
      </c>
      <c r="R57" s="48">
        <v>1175832.6435892312</v>
      </c>
      <c r="S57" s="48">
        <v>1174931.7611138998</v>
      </c>
      <c r="T57" s="48">
        <v>526905.54240195733</v>
      </c>
      <c r="U57" s="48">
        <v>1086763.9890043957</v>
      </c>
      <c r="V57" s="44">
        <f t="shared" si="8"/>
        <v>-7.6616555956587895E-4</v>
      </c>
      <c r="W57" s="44">
        <f t="shared" si="9"/>
        <v>-0.55154370675755504</v>
      </c>
      <c r="X57" s="44">
        <f t="shared" si="10"/>
        <v>1.0625404395069777</v>
      </c>
      <c r="Y57" s="44">
        <f t="shared" si="11"/>
        <v>-7.5040759836057402E-2</v>
      </c>
    </row>
    <row r="58" spans="1:25" x14ac:dyDescent="0.3">
      <c r="A58" s="5" t="s">
        <v>253</v>
      </c>
      <c r="B58" s="48">
        <v>444</v>
      </c>
      <c r="C58" s="48">
        <v>570</v>
      </c>
      <c r="D58" s="48">
        <v>630</v>
      </c>
      <c r="E58" s="48">
        <v>431</v>
      </c>
      <c r="F58" s="44">
        <f t="shared" si="0"/>
        <v>0.28378378378378377</v>
      </c>
      <c r="G58" s="44">
        <f t="shared" si="1"/>
        <v>0.10526315789473695</v>
      </c>
      <c r="H58" s="44">
        <f t="shared" si="2"/>
        <v>-0.31587301587301586</v>
      </c>
      <c r="I58" s="44">
        <f t="shared" si="3"/>
        <v>-0.243859649122807</v>
      </c>
      <c r="J58" s="48">
        <v>2405433.59</v>
      </c>
      <c r="K58" s="48">
        <v>2617486.3199999998</v>
      </c>
      <c r="L58" s="48">
        <v>2979997.6834</v>
      </c>
      <c r="M58" s="48">
        <v>2066375.6800000004</v>
      </c>
      <c r="N58" s="44">
        <f t="shared" si="4"/>
        <v>8.8155719983938452E-2</v>
      </c>
      <c r="O58" s="44">
        <f t="shared" si="5"/>
        <v>0.13849599160464776</v>
      </c>
      <c r="P58" s="44">
        <f t="shared" si="6"/>
        <v>-0.30658480323300497</v>
      </c>
      <c r="Q58" s="44">
        <f t="shared" si="7"/>
        <v>-0.21054957796302809</v>
      </c>
      <c r="R58" s="48">
        <v>1086348.5965052603</v>
      </c>
      <c r="S58" s="48">
        <v>892745.76164967089</v>
      </c>
      <c r="T58" s="48">
        <v>1199134.5323817846</v>
      </c>
      <c r="U58" s="48">
        <v>881718.07161416591</v>
      </c>
      <c r="V58" s="44">
        <f t="shared" si="8"/>
        <v>-0.17821428174934084</v>
      </c>
      <c r="W58" s="44">
        <f t="shared" si="9"/>
        <v>0.34319823615398581</v>
      </c>
      <c r="X58" s="44">
        <f t="shared" si="10"/>
        <v>-0.26470462837655861</v>
      </c>
      <c r="Y58" s="44">
        <f t="shared" si="11"/>
        <v>-1.235255378320399E-2</v>
      </c>
    </row>
    <row r="59" spans="1:25" x14ac:dyDescent="0.3">
      <c r="A59" s="5" t="s">
        <v>248</v>
      </c>
      <c r="B59" s="48">
        <v>1147</v>
      </c>
      <c r="C59" s="48">
        <v>1090</v>
      </c>
      <c r="D59" s="48">
        <v>544</v>
      </c>
      <c r="E59" s="48">
        <v>366</v>
      </c>
      <c r="F59" s="44">
        <f t="shared" si="0"/>
        <v>-4.9694856146469069E-2</v>
      </c>
      <c r="G59" s="44">
        <f t="shared" si="1"/>
        <v>-0.50091743119266052</v>
      </c>
      <c r="H59" s="44">
        <f t="shared" si="2"/>
        <v>-0.32720588235294112</v>
      </c>
      <c r="I59" s="44">
        <f t="shared" si="3"/>
        <v>-0.66422018348623846</v>
      </c>
      <c r="J59" s="48">
        <v>5191399.0299999984</v>
      </c>
      <c r="K59" s="48">
        <v>5461875.8900000006</v>
      </c>
      <c r="L59" s="48">
        <v>2641522.1199999996</v>
      </c>
      <c r="M59" s="48">
        <v>1957770.2799999998</v>
      </c>
      <c r="N59" s="44">
        <f t="shared" si="4"/>
        <v>5.2100957456164165E-2</v>
      </c>
      <c r="O59" s="44">
        <f t="shared" si="5"/>
        <v>-0.51637090018169574</v>
      </c>
      <c r="P59" s="44">
        <f t="shared" si="6"/>
        <v>-0.25884766772272949</v>
      </c>
      <c r="Q59" s="44">
        <f t="shared" si="7"/>
        <v>-0.6415571647125069</v>
      </c>
      <c r="R59" s="48">
        <v>1407241.5762289558</v>
      </c>
      <c r="S59" s="48">
        <v>1342205.8988341822</v>
      </c>
      <c r="T59" s="48">
        <v>671537.06210619002</v>
      </c>
      <c r="U59" s="48">
        <v>687505.29829864763</v>
      </c>
      <c r="V59" s="44">
        <f t="shared" si="8"/>
        <v>-4.6215005648889695E-2</v>
      </c>
      <c r="W59" s="44">
        <f t="shared" si="9"/>
        <v>-0.4996765677386189</v>
      </c>
      <c r="X59" s="44">
        <f t="shared" si="10"/>
        <v>2.3778637239135092E-2</v>
      </c>
      <c r="Y59" s="44">
        <f t="shared" si="11"/>
        <v>-0.48777955834063658</v>
      </c>
    </row>
    <row r="60" spans="1:25" x14ac:dyDescent="0.3">
      <c r="A60" s="5" t="s">
        <v>246</v>
      </c>
      <c r="B60" s="48">
        <v>3817</v>
      </c>
      <c r="C60" s="48">
        <v>2071</v>
      </c>
      <c r="D60" s="48">
        <v>1405</v>
      </c>
      <c r="E60" s="48">
        <v>1243</v>
      </c>
      <c r="F60" s="44">
        <f t="shared" si="0"/>
        <v>-0.45742729892585798</v>
      </c>
      <c r="G60" s="44">
        <f t="shared" si="1"/>
        <v>-0.32158377595364562</v>
      </c>
      <c r="H60" s="44">
        <f t="shared" si="2"/>
        <v>-0.1153024911032029</v>
      </c>
      <c r="I60" s="44">
        <f t="shared" si="3"/>
        <v>-0.39980685659101878</v>
      </c>
      <c r="J60" s="48">
        <v>4732923.5600000005</v>
      </c>
      <c r="K60" s="48">
        <v>2385283.8599999989</v>
      </c>
      <c r="L60" s="48">
        <v>1569499.06</v>
      </c>
      <c r="M60" s="48">
        <v>1506205.4167000004</v>
      </c>
      <c r="N60" s="44">
        <f t="shared" si="4"/>
        <v>-0.49602315994302715</v>
      </c>
      <c r="O60" s="44">
        <f t="shared" si="5"/>
        <v>-0.34200742883490576</v>
      </c>
      <c r="P60" s="44">
        <f t="shared" si="6"/>
        <v>-4.0327289714974235E-2</v>
      </c>
      <c r="Q60" s="44">
        <f t="shared" si="7"/>
        <v>-0.36854248588258121</v>
      </c>
      <c r="R60" s="48">
        <v>2050281.1700491479</v>
      </c>
      <c r="S60" s="48">
        <v>1052575.57013625</v>
      </c>
      <c r="T60" s="48">
        <v>731319.49272191769</v>
      </c>
      <c r="U60" s="48">
        <v>724816.76309646643</v>
      </c>
      <c r="V60" s="44">
        <f t="shared" si="8"/>
        <v>-0.48661891573094906</v>
      </c>
      <c r="W60" s="44">
        <f t="shared" si="9"/>
        <v>-0.30520951324449563</v>
      </c>
      <c r="X60" s="44">
        <f t="shared" si="10"/>
        <v>-8.8917766997411718E-3</v>
      </c>
      <c r="Y60" s="44">
        <f t="shared" si="11"/>
        <v>-0.31138743510583</v>
      </c>
    </row>
    <row r="61" spans="1:25" x14ac:dyDescent="0.3">
      <c r="A61" s="5" t="s">
        <v>389</v>
      </c>
      <c r="B61" s="48">
        <v>0</v>
      </c>
      <c r="C61" s="48">
        <v>0</v>
      </c>
      <c r="D61" s="48">
        <v>79</v>
      </c>
      <c r="E61" s="48">
        <v>11</v>
      </c>
      <c r="F61" s="44" t="str">
        <f t="shared" si="0"/>
        <v/>
      </c>
      <c r="G61" s="44" t="str">
        <f t="shared" si="1"/>
        <v/>
      </c>
      <c r="H61" s="44">
        <f t="shared" si="2"/>
        <v>-0.86075949367088611</v>
      </c>
      <c r="I61" s="44" t="str">
        <f t="shared" si="3"/>
        <v/>
      </c>
      <c r="J61" s="48">
        <v>0</v>
      </c>
      <c r="K61" s="48">
        <v>0</v>
      </c>
      <c r="L61" s="48">
        <v>211437.15</v>
      </c>
      <c r="M61" s="48">
        <v>40821.199999999997</v>
      </c>
      <c r="N61" s="44" t="str">
        <f t="shared" si="4"/>
        <v/>
      </c>
      <c r="O61" s="44" t="str">
        <f t="shared" si="5"/>
        <v/>
      </c>
      <c r="P61" s="44">
        <f t="shared" si="6"/>
        <v>-0.80693459025530756</v>
      </c>
      <c r="Q61" s="44" t="str">
        <f t="shared" si="7"/>
        <v/>
      </c>
      <c r="R61" s="48">
        <v>0</v>
      </c>
      <c r="S61" s="48">
        <v>0</v>
      </c>
      <c r="T61" s="48">
        <v>64103.814401877957</v>
      </c>
      <c r="U61" s="48">
        <v>13544.46829570692</v>
      </c>
      <c r="V61" s="44" t="str">
        <f t="shared" si="8"/>
        <v/>
      </c>
      <c r="W61" s="44" t="str">
        <f t="shared" si="9"/>
        <v/>
      </c>
      <c r="X61" s="44">
        <f t="shared" si="10"/>
        <v>-0.78871041572043921</v>
      </c>
      <c r="Y61" s="44" t="str">
        <f t="shared" si="11"/>
        <v/>
      </c>
    </row>
    <row r="62" spans="1:25" x14ac:dyDescent="0.3">
      <c r="A62" s="5" t="s">
        <v>4</v>
      </c>
      <c r="B62" s="48">
        <v>315257.5</v>
      </c>
      <c r="C62" s="48">
        <v>204938</v>
      </c>
      <c r="D62" s="48">
        <v>164270</v>
      </c>
      <c r="E62" s="48">
        <v>181722</v>
      </c>
      <c r="F62" s="44">
        <f>IFERROR(C62/B62-1,"")</f>
        <v>-0.34993457728999311</v>
      </c>
      <c r="G62" s="44">
        <f t="shared" si="1"/>
        <v>-0.1984405039572944</v>
      </c>
      <c r="H62" s="44">
        <f t="shared" si="2"/>
        <v>0.10623972727826136</v>
      </c>
      <c r="I62" s="44">
        <f t="shared" si="3"/>
        <v>-0.1132830417004167</v>
      </c>
      <c r="J62" s="48">
        <v>417037175.50589997</v>
      </c>
      <c r="K62" s="48">
        <v>290291482.95499998</v>
      </c>
      <c r="L62" s="48">
        <v>210295758.36220008</v>
      </c>
      <c r="M62" s="48">
        <v>271979287.44479996</v>
      </c>
      <c r="N62" s="44">
        <f t="shared" si="4"/>
        <v>-0.30391941053491733</v>
      </c>
      <c r="O62" s="44">
        <f t="shared" si="5"/>
        <v>-0.27557034666842284</v>
      </c>
      <c r="P62" s="44">
        <f t="shared" si="6"/>
        <v>0.29331798968745759</v>
      </c>
      <c r="Q62" s="44">
        <f t="shared" si="7"/>
        <v>-6.3082097083222766E-2</v>
      </c>
      <c r="R62" s="48">
        <v>161887218.46491313</v>
      </c>
      <c r="S62" s="48">
        <v>109579845.50538288</v>
      </c>
      <c r="T62" s="48">
        <v>84557443.719020724</v>
      </c>
      <c r="U62" s="48">
        <v>122802106.99810217</v>
      </c>
      <c r="V62" s="44">
        <f t="shared" si="8"/>
        <v>-0.32310996170996142</v>
      </c>
      <c r="W62" s="44">
        <f t="shared" si="9"/>
        <v>-0.22834857697561717</v>
      </c>
      <c r="X62" s="44">
        <f t="shared" si="10"/>
        <v>0.45229209395409531</v>
      </c>
      <c r="Y62" s="44">
        <f t="shared" si="11"/>
        <v>0.1206632609467384</v>
      </c>
    </row>
    <row r="63" spans="1:25" x14ac:dyDescent="0.3">
      <c r="A63" s="34" t="s">
        <v>391</v>
      </c>
      <c r="B63" s="48">
        <v>315257.5</v>
      </c>
      <c r="C63" s="48">
        <v>204938</v>
      </c>
      <c r="D63" s="48">
        <v>164270</v>
      </c>
      <c r="E63" s="48">
        <v>181722</v>
      </c>
      <c r="F63" s="44">
        <f t="shared" ref="F63" si="12">IFERROR(C63/B63-1,"")</f>
        <v>-0.34993457728999311</v>
      </c>
      <c r="G63" s="44">
        <f t="shared" ref="G63" si="13">IFERROR(D63/C63-1,"")</f>
        <v>-0.1984405039572944</v>
      </c>
      <c r="H63" s="44">
        <f t="shared" ref="H63" si="14">IFERROR(E63/D63-1,"")</f>
        <v>0.10623972727826136</v>
      </c>
      <c r="I63" s="44">
        <f t="shared" si="3"/>
        <v>-0.1132830417004167</v>
      </c>
      <c r="J63" s="93">
        <f>MROUND(J62/1000000,1)</f>
        <v>417</v>
      </c>
      <c r="K63" s="93">
        <f t="shared" ref="K63:M63" si="15">MROUND(K62/1000000,1)</f>
        <v>290</v>
      </c>
      <c r="L63" s="93">
        <f t="shared" si="15"/>
        <v>210</v>
      </c>
      <c r="M63" s="93">
        <f t="shared" si="15"/>
        <v>272</v>
      </c>
      <c r="N63" s="44">
        <f t="shared" ref="N63" si="16">IFERROR(K63/J63-1,"")</f>
        <v>-0.30455635491606714</v>
      </c>
      <c r="O63" s="44">
        <f t="shared" ref="O63" si="17">IFERROR(L63/K63-1,"")</f>
        <v>-0.27586206896551724</v>
      </c>
      <c r="P63" s="44">
        <f t="shared" ref="P63" si="18">IFERROR(M63/L63-1,"")</f>
        <v>0.2952380952380953</v>
      </c>
      <c r="Q63" s="44">
        <f t="shared" si="7"/>
        <v>-6.2068965517241392E-2</v>
      </c>
      <c r="R63" s="93">
        <f t="shared" ref="R63" si="19">MROUND(R62/1000000,1)</f>
        <v>162</v>
      </c>
      <c r="S63" s="93">
        <f t="shared" ref="S63" si="20">MROUND(S62/1000000,1)</f>
        <v>110</v>
      </c>
      <c r="T63" s="93">
        <f t="shared" ref="T63" si="21">MROUND(T62/1000000,1)</f>
        <v>85</v>
      </c>
      <c r="U63" s="93">
        <f t="shared" ref="U63" si="22">MROUND(U62/1000000,1)</f>
        <v>123</v>
      </c>
      <c r="V63" s="44">
        <f t="shared" ref="V63" si="23">IFERROR(S63/R63-1,"")</f>
        <v>-0.32098765432098764</v>
      </c>
      <c r="W63" s="44">
        <f t="shared" ref="W63" si="24">IFERROR(T63/S63-1,"")</f>
        <v>-0.22727272727272729</v>
      </c>
      <c r="X63" s="44">
        <f t="shared" ref="X63" si="25">IFERROR(U63/T63-1,"")</f>
        <v>0.44705882352941173</v>
      </c>
      <c r="Y63" s="44">
        <f t="shared" si="11"/>
        <v>0.11818181818181817</v>
      </c>
    </row>
  </sheetData>
  <conditionalFormatting sqref="F47:I6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{48BF8F39-85F6-4849-A901-70916776DAE0}</x14:id>
        </ext>
      </extLst>
    </cfRule>
  </conditionalFormatting>
  <conditionalFormatting sqref="N47:Q6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{2DBCF5C3-4EB5-4C62-B3D0-EA1428B7E050}</x14:id>
        </ext>
      </extLst>
    </cfRule>
  </conditionalFormatting>
  <conditionalFormatting sqref="V47:Y6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{62E5141C-0EFA-4177-9201-F7A6BC4AF3A8}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BF8F39-85F6-4849-A901-70916776DA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F47:I63</xm:sqref>
        </x14:conditionalFormatting>
        <x14:conditionalFormatting xmlns:xm="http://schemas.microsoft.com/office/excel/2006/main">
          <x14:cfRule type="dataBar" id="{2DBCF5C3-4EB5-4C62-B3D0-EA1428B7E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N47:Q63</xm:sqref>
        </x14:conditionalFormatting>
        <x14:conditionalFormatting xmlns:xm="http://schemas.microsoft.com/office/excel/2006/main">
          <x14:cfRule type="dataBar" id="{62E5141C-0EFA-4177-9201-F7A6BC4AF3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V47:Y63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zoomScale="85" zoomScaleNormal="85" workbookViewId="0">
      <selection activeCell="C12" sqref="C12"/>
    </sheetView>
  </sheetViews>
  <sheetFormatPr defaultRowHeight="14.4" x14ac:dyDescent="0.3"/>
  <cols>
    <col min="1" max="1" width="42.33203125" customWidth="1"/>
    <col min="2" max="5" width="19" customWidth="1"/>
    <col min="6" max="6" width="17.5546875" customWidth="1"/>
    <col min="7" max="8" width="19.5546875" customWidth="1"/>
    <col min="9" max="24" width="19.109375" customWidth="1"/>
    <col min="27" max="27" width="18.44140625" customWidth="1"/>
    <col min="33" max="33" width="5" customWidth="1"/>
    <col min="38" max="38" width="5" customWidth="1"/>
    <col min="43" max="43" width="5" customWidth="1"/>
    <col min="48" max="48" width="5" customWidth="1"/>
  </cols>
  <sheetData>
    <row r="1" spans="1:25" ht="52.5" customHeight="1" x14ac:dyDescent="0.3">
      <c r="A1" s="76" t="s">
        <v>261</v>
      </c>
      <c r="B1" s="77" t="s">
        <v>362</v>
      </c>
      <c r="C1" s="77" t="s">
        <v>364</v>
      </c>
      <c r="D1" s="77" t="s">
        <v>366</v>
      </c>
      <c r="E1" s="77" t="s">
        <v>368</v>
      </c>
      <c r="F1" s="82" t="s">
        <v>383</v>
      </c>
      <c r="G1" s="82" t="s">
        <v>384</v>
      </c>
      <c r="H1" s="82" t="s">
        <v>385</v>
      </c>
      <c r="I1" s="95" t="s">
        <v>399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 spans="1:25" x14ac:dyDescent="0.3">
      <c r="A2" s="78" t="s">
        <v>251</v>
      </c>
      <c r="B2" s="79">
        <v>104351482.65439998</v>
      </c>
      <c r="C2" s="79">
        <v>76149863.924999997</v>
      </c>
      <c r="D2" s="79">
        <v>48903590.938400008</v>
      </c>
      <c r="E2" s="79">
        <v>80667044.841199979</v>
      </c>
      <c r="F2" s="44">
        <f>IFERROR(C2/B2-1,"")</f>
        <v>-0.27025604248288904</v>
      </c>
      <c r="G2" s="44">
        <f>IFERROR(D2/C2-1,"")</f>
        <v>-0.3577980521860793</v>
      </c>
      <c r="H2" s="44">
        <f>IFERROR(E2/D2-1,"")</f>
        <v>0.6495116880641727</v>
      </c>
      <c r="I2" s="44">
        <f>IFERROR(E2/C2-1,"")</f>
        <v>5.9319619016640068E-2</v>
      </c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</row>
    <row r="3" spans="1:25" x14ac:dyDescent="0.3">
      <c r="A3" s="78" t="s">
        <v>116</v>
      </c>
      <c r="B3" s="79">
        <v>101798290.11510001</v>
      </c>
      <c r="C3" s="79">
        <v>64253468.645000003</v>
      </c>
      <c r="D3" s="79">
        <v>46903608.631400004</v>
      </c>
      <c r="E3" s="79">
        <v>55936401.206600003</v>
      </c>
      <c r="F3" s="44">
        <f t="shared" ref="F3:F17" si="0">IFERROR(C3/B3-1,"")</f>
        <v>-0.3688158359796545</v>
      </c>
      <c r="G3" s="44">
        <f t="shared" ref="G3:G17" si="1">IFERROR(D3/C3-1,"")</f>
        <v>-0.27002215412615094</v>
      </c>
      <c r="H3" s="44">
        <f t="shared" ref="H3:H17" si="2">IFERROR(E3/D3-1,"")</f>
        <v>0.19258203875496527</v>
      </c>
      <c r="I3" s="44">
        <f t="shared" ref="I3:I17" si="3">IFERROR(E3/C3-1,"")</f>
        <v>-0.12944153232180733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</row>
    <row r="4" spans="1:25" x14ac:dyDescent="0.3">
      <c r="A4" s="78" t="s">
        <v>259</v>
      </c>
      <c r="B4" s="79">
        <v>77193435.386399999</v>
      </c>
      <c r="C4" s="79">
        <v>51648130.935999982</v>
      </c>
      <c r="D4" s="79">
        <v>46674388.507700011</v>
      </c>
      <c r="E4" s="79">
        <v>54214244.376900002</v>
      </c>
      <c r="F4" s="44">
        <f t="shared" si="0"/>
        <v>-0.33092586594352569</v>
      </c>
      <c r="G4" s="44">
        <f t="shared" si="1"/>
        <v>-9.630053088393864E-2</v>
      </c>
      <c r="H4" s="44">
        <f t="shared" si="2"/>
        <v>0.16154161008357115</v>
      </c>
      <c r="I4" s="44">
        <f t="shared" si="3"/>
        <v>4.9684536388738376E-2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</row>
    <row r="5" spans="1:25" x14ac:dyDescent="0.3">
      <c r="A5" s="78" t="s">
        <v>252</v>
      </c>
      <c r="B5" s="79">
        <v>66683259.694999993</v>
      </c>
      <c r="C5" s="79">
        <v>49237454.959999993</v>
      </c>
      <c r="D5" s="79">
        <v>27945548.176300008</v>
      </c>
      <c r="E5" s="79">
        <v>43255800.353399999</v>
      </c>
      <c r="F5" s="44">
        <f t="shared" si="0"/>
        <v>-0.26162195451744108</v>
      </c>
      <c r="G5" s="44">
        <f t="shared" si="1"/>
        <v>-0.43243313044911269</v>
      </c>
      <c r="H5" s="44">
        <f t="shared" si="2"/>
        <v>0.54786014861874399</v>
      </c>
      <c r="I5" s="44">
        <f t="shared" si="3"/>
        <v>-0.1214858609458882</v>
      </c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</row>
    <row r="6" spans="1:25" x14ac:dyDescent="0.3">
      <c r="A6" s="78" t="s">
        <v>256</v>
      </c>
      <c r="B6" s="79">
        <v>13274969.159999998</v>
      </c>
      <c r="C6" s="79">
        <v>14856407.569999987</v>
      </c>
      <c r="D6" s="79">
        <v>3462301.834999999</v>
      </c>
      <c r="E6" s="79">
        <v>11801728.290000007</v>
      </c>
      <c r="F6" s="44">
        <f t="shared" si="0"/>
        <v>0.11912934719013601</v>
      </c>
      <c r="G6" s="44">
        <f t="shared" si="1"/>
        <v>-0.7669489196034488</v>
      </c>
      <c r="H6" s="44">
        <f t="shared" si="2"/>
        <v>2.4086364656881538</v>
      </c>
      <c r="I6" s="44">
        <f t="shared" si="3"/>
        <v>-0.20561358899229387</v>
      </c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t="s">
        <v>387</v>
      </c>
    </row>
    <row r="7" spans="1:25" x14ac:dyDescent="0.3">
      <c r="A7" s="78" t="s">
        <v>388</v>
      </c>
      <c r="B7" s="79">
        <v>10065869.914999997</v>
      </c>
      <c r="C7" s="79">
        <v>5679902.0000000009</v>
      </c>
      <c r="D7" s="79">
        <v>4934825.8</v>
      </c>
      <c r="E7" s="79">
        <v>4877919.25</v>
      </c>
      <c r="F7" s="44">
        <f t="shared" si="0"/>
        <v>-0.43572666367008162</v>
      </c>
      <c r="G7" s="44">
        <f t="shared" si="1"/>
        <v>-0.13117765060030984</v>
      </c>
      <c r="H7" s="44">
        <f t="shared" si="2"/>
        <v>-1.1531622858906188E-2</v>
      </c>
      <c r="I7" s="44">
        <f t="shared" si="3"/>
        <v>-0.14119658226497589</v>
      </c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</row>
    <row r="8" spans="1:25" x14ac:dyDescent="0.3">
      <c r="A8" s="78" t="s">
        <v>249</v>
      </c>
      <c r="B8" s="79">
        <v>14549396.079999996</v>
      </c>
      <c r="C8" s="79">
        <v>6480186.6800000034</v>
      </c>
      <c r="D8" s="79">
        <v>4671519.08</v>
      </c>
      <c r="E8" s="79">
        <v>4709913.2866000002</v>
      </c>
      <c r="F8" s="44">
        <f t="shared" si="0"/>
        <v>-0.55460785833524406</v>
      </c>
      <c r="G8" s="44">
        <f t="shared" si="1"/>
        <v>-0.27910732966723772</v>
      </c>
      <c r="H8" s="44">
        <f t="shared" si="2"/>
        <v>8.2187840705554294E-3</v>
      </c>
      <c r="I8" s="44">
        <f t="shared" si="3"/>
        <v>-0.27318246847172656</v>
      </c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</row>
    <row r="9" spans="1:25" x14ac:dyDescent="0.3">
      <c r="A9" s="78" t="s">
        <v>390</v>
      </c>
      <c r="B9" s="79">
        <v>4239927.1399999997</v>
      </c>
      <c r="C9" s="79">
        <v>1956771.4600000002</v>
      </c>
      <c r="D9" s="79">
        <v>11816811.149999999</v>
      </c>
      <c r="E9" s="79">
        <v>3111446.45</v>
      </c>
      <c r="F9" s="44">
        <f t="shared" si="0"/>
        <v>-0.53848936658850222</v>
      </c>
      <c r="G9" s="44">
        <f t="shared" si="1"/>
        <v>5.0389326968209138</v>
      </c>
      <c r="H9" s="44">
        <f t="shared" si="2"/>
        <v>-0.73669322370443391</v>
      </c>
      <c r="I9" s="44">
        <f t="shared" si="3"/>
        <v>0.59009190066580386</v>
      </c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t="s">
        <v>386</v>
      </c>
    </row>
    <row r="10" spans="1:25" x14ac:dyDescent="0.3">
      <c r="A10" s="78" t="s">
        <v>250</v>
      </c>
      <c r="B10" s="79">
        <v>3900269.6100000003</v>
      </c>
      <c r="C10" s="79">
        <v>3364475.79</v>
      </c>
      <c r="D10" s="79">
        <v>3463375.7800000003</v>
      </c>
      <c r="E10" s="79">
        <v>2953695.9899999998</v>
      </c>
      <c r="F10" s="44">
        <f t="shared" si="0"/>
        <v>-0.13737353403115127</v>
      </c>
      <c r="G10" s="44">
        <f t="shared" si="1"/>
        <v>2.9395363846562272E-2</v>
      </c>
      <c r="H10" s="44">
        <f t="shared" si="2"/>
        <v>-0.14716271706444761</v>
      </c>
      <c r="I10" s="44">
        <f t="shared" si="3"/>
        <v>-0.12209325483064337</v>
      </c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</row>
    <row r="11" spans="1:25" x14ac:dyDescent="0.3">
      <c r="A11" s="78" t="s">
        <v>247</v>
      </c>
      <c r="B11" s="79">
        <v>5550667.4400000013</v>
      </c>
      <c r="C11" s="79">
        <v>3071901.2590000001</v>
      </c>
      <c r="D11" s="79">
        <v>2897245.35</v>
      </c>
      <c r="E11" s="79">
        <v>2445724.9700000007</v>
      </c>
      <c r="F11" s="44">
        <f t="shared" si="0"/>
        <v>-0.4465708327501603</v>
      </c>
      <c r="G11" s="44">
        <f t="shared" si="1"/>
        <v>-5.6855964523044533E-2</v>
      </c>
      <c r="H11" s="44">
        <f t="shared" si="2"/>
        <v>-0.15584471643038422</v>
      </c>
      <c r="I11" s="44">
        <f t="shared" si="3"/>
        <v>-0.20383997928495901</v>
      </c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</row>
    <row r="12" spans="1:25" x14ac:dyDescent="0.3">
      <c r="A12" s="78" t="s">
        <v>258</v>
      </c>
      <c r="B12" s="79">
        <v>3099852.13</v>
      </c>
      <c r="C12" s="79">
        <v>3128273.6599999988</v>
      </c>
      <c r="D12" s="79">
        <v>1220087.1000000001</v>
      </c>
      <c r="E12" s="79">
        <v>2434195.8533999999</v>
      </c>
      <c r="F12" s="44">
        <f t="shared" si="0"/>
        <v>9.1686728295645725E-3</v>
      </c>
      <c r="G12" s="44">
        <f t="shared" si="1"/>
        <v>-0.60998070098509194</v>
      </c>
      <c r="H12" s="44">
        <f t="shared" si="2"/>
        <v>0.99510006572481569</v>
      </c>
      <c r="I12" s="44">
        <f t="shared" si="3"/>
        <v>-0.2218724709014106</v>
      </c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</row>
    <row r="13" spans="1:25" x14ac:dyDescent="0.3">
      <c r="A13" s="78" t="s">
        <v>253</v>
      </c>
      <c r="B13" s="79">
        <v>2405433.59</v>
      </c>
      <c r="C13" s="79">
        <v>2617486.3199999998</v>
      </c>
      <c r="D13" s="79">
        <v>2979997.6834</v>
      </c>
      <c r="E13" s="79">
        <v>2066375.6800000004</v>
      </c>
      <c r="F13" s="44">
        <f t="shared" si="0"/>
        <v>8.8155719983938452E-2</v>
      </c>
      <c r="G13" s="44">
        <f t="shared" si="1"/>
        <v>0.13849599160464776</v>
      </c>
      <c r="H13" s="44">
        <f t="shared" si="2"/>
        <v>-0.30658480323300497</v>
      </c>
      <c r="I13" s="44">
        <f t="shared" si="3"/>
        <v>-0.21054957796302809</v>
      </c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</row>
    <row r="14" spans="1:25" x14ac:dyDescent="0.3">
      <c r="A14" s="78" t="s">
        <v>248</v>
      </c>
      <c r="B14" s="79">
        <v>5191399.0299999984</v>
      </c>
      <c r="C14" s="79">
        <v>5461875.8900000006</v>
      </c>
      <c r="D14" s="79">
        <v>2641522.1199999996</v>
      </c>
      <c r="E14" s="79">
        <v>1957770.2799999998</v>
      </c>
      <c r="F14" s="44">
        <f t="shared" si="0"/>
        <v>5.2100957456164165E-2</v>
      </c>
      <c r="G14" s="44">
        <f t="shared" si="1"/>
        <v>-0.51637090018169574</v>
      </c>
      <c r="H14" s="44">
        <f t="shared" si="2"/>
        <v>-0.25884766772272949</v>
      </c>
      <c r="I14" s="44">
        <f t="shared" si="3"/>
        <v>-0.6415571647125069</v>
      </c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</row>
    <row r="15" spans="1:25" x14ac:dyDescent="0.3">
      <c r="A15" s="78" t="s">
        <v>246</v>
      </c>
      <c r="B15" s="79">
        <v>4732923.5600000005</v>
      </c>
      <c r="C15" s="79">
        <v>2385283.8599999989</v>
      </c>
      <c r="D15" s="79">
        <v>1569499.06</v>
      </c>
      <c r="E15" s="79">
        <v>1506205.4167000004</v>
      </c>
      <c r="F15" s="44">
        <f t="shared" si="0"/>
        <v>-0.49602315994302715</v>
      </c>
      <c r="G15" s="44">
        <f t="shared" si="1"/>
        <v>-0.34200742883490576</v>
      </c>
      <c r="H15" s="44">
        <f t="shared" si="2"/>
        <v>-4.0327289714974235E-2</v>
      </c>
      <c r="I15" s="44">
        <f t="shared" si="3"/>
        <v>-0.36854248588258121</v>
      </c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</row>
    <row r="16" spans="1:25" x14ac:dyDescent="0.3">
      <c r="A16" s="78" t="s">
        <v>389</v>
      </c>
      <c r="B16" s="79">
        <v>0</v>
      </c>
      <c r="C16" s="79">
        <v>0</v>
      </c>
      <c r="D16" s="79">
        <v>211437.15</v>
      </c>
      <c r="E16" s="79">
        <v>40821.199999999997</v>
      </c>
      <c r="F16" s="44" t="str">
        <f t="shared" si="0"/>
        <v/>
      </c>
      <c r="G16" s="44" t="str">
        <f t="shared" si="1"/>
        <v/>
      </c>
      <c r="H16" s="44">
        <f t="shared" si="2"/>
        <v>-0.80693459025530756</v>
      </c>
      <c r="I16" s="44" t="str">
        <f t="shared" si="3"/>
        <v/>
      </c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</row>
    <row r="17" spans="1:27" x14ac:dyDescent="0.3">
      <c r="A17" s="80" t="s">
        <v>4</v>
      </c>
      <c r="B17" s="81">
        <v>417037175.50589997</v>
      </c>
      <c r="C17" s="81">
        <v>290291482.95499998</v>
      </c>
      <c r="D17" s="81">
        <v>210295758.36220008</v>
      </c>
      <c r="E17" s="81">
        <v>271979287.44479996</v>
      </c>
      <c r="F17" s="44">
        <f t="shared" si="0"/>
        <v>-0.30391941053491733</v>
      </c>
      <c r="G17" s="44">
        <f t="shared" si="1"/>
        <v>-0.27557034666842284</v>
      </c>
      <c r="H17" s="44">
        <f t="shared" si="2"/>
        <v>0.29331798968745759</v>
      </c>
      <c r="I17" s="44">
        <f t="shared" si="3"/>
        <v>-6.3082097083222766E-2</v>
      </c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</row>
    <row r="20" spans="1:27" ht="43.2" x14ac:dyDescent="0.3">
      <c r="A20" s="76" t="s">
        <v>261</v>
      </c>
      <c r="B20" s="77" t="s">
        <v>376</v>
      </c>
      <c r="C20" s="77" t="s">
        <v>377</v>
      </c>
      <c r="D20" s="77" t="s">
        <v>378</v>
      </c>
      <c r="E20" s="77" t="s">
        <v>379</v>
      </c>
      <c r="F20" s="77" t="s">
        <v>380</v>
      </c>
      <c r="G20" s="77" t="s">
        <v>381</v>
      </c>
      <c r="H20" s="77" t="s">
        <v>382</v>
      </c>
      <c r="I20" s="95" t="s">
        <v>399</v>
      </c>
      <c r="J20" s="77" t="s">
        <v>361</v>
      </c>
      <c r="K20" s="77" t="s">
        <v>363</v>
      </c>
      <c r="L20" s="77" t="s">
        <v>365</v>
      </c>
      <c r="M20" s="77" t="s">
        <v>367</v>
      </c>
      <c r="N20" s="77" t="s">
        <v>380</v>
      </c>
      <c r="O20" s="77" t="s">
        <v>381</v>
      </c>
      <c r="P20" s="77" t="s">
        <v>382</v>
      </c>
      <c r="Q20" s="83" t="s">
        <v>399</v>
      </c>
      <c r="R20" s="85"/>
      <c r="S20" s="85"/>
      <c r="T20" s="85"/>
      <c r="U20" s="85"/>
      <c r="V20" s="85"/>
      <c r="W20" s="85"/>
      <c r="X20" s="85"/>
    </row>
    <row r="21" spans="1:27" x14ac:dyDescent="0.3">
      <c r="A21" s="78" t="s">
        <v>251</v>
      </c>
      <c r="B21" s="79">
        <v>41678917.37519908</v>
      </c>
      <c r="C21" s="79">
        <v>29293818.94481523</v>
      </c>
      <c r="D21" s="79">
        <v>20819003.04785135</v>
      </c>
      <c r="E21" s="79">
        <v>37262622.48077222</v>
      </c>
      <c r="F21" s="44">
        <f>IFERROR(C21/B21-1,"")</f>
        <v>-0.29715499370800758</v>
      </c>
      <c r="G21" s="44">
        <f>IFERROR(D21/C21-1,"")</f>
        <v>-0.28930389420816205</v>
      </c>
      <c r="H21" s="44">
        <f>IFERROR(E21/D21-1,"")</f>
        <v>0.78983702510279197</v>
      </c>
      <c r="I21" s="44">
        <f>IFERROR(E21/C21-1,"")</f>
        <v>0.27203020374260234</v>
      </c>
      <c r="J21" s="79">
        <v>26725</v>
      </c>
      <c r="K21" s="79">
        <v>19187</v>
      </c>
      <c r="L21" s="79">
        <v>11862</v>
      </c>
      <c r="M21" s="79">
        <v>17643</v>
      </c>
      <c r="N21" s="44">
        <f>IFERROR(K21/J21-1,"")</f>
        <v>-0.2820579981290926</v>
      </c>
      <c r="O21" s="44">
        <f>IFERROR(L21/K21-1,"")</f>
        <v>-0.38176890603012459</v>
      </c>
      <c r="P21" s="44">
        <f>IFERROR(M21/L21-1,"")</f>
        <v>0.48735457764289336</v>
      </c>
      <c r="Q21" s="44">
        <f>IFERROR(M21/K21-1,"")</f>
        <v>-8.0471152342732055E-2</v>
      </c>
      <c r="R21" s="86"/>
      <c r="S21" s="86"/>
      <c r="T21" s="86"/>
      <c r="U21" s="86"/>
      <c r="V21" s="86"/>
      <c r="W21" s="86"/>
      <c r="X21" s="86"/>
    </row>
    <row r="22" spans="1:27" x14ac:dyDescent="0.3">
      <c r="A22" s="78" t="s">
        <v>116</v>
      </c>
      <c r="B22" s="79">
        <v>36343787.825654991</v>
      </c>
      <c r="C22" s="79">
        <v>23321133.373067126</v>
      </c>
      <c r="D22" s="79">
        <v>18351032.553700421</v>
      </c>
      <c r="E22" s="79">
        <v>24679206.147043385</v>
      </c>
      <c r="F22" s="44">
        <f t="shared" ref="F22:F36" si="4">IFERROR(C22/B22-1,"")</f>
        <v>-0.35831858019474805</v>
      </c>
      <c r="G22" s="44">
        <f t="shared" ref="G22:G36" si="5">IFERROR(D22/C22-1,"")</f>
        <v>-0.21311574955900403</v>
      </c>
      <c r="H22" s="44">
        <f t="shared" ref="H22:H36" si="6">IFERROR(E22/D22-1,"")</f>
        <v>0.34484019222487339</v>
      </c>
      <c r="I22" s="44">
        <f t="shared" ref="I22:I36" si="7">IFERROR(E22/C22-1,"")</f>
        <v>5.8233566621794575E-2</v>
      </c>
      <c r="J22" s="79">
        <v>54881</v>
      </c>
      <c r="K22" s="79">
        <v>31299</v>
      </c>
      <c r="L22" s="79">
        <v>22967</v>
      </c>
      <c r="M22" s="79">
        <v>25652</v>
      </c>
      <c r="N22" s="44">
        <f t="shared" ref="N22:N36" si="8">IFERROR(K22/J22-1,"")</f>
        <v>-0.42969333649168195</v>
      </c>
      <c r="O22" s="44">
        <f t="shared" ref="O22:O36" si="9">IFERROR(L22/K22-1,"")</f>
        <v>-0.26620658806990638</v>
      </c>
      <c r="P22" s="44">
        <f t="shared" ref="P22:P36" si="10">IFERROR(M22/L22-1,"")</f>
        <v>0.11690686637349246</v>
      </c>
      <c r="Q22" s="44">
        <f t="shared" ref="Q22:Q36" si="11">IFERROR(M22/K22-1,"")</f>
        <v>-0.18042109971564591</v>
      </c>
      <c r="R22" s="86"/>
      <c r="S22" s="86"/>
      <c r="T22" s="86"/>
      <c r="U22" s="86"/>
      <c r="V22" s="86"/>
      <c r="W22" s="86"/>
      <c r="X22" s="86"/>
    </row>
    <row r="23" spans="1:27" x14ac:dyDescent="0.3">
      <c r="A23" s="78" t="s">
        <v>259</v>
      </c>
      <c r="B23" s="79">
        <v>33002286.946643487</v>
      </c>
      <c r="C23" s="79">
        <v>22045621.049319521</v>
      </c>
      <c r="D23" s="79">
        <v>19928779.213011783</v>
      </c>
      <c r="E23" s="79">
        <v>25520625.676624786</v>
      </c>
      <c r="F23" s="44">
        <f t="shared" si="4"/>
        <v>-0.33199717083359037</v>
      </c>
      <c r="G23" s="44">
        <f t="shared" si="5"/>
        <v>-9.6020966321249457E-2</v>
      </c>
      <c r="H23" s="44">
        <f t="shared" si="6"/>
        <v>0.28059152062671289</v>
      </c>
      <c r="I23" s="44">
        <f t="shared" si="7"/>
        <v>0.15762788535333772</v>
      </c>
      <c r="J23" s="79">
        <v>107526</v>
      </c>
      <c r="K23" s="79">
        <v>64256</v>
      </c>
      <c r="L23" s="79">
        <v>58364</v>
      </c>
      <c r="M23" s="79">
        <v>67148</v>
      </c>
      <c r="N23" s="44">
        <f t="shared" si="8"/>
        <v>-0.40241429979725829</v>
      </c>
      <c r="O23" s="44">
        <f t="shared" si="9"/>
        <v>-9.1695717131474064E-2</v>
      </c>
      <c r="P23" s="44">
        <f t="shared" si="10"/>
        <v>0.15050373517922</v>
      </c>
      <c r="Q23" s="44">
        <f t="shared" si="11"/>
        <v>4.5007470119521997E-2</v>
      </c>
      <c r="R23" s="86"/>
      <c r="S23" s="86"/>
      <c r="T23" s="86"/>
      <c r="U23" s="86"/>
      <c r="V23" s="86"/>
      <c r="W23" s="86"/>
      <c r="X23" s="86"/>
    </row>
    <row r="24" spans="1:27" x14ac:dyDescent="0.3">
      <c r="A24" s="78" t="s">
        <v>252</v>
      </c>
      <c r="B24" s="79">
        <v>24715841.126966435</v>
      </c>
      <c r="C24" s="79">
        <v>17502360.574590068</v>
      </c>
      <c r="D24" s="79">
        <v>10575011.4787878</v>
      </c>
      <c r="E24" s="79">
        <v>19039783.293511096</v>
      </c>
      <c r="F24" s="44">
        <f t="shared" si="4"/>
        <v>-0.29185656742654964</v>
      </c>
      <c r="G24" s="44">
        <f t="shared" si="5"/>
        <v>-0.39579513096418517</v>
      </c>
      <c r="H24" s="44">
        <f t="shared" si="6"/>
        <v>0.80045036657431612</v>
      </c>
      <c r="I24" s="44">
        <f t="shared" si="7"/>
        <v>8.7840877941519402E-2</v>
      </c>
      <c r="J24" s="79">
        <v>78009</v>
      </c>
      <c r="K24" s="79">
        <v>58965</v>
      </c>
      <c r="L24" s="79">
        <v>40156</v>
      </c>
      <c r="M24" s="79">
        <v>47534</v>
      </c>
      <c r="N24" s="44">
        <f t="shared" si="8"/>
        <v>-0.24412567780640693</v>
      </c>
      <c r="O24" s="44">
        <f t="shared" si="9"/>
        <v>-0.31898583905706779</v>
      </c>
      <c r="P24" s="44">
        <f t="shared" si="10"/>
        <v>0.18373343958561605</v>
      </c>
      <c r="Q24" s="44">
        <f t="shared" si="11"/>
        <v>-0.19386076486051051</v>
      </c>
      <c r="R24" s="86"/>
      <c r="S24" s="86"/>
      <c r="T24" s="86"/>
      <c r="U24" s="86"/>
      <c r="V24" s="86"/>
      <c r="W24" s="86"/>
      <c r="X24" s="86"/>
    </row>
    <row r="25" spans="1:27" x14ac:dyDescent="0.3">
      <c r="A25" s="78" t="s">
        <v>256</v>
      </c>
      <c r="B25" s="79">
        <v>4245577.9875624245</v>
      </c>
      <c r="C25" s="79">
        <v>4785922.3312698985</v>
      </c>
      <c r="D25" s="79">
        <v>1236084.8183022514</v>
      </c>
      <c r="E25" s="79">
        <v>5069489.9587340355</v>
      </c>
      <c r="F25" s="44">
        <f t="shared" si="4"/>
        <v>0.12727226900328592</v>
      </c>
      <c r="G25" s="44">
        <f t="shared" si="5"/>
        <v>-0.74172484784677484</v>
      </c>
      <c r="H25" s="44">
        <f t="shared" si="6"/>
        <v>3.1012476519992562</v>
      </c>
      <c r="I25" s="44">
        <f t="shared" si="7"/>
        <v>5.9250361338165636E-2</v>
      </c>
      <c r="J25" s="79">
        <v>6808</v>
      </c>
      <c r="K25" s="79">
        <v>7086</v>
      </c>
      <c r="L25" s="79">
        <v>1539</v>
      </c>
      <c r="M25" s="79">
        <v>5029</v>
      </c>
      <c r="N25" s="44">
        <f t="shared" si="8"/>
        <v>4.0834312573442944E-2</v>
      </c>
      <c r="O25" s="44">
        <f t="shared" si="9"/>
        <v>-0.78281117696867064</v>
      </c>
      <c r="P25" s="44">
        <f t="shared" si="10"/>
        <v>2.2677063027940223</v>
      </c>
      <c r="Q25" s="44">
        <f t="shared" si="11"/>
        <v>-0.29029071408410956</v>
      </c>
      <c r="R25" s="86"/>
      <c r="S25" s="86"/>
      <c r="T25" s="86"/>
      <c r="U25" s="86"/>
      <c r="V25" s="86"/>
      <c r="W25" s="86"/>
      <c r="X25" s="86"/>
      <c r="Y25" t="s">
        <v>387</v>
      </c>
    </row>
    <row r="26" spans="1:27" x14ac:dyDescent="0.3">
      <c r="A26" s="78" t="s">
        <v>388</v>
      </c>
      <c r="B26" s="79">
        <v>4222096.3862060532</v>
      </c>
      <c r="C26" s="79">
        <v>2198456.581741726</v>
      </c>
      <c r="D26" s="79">
        <v>2256819.8898099037</v>
      </c>
      <c r="E26" s="79">
        <v>1975349.0911521262</v>
      </c>
      <c r="F26" s="44">
        <f t="shared" si="4"/>
        <v>-0.47929739621192213</v>
      </c>
      <c r="G26" s="44">
        <f t="shared" si="5"/>
        <v>2.6547400823326406E-2</v>
      </c>
      <c r="H26" s="44">
        <f t="shared" si="6"/>
        <v>-0.12472009836880971</v>
      </c>
      <c r="I26" s="44">
        <f t="shared" si="7"/>
        <v>-0.10148369198760476</v>
      </c>
      <c r="J26" s="79">
        <v>3932.5</v>
      </c>
      <c r="K26" s="79">
        <v>2361</v>
      </c>
      <c r="L26" s="79">
        <v>1622</v>
      </c>
      <c r="M26" s="79">
        <v>1498</v>
      </c>
      <c r="N26" s="44">
        <f t="shared" si="8"/>
        <v>-0.39961856325492684</v>
      </c>
      <c r="O26" s="44">
        <f t="shared" si="9"/>
        <v>-0.31300296484540446</v>
      </c>
      <c r="P26" s="44">
        <f t="shared" si="10"/>
        <v>-7.644882860665847E-2</v>
      </c>
      <c r="Q26" s="44">
        <f t="shared" si="11"/>
        <v>-0.36552308343922069</v>
      </c>
      <c r="R26" s="86"/>
      <c r="S26" s="86"/>
      <c r="T26" s="86"/>
      <c r="U26" s="86"/>
      <c r="V26" s="86"/>
      <c r="W26" s="86"/>
      <c r="X26" s="86"/>
    </row>
    <row r="27" spans="1:27" x14ac:dyDescent="0.3">
      <c r="A27" s="78" t="s">
        <v>249</v>
      </c>
      <c r="B27" s="79">
        <v>5928440.8388966098</v>
      </c>
      <c r="C27" s="79">
        <v>2412246.8013150645</v>
      </c>
      <c r="D27" s="79">
        <v>1930051.510376153</v>
      </c>
      <c r="E27" s="79">
        <v>2236567.3582606195</v>
      </c>
      <c r="F27" s="44">
        <f t="shared" si="4"/>
        <v>-0.59310603464434219</v>
      </c>
      <c r="G27" s="44">
        <f t="shared" si="5"/>
        <v>-0.1998946752363967</v>
      </c>
      <c r="H27" s="44">
        <f t="shared" si="6"/>
        <v>0.15881226290417949</v>
      </c>
      <c r="I27" s="44">
        <f t="shared" si="7"/>
        <v>-7.2828138049005342E-2</v>
      </c>
      <c r="J27" s="79">
        <v>8503</v>
      </c>
      <c r="K27" s="79">
        <v>3416</v>
      </c>
      <c r="L27" s="79">
        <v>3012</v>
      </c>
      <c r="M27" s="79">
        <v>2295</v>
      </c>
      <c r="N27" s="44">
        <f t="shared" si="8"/>
        <v>-0.59825943784546631</v>
      </c>
      <c r="O27" s="44">
        <f t="shared" si="9"/>
        <v>-0.11826697892271665</v>
      </c>
      <c r="P27" s="44">
        <f t="shared" si="10"/>
        <v>-0.23804780876494025</v>
      </c>
      <c r="Q27" s="44">
        <f t="shared" si="11"/>
        <v>-0.32816159250585475</v>
      </c>
      <c r="R27" s="86"/>
      <c r="S27" s="86"/>
      <c r="T27" s="86"/>
      <c r="U27" s="86"/>
      <c r="V27" s="86"/>
      <c r="W27" s="86"/>
      <c r="X27" s="86"/>
    </row>
    <row r="28" spans="1:27" x14ac:dyDescent="0.3">
      <c r="A28" s="78" t="s">
        <v>390</v>
      </c>
      <c r="B28" s="79">
        <v>1910384.6067758801</v>
      </c>
      <c r="C28" s="79">
        <v>842104.96828502789</v>
      </c>
      <c r="D28" s="79">
        <v>3649948.1279002479</v>
      </c>
      <c r="E28" s="79">
        <v>1181067.1839483643</v>
      </c>
      <c r="F28" s="44">
        <f t="shared" si="4"/>
        <v>-0.55919610883683135</v>
      </c>
      <c r="G28" s="44">
        <f t="shared" si="5"/>
        <v>3.3343149195918853</v>
      </c>
      <c r="H28" s="44">
        <f t="shared" si="6"/>
        <v>-0.67641535096888838</v>
      </c>
      <c r="I28" s="44">
        <f t="shared" si="7"/>
        <v>0.40251777204645078</v>
      </c>
      <c r="J28" s="79">
        <v>4475</v>
      </c>
      <c r="K28" s="79">
        <v>1917</v>
      </c>
      <c r="L28" s="79">
        <v>12977</v>
      </c>
      <c r="M28" s="79">
        <v>3475</v>
      </c>
      <c r="N28" s="44">
        <f t="shared" si="8"/>
        <v>-0.57162011173184357</v>
      </c>
      <c r="O28" s="44">
        <f t="shared" si="9"/>
        <v>5.7694314032342202</v>
      </c>
      <c r="P28" s="44">
        <f t="shared" si="10"/>
        <v>-0.73221854049472146</v>
      </c>
      <c r="Q28" s="44">
        <f t="shared" si="11"/>
        <v>0.81272822117892551</v>
      </c>
      <c r="R28" s="86"/>
      <c r="S28" s="86"/>
      <c r="T28" s="86"/>
      <c r="U28" s="86"/>
      <c r="V28" s="86"/>
      <c r="W28" s="86"/>
      <c r="X28" s="86"/>
      <c r="Y28" t="s">
        <v>386</v>
      </c>
    </row>
    <row r="29" spans="1:27" x14ac:dyDescent="0.3">
      <c r="A29" s="78" t="s">
        <v>250</v>
      </c>
      <c r="B29" s="79">
        <v>1710718.2832022347</v>
      </c>
      <c r="C29" s="79">
        <v>1421269.5974718439</v>
      </c>
      <c r="D29" s="79">
        <v>1324345.9683071251</v>
      </c>
      <c r="E29" s="79">
        <v>1271305.661940888</v>
      </c>
      <c r="F29" s="44">
        <f t="shared" si="4"/>
        <v>-0.16919716622691472</v>
      </c>
      <c r="G29" s="44">
        <f t="shared" si="5"/>
        <v>-6.8195104811308638E-2</v>
      </c>
      <c r="H29" s="44">
        <f t="shared" si="6"/>
        <v>-4.0050189025785388E-2</v>
      </c>
      <c r="I29" s="44">
        <f t="shared" si="7"/>
        <v>-0.10551406699876786</v>
      </c>
      <c r="J29" s="79">
        <v>2133</v>
      </c>
      <c r="K29" s="79">
        <v>1664</v>
      </c>
      <c r="L29" s="79">
        <v>1467</v>
      </c>
      <c r="M29" s="79">
        <v>1156</v>
      </c>
      <c r="N29" s="44">
        <f t="shared" si="8"/>
        <v>-0.21987810595405533</v>
      </c>
      <c r="O29" s="44">
        <f t="shared" si="9"/>
        <v>-0.11838942307692313</v>
      </c>
      <c r="P29" s="44">
        <f t="shared" si="10"/>
        <v>-0.21199727334696661</v>
      </c>
      <c r="Q29" s="44">
        <f t="shared" si="11"/>
        <v>-0.30528846153846156</v>
      </c>
      <c r="R29" s="86"/>
      <c r="S29" s="86"/>
      <c r="T29" s="86"/>
      <c r="U29" s="86"/>
      <c r="V29" s="86"/>
      <c r="W29" s="86"/>
      <c r="X29" s="86"/>
      <c r="AA29" s="17"/>
    </row>
    <row r="30" spans="1:27" x14ac:dyDescent="0.3">
      <c r="A30" s="78" t="s">
        <v>247</v>
      </c>
      <c r="B30" s="79">
        <v>2409463.1014333204</v>
      </c>
      <c r="C30" s="79">
        <v>1294452.2917733777</v>
      </c>
      <c r="D30" s="79">
        <v>1293366.666959974</v>
      </c>
      <c r="E30" s="79">
        <v>1171741.5558052917</v>
      </c>
      <c r="F30" s="44">
        <f t="shared" si="4"/>
        <v>-0.46276318114050174</v>
      </c>
      <c r="G30" s="44">
        <f t="shared" si="5"/>
        <v>-8.3867502904755309E-4</v>
      </c>
      <c r="H30" s="44">
        <f t="shared" si="6"/>
        <v>-9.4037610726863008E-2</v>
      </c>
      <c r="I30" s="44">
        <f t="shared" si="7"/>
        <v>-9.4797418760002583E-2</v>
      </c>
      <c r="J30" s="79">
        <v>15093</v>
      </c>
      <c r="K30" s="79">
        <v>9342</v>
      </c>
      <c r="L30" s="79">
        <v>6957</v>
      </c>
      <c r="M30" s="79">
        <v>7040</v>
      </c>
      <c r="N30" s="44">
        <f t="shared" si="8"/>
        <v>-0.38103756708407877</v>
      </c>
      <c r="O30" s="44">
        <f t="shared" si="9"/>
        <v>-0.25529865125240847</v>
      </c>
      <c r="P30" s="44">
        <f t="shared" si="10"/>
        <v>1.1930429782952334E-2</v>
      </c>
      <c r="Q30" s="44">
        <f t="shared" si="11"/>
        <v>-0.24641404410190537</v>
      </c>
      <c r="R30" s="86"/>
      <c r="S30" s="86"/>
      <c r="T30" s="86"/>
      <c r="U30" s="86"/>
      <c r="V30" s="86"/>
      <c r="W30" s="86"/>
      <c r="X30" s="86"/>
    </row>
    <row r="31" spans="1:27" x14ac:dyDescent="0.3">
      <c r="A31" s="78" t="s">
        <v>258</v>
      </c>
      <c r="B31" s="79">
        <v>1175832.6435892312</v>
      </c>
      <c r="C31" s="79">
        <v>1174931.7611138998</v>
      </c>
      <c r="D31" s="79">
        <v>526905.54240195733</v>
      </c>
      <c r="E31" s="79">
        <v>1086763.9890043957</v>
      </c>
      <c r="F31" s="44">
        <f t="shared" si="4"/>
        <v>-7.6616555956587895E-4</v>
      </c>
      <c r="G31" s="44">
        <f t="shared" si="5"/>
        <v>-0.55154370675755504</v>
      </c>
      <c r="H31" s="44">
        <f t="shared" si="6"/>
        <v>1.0625404395069777</v>
      </c>
      <c r="I31" s="44">
        <f t="shared" si="7"/>
        <v>-7.5040759836057402E-2</v>
      </c>
      <c r="J31" s="79">
        <v>1764</v>
      </c>
      <c r="K31" s="79">
        <v>1714</v>
      </c>
      <c r="L31" s="79">
        <v>689</v>
      </c>
      <c r="M31" s="79">
        <v>1201</v>
      </c>
      <c r="N31" s="44">
        <f t="shared" si="8"/>
        <v>-2.8344671201814053E-2</v>
      </c>
      <c r="O31" s="44">
        <f t="shared" si="9"/>
        <v>-0.59801633605600935</v>
      </c>
      <c r="P31" s="44">
        <f t="shared" si="10"/>
        <v>0.74310595065312057</v>
      </c>
      <c r="Q31" s="44">
        <f t="shared" si="11"/>
        <v>-0.29929988331388568</v>
      </c>
      <c r="R31" s="86"/>
      <c r="S31" s="86"/>
      <c r="T31" s="86"/>
      <c r="U31" s="86"/>
      <c r="V31" s="86"/>
      <c r="W31" s="86"/>
      <c r="X31" s="86"/>
    </row>
    <row r="32" spans="1:27" x14ac:dyDescent="0.3">
      <c r="A32" s="78" t="s">
        <v>253</v>
      </c>
      <c r="B32" s="79">
        <v>1086348.5965052603</v>
      </c>
      <c r="C32" s="79">
        <v>892745.76164967089</v>
      </c>
      <c r="D32" s="79">
        <v>1199134.5323817846</v>
      </c>
      <c r="E32" s="79">
        <v>881718.07161416591</v>
      </c>
      <c r="F32" s="44">
        <f t="shared" si="4"/>
        <v>-0.17821428174934084</v>
      </c>
      <c r="G32" s="44">
        <f t="shared" si="5"/>
        <v>0.34319823615398581</v>
      </c>
      <c r="H32" s="44">
        <f t="shared" si="6"/>
        <v>-0.26470462837655861</v>
      </c>
      <c r="I32" s="44">
        <f t="shared" si="7"/>
        <v>-1.235255378320399E-2</v>
      </c>
      <c r="J32" s="79">
        <v>444</v>
      </c>
      <c r="K32" s="79">
        <v>570</v>
      </c>
      <c r="L32" s="79">
        <v>630</v>
      </c>
      <c r="M32" s="79">
        <v>431</v>
      </c>
      <c r="N32" s="44">
        <f t="shared" si="8"/>
        <v>0.28378378378378377</v>
      </c>
      <c r="O32" s="44">
        <f t="shared" si="9"/>
        <v>0.10526315789473695</v>
      </c>
      <c r="P32" s="44">
        <f t="shared" si="10"/>
        <v>-0.31587301587301586</v>
      </c>
      <c r="Q32" s="44">
        <f t="shared" si="11"/>
        <v>-0.243859649122807</v>
      </c>
      <c r="R32" s="86"/>
      <c r="S32" s="86"/>
      <c r="T32" s="86"/>
      <c r="U32" s="86"/>
      <c r="V32" s="86"/>
      <c r="W32" s="86"/>
      <c r="X32" s="86"/>
    </row>
    <row r="33" spans="1:24" x14ac:dyDescent="0.3">
      <c r="A33" s="78" t="s">
        <v>248</v>
      </c>
      <c r="B33" s="79">
        <v>1407241.5762289558</v>
      </c>
      <c r="C33" s="79">
        <v>1342205.8988341822</v>
      </c>
      <c r="D33" s="79">
        <v>671537.06210619002</v>
      </c>
      <c r="E33" s="79">
        <v>687505.29829864763</v>
      </c>
      <c r="F33" s="44">
        <f t="shared" si="4"/>
        <v>-4.6215005648889695E-2</v>
      </c>
      <c r="G33" s="44">
        <f t="shared" si="5"/>
        <v>-0.4996765677386189</v>
      </c>
      <c r="H33" s="44">
        <f t="shared" si="6"/>
        <v>2.3778637239135092E-2</v>
      </c>
      <c r="I33" s="44">
        <f t="shared" si="7"/>
        <v>-0.48777955834063658</v>
      </c>
      <c r="J33" s="79">
        <v>1147</v>
      </c>
      <c r="K33" s="79">
        <v>1090</v>
      </c>
      <c r="L33" s="79">
        <v>544</v>
      </c>
      <c r="M33" s="79">
        <v>366</v>
      </c>
      <c r="N33" s="44">
        <f t="shared" si="8"/>
        <v>-4.9694856146469069E-2</v>
      </c>
      <c r="O33" s="44">
        <f t="shared" si="9"/>
        <v>-0.50091743119266052</v>
      </c>
      <c r="P33" s="44">
        <f t="shared" si="10"/>
        <v>-0.32720588235294112</v>
      </c>
      <c r="Q33" s="44">
        <f t="shared" si="11"/>
        <v>-0.66422018348623846</v>
      </c>
      <c r="R33" s="86"/>
      <c r="S33" s="86"/>
      <c r="T33" s="86"/>
      <c r="U33" s="86"/>
      <c r="V33" s="86"/>
      <c r="W33" s="86"/>
      <c r="X33" s="86"/>
    </row>
    <row r="34" spans="1:24" x14ac:dyDescent="0.3">
      <c r="A34" s="78" t="s">
        <v>246</v>
      </c>
      <c r="B34" s="79">
        <v>2050281.1700491479</v>
      </c>
      <c r="C34" s="79">
        <v>1052575.57013625</v>
      </c>
      <c r="D34" s="79">
        <v>731319.49272191769</v>
      </c>
      <c r="E34" s="79">
        <v>724816.76309646643</v>
      </c>
      <c r="F34" s="44">
        <f t="shared" si="4"/>
        <v>-0.48661891573094906</v>
      </c>
      <c r="G34" s="44">
        <f t="shared" si="5"/>
        <v>-0.30520951324449563</v>
      </c>
      <c r="H34" s="44">
        <f t="shared" si="6"/>
        <v>-8.8917766997411718E-3</v>
      </c>
      <c r="I34" s="44">
        <f t="shared" si="7"/>
        <v>-0.31138743510583</v>
      </c>
      <c r="J34" s="79">
        <v>3817</v>
      </c>
      <c r="K34" s="79">
        <v>2071</v>
      </c>
      <c r="L34" s="79">
        <v>1405</v>
      </c>
      <c r="M34" s="79">
        <v>1243</v>
      </c>
      <c r="N34" s="44">
        <f t="shared" si="8"/>
        <v>-0.45742729892585798</v>
      </c>
      <c r="O34" s="44">
        <f t="shared" si="9"/>
        <v>-0.32158377595364562</v>
      </c>
      <c r="P34" s="44">
        <f t="shared" si="10"/>
        <v>-0.1153024911032029</v>
      </c>
      <c r="Q34" s="44">
        <f t="shared" si="11"/>
        <v>-0.39980685659101878</v>
      </c>
      <c r="R34" s="86"/>
      <c r="S34" s="86"/>
      <c r="T34" s="86"/>
      <c r="U34" s="86"/>
      <c r="V34" s="86"/>
      <c r="W34" s="86"/>
      <c r="X34" s="86"/>
    </row>
    <row r="35" spans="1:24" x14ac:dyDescent="0.3">
      <c r="A35" s="78" t="s">
        <v>389</v>
      </c>
      <c r="B35" s="79">
        <v>0</v>
      </c>
      <c r="C35" s="79">
        <v>0</v>
      </c>
      <c r="D35" s="79">
        <v>64103.814401877957</v>
      </c>
      <c r="E35" s="79">
        <v>13544.46829570692</v>
      </c>
      <c r="F35" s="44" t="str">
        <f t="shared" si="4"/>
        <v/>
      </c>
      <c r="G35" s="44" t="str">
        <f t="shared" si="5"/>
        <v/>
      </c>
      <c r="H35" s="44">
        <f t="shared" si="6"/>
        <v>-0.78871041572043921</v>
      </c>
      <c r="I35" s="44" t="str">
        <f t="shared" si="7"/>
        <v/>
      </c>
      <c r="J35" s="79">
        <v>0</v>
      </c>
      <c r="K35" s="79">
        <v>0</v>
      </c>
      <c r="L35" s="79">
        <v>79</v>
      </c>
      <c r="M35" s="79">
        <v>11</v>
      </c>
      <c r="N35" s="44" t="str">
        <f t="shared" si="8"/>
        <v/>
      </c>
      <c r="O35" s="44" t="str">
        <f t="shared" si="9"/>
        <v/>
      </c>
      <c r="P35" s="44">
        <f t="shared" si="10"/>
        <v>-0.86075949367088611</v>
      </c>
      <c r="Q35" s="44" t="str">
        <f t="shared" si="11"/>
        <v/>
      </c>
      <c r="R35" s="86"/>
      <c r="S35" s="86"/>
      <c r="T35" s="86"/>
      <c r="U35" s="86"/>
      <c r="V35" s="86"/>
      <c r="W35" s="86"/>
      <c r="X35" s="86"/>
    </row>
    <row r="36" spans="1:24" x14ac:dyDescent="0.3">
      <c r="A36" s="80" t="s">
        <v>4</v>
      </c>
      <c r="B36" s="81">
        <v>161887218.46491313</v>
      </c>
      <c r="C36" s="81">
        <v>109579845.50538288</v>
      </c>
      <c r="D36" s="81">
        <v>84557443.719020739</v>
      </c>
      <c r="E36" s="81">
        <v>122802106.99810217</v>
      </c>
      <c r="F36" s="44">
        <f t="shared" si="4"/>
        <v>-0.32310996170996142</v>
      </c>
      <c r="G36" s="44">
        <f t="shared" si="5"/>
        <v>-0.22834857697561695</v>
      </c>
      <c r="H36" s="44">
        <f t="shared" si="6"/>
        <v>0.45229209395409509</v>
      </c>
      <c r="I36" s="44">
        <f t="shared" si="7"/>
        <v>0.1206632609467384</v>
      </c>
      <c r="J36" s="81">
        <v>315257.5</v>
      </c>
      <c r="K36" s="81">
        <v>204938</v>
      </c>
      <c r="L36" s="81">
        <v>164270</v>
      </c>
      <c r="M36" s="81">
        <v>181722</v>
      </c>
      <c r="N36" s="44">
        <f t="shared" si="8"/>
        <v>-0.34993457728999311</v>
      </c>
      <c r="O36" s="44">
        <f t="shared" si="9"/>
        <v>-0.1984405039572944</v>
      </c>
      <c r="P36" s="44">
        <f t="shared" si="10"/>
        <v>0.10623972727826136</v>
      </c>
      <c r="Q36" s="44">
        <f t="shared" si="11"/>
        <v>-0.1132830417004167</v>
      </c>
      <c r="R36" s="86"/>
      <c r="S36" s="86"/>
      <c r="T36" s="86"/>
      <c r="U36" s="86"/>
      <c r="V36" s="86"/>
      <c r="W36" s="86"/>
      <c r="X36" s="86"/>
    </row>
  </sheetData>
  <conditionalFormatting sqref="F2:X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{11CB141A-9E59-49B3-8F39-1EAC6A8F6EE2}</x14:id>
        </ext>
      </extLst>
    </cfRule>
  </conditionalFormatting>
  <conditionalFormatting sqref="N21:X36 F21: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{066B255B-46EF-4C9A-BA11-453DFE852171}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CB141A-9E59-49B3-8F39-1EAC6A8F6E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F2:X17</xm:sqref>
        </x14:conditionalFormatting>
        <x14:conditionalFormatting xmlns:xm="http://schemas.microsoft.com/office/excel/2006/main">
          <x14:cfRule type="dataBar" id="{066B255B-46EF-4C9A-BA11-453DFE852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N21:X36 F21:I36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65"/>
  <sheetViews>
    <sheetView tabSelected="1" zoomScale="80" zoomScaleNormal="80" workbookViewId="0">
      <pane xSplit="2" ySplit="6" topLeftCell="O7" activePane="bottomRight" state="frozen"/>
      <selection pane="topRight" activeCell="C1" sqref="C1"/>
      <selection pane="bottomLeft" activeCell="A7" sqref="A7"/>
      <selection pane="bottomRight" activeCell="AC35" sqref="AC35"/>
    </sheetView>
  </sheetViews>
  <sheetFormatPr defaultRowHeight="14.4" outlineLevelCol="1" x14ac:dyDescent="0.3"/>
  <cols>
    <col min="1" max="1" width="27.33203125" style="27" customWidth="1"/>
    <col min="2" max="2" width="21.33203125" style="28" customWidth="1"/>
    <col min="3" max="3" width="12.109375" customWidth="1"/>
    <col min="4" max="5" width="12.109375" style="45" customWidth="1"/>
    <col min="6" max="7" width="12.109375" customWidth="1"/>
    <col min="8" max="9" width="12.109375" style="45" customWidth="1"/>
    <col min="10" max="10" width="12.109375" hidden="1" customWidth="1" outlineLevel="1"/>
    <col min="11" max="11" width="12.109375" style="6" hidden="1" customWidth="1" outlineLevel="1"/>
    <col min="12" max="12" width="12.109375" hidden="1" customWidth="1" outlineLevel="1"/>
    <col min="13" max="13" width="12.5546875" customWidth="1" collapsed="1"/>
    <col min="14" max="15" width="12.5546875" style="45" customWidth="1"/>
    <col min="16" max="16" width="12.5546875" hidden="1" customWidth="1" outlineLevel="1"/>
    <col min="17" max="18" width="12.5546875" style="6" hidden="1" customWidth="1" outlineLevel="1"/>
    <col min="19" max="19" width="11.44140625" style="15" customWidth="1" collapsed="1"/>
    <col min="20" max="21" width="14.44140625" style="15" customWidth="1"/>
    <col min="22" max="22" width="13.5546875" hidden="1" customWidth="1" outlineLevel="1"/>
    <col min="23" max="24" width="12.6640625" hidden="1" customWidth="1" outlineLevel="1"/>
    <col min="25" max="26" width="11.6640625" hidden="1" customWidth="1" outlineLevel="1"/>
    <col min="27" max="27" width="3.6640625" style="23" customWidth="1" collapsed="1"/>
    <col min="28" max="30" width="16.33203125" customWidth="1"/>
    <col min="31" max="31" width="18.33203125" style="17" customWidth="1"/>
    <col min="32" max="32" width="14.6640625" style="17" customWidth="1"/>
    <col min="33" max="33" width="14.109375" style="17" customWidth="1"/>
    <col min="34" max="34" width="14.5546875" style="17" customWidth="1"/>
    <col min="35" max="35" width="14.33203125" style="17" customWidth="1"/>
    <col min="36" max="36" width="8.109375" style="17" customWidth="1"/>
    <col min="37" max="37" width="9.88671875" style="17" customWidth="1"/>
    <col min="38" max="38" width="28" customWidth="1"/>
    <col min="39" max="39" width="35.33203125" customWidth="1"/>
    <col min="41" max="41" width="17.44140625" customWidth="1"/>
  </cols>
  <sheetData>
    <row r="1" spans="1:39" x14ac:dyDescent="0.3">
      <c r="A1" s="52"/>
      <c r="J1" s="26"/>
      <c r="AB1">
        <v>0</v>
      </c>
      <c r="AC1" s="11" t="s">
        <v>118</v>
      </c>
      <c r="AD1" t="s">
        <v>320</v>
      </c>
      <c r="AM1" t="s">
        <v>340</v>
      </c>
    </row>
    <row r="2" spans="1:39" x14ac:dyDescent="0.3">
      <c r="B2" s="27"/>
      <c r="AB2">
        <v>1</v>
      </c>
      <c r="AC2" s="12" t="s">
        <v>119</v>
      </c>
      <c r="AD2" t="s">
        <v>318</v>
      </c>
      <c r="AM2" t="s">
        <v>338</v>
      </c>
    </row>
    <row r="3" spans="1:39" x14ac:dyDescent="0.3">
      <c r="B3" s="27"/>
      <c r="F3" s="17" t="s">
        <v>264</v>
      </c>
      <c r="J3" s="17" t="s">
        <v>264</v>
      </c>
      <c r="P3" s="17" t="s">
        <v>264</v>
      </c>
      <c r="V3" s="29" t="s">
        <v>264</v>
      </c>
      <c r="AB3">
        <v>11</v>
      </c>
      <c r="AC3" s="13" t="s">
        <v>120</v>
      </c>
      <c r="AD3" t="s">
        <v>317</v>
      </c>
      <c r="AM3" t="s">
        <v>339</v>
      </c>
    </row>
    <row r="4" spans="1:39" x14ac:dyDescent="0.3">
      <c r="A4" s="28"/>
      <c r="B4" s="28" t="s">
        <v>402</v>
      </c>
      <c r="C4" s="17"/>
      <c r="D4" s="46"/>
      <c r="E4" s="46"/>
      <c r="F4" s="33">
        <f>'Факт продаж'!D24</f>
        <v>7.819310797971675E-4</v>
      </c>
      <c r="G4" s="17"/>
      <c r="H4" s="46"/>
      <c r="I4" s="46"/>
      <c r="J4" s="31">
        <f>'Факт продаж'!M24</f>
        <v>8.2965831443332404E-4</v>
      </c>
      <c r="K4" s="43"/>
      <c r="M4" s="17"/>
      <c r="N4" s="46"/>
      <c r="O4" s="46"/>
      <c r="P4" s="31">
        <f>'Факт продаж'!V24</f>
        <v>9.3074691058315378E-4</v>
      </c>
      <c r="Q4" s="43"/>
      <c r="S4" s="29"/>
      <c r="T4" s="29"/>
      <c r="U4" s="29"/>
      <c r="V4" s="30">
        <f>'Факт продаж'!AE24</f>
        <v>8.4150915455515887E-4</v>
      </c>
      <c r="W4" s="32"/>
      <c r="AB4">
        <v>10</v>
      </c>
      <c r="AC4" s="14" t="s">
        <v>121</v>
      </c>
      <c r="AD4" t="s">
        <v>319</v>
      </c>
      <c r="AJ4" s="17" t="s">
        <v>453</v>
      </c>
      <c r="AM4" t="s">
        <v>337</v>
      </c>
    </row>
    <row r="5" spans="1:39" s="98" customFormat="1" ht="30.75" customHeight="1" x14ac:dyDescent="0.3">
      <c r="A5" s="111" t="s">
        <v>115</v>
      </c>
      <c r="B5" s="111" t="s">
        <v>356</v>
      </c>
      <c r="C5" s="113" t="s">
        <v>423</v>
      </c>
      <c r="D5" s="117" t="s">
        <v>424</v>
      </c>
      <c r="E5" s="117" t="s">
        <v>425</v>
      </c>
      <c r="F5" s="113" t="s">
        <v>426</v>
      </c>
      <c r="G5" s="114" t="s">
        <v>427</v>
      </c>
      <c r="H5" s="118" t="s">
        <v>428</v>
      </c>
      <c r="I5" s="118" t="s">
        <v>429</v>
      </c>
      <c r="J5" s="114" t="s">
        <v>430</v>
      </c>
      <c r="K5" s="116" t="s">
        <v>431</v>
      </c>
      <c r="L5" s="114" t="s">
        <v>432</v>
      </c>
      <c r="M5" s="115" t="s">
        <v>433</v>
      </c>
      <c r="N5" s="119" t="s">
        <v>434</v>
      </c>
      <c r="O5" s="119" t="s">
        <v>435</v>
      </c>
      <c r="P5" s="115" t="s">
        <v>436</v>
      </c>
      <c r="Q5" s="105" t="s">
        <v>437</v>
      </c>
      <c r="R5" s="105" t="s">
        <v>438</v>
      </c>
      <c r="S5" s="110" t="s">
        <v>439</v>
      </c>
      <c r="T5" s="110" t="s">
        <v>440</v>
      </c>
      <c r="U5" s="110" t="s">
        <v>441</v>
      </c>
      <c r="V5" s="109" t="s">
        <v>442</v>
      </c>
      <c r="W5" s="109" t="s">
        <v>443</v>
      </c>
      <c r="X5" s="109" t="s">
        <v>444</v>
      </c>
      <c r="Y5" s="107" t="s">
        <v>445</v>
      </c>
      <c r="Z5" s="107" t="s">
        <v>446</v>
      </c>
      <c r="AA5" s="97"/>
      <c r="AB5" s="108" t="s">
        <v>122</v>
      </c>
      <c r="AC5" s="108"/>
      <c r="AD5" s="108"/>
      <c r="AE5" s="108"/>
      <c r="AF5" s="108" t="s">
        <v>375</v>
      </c>
      <c r="AG5" s="108"/>
      <c r="AH5" s="108"/>
      <c r="AI5" s="108"/>
      <c r="AJ5" s="102">
        <f>COUNTIF(AJ7:AJ1048566,"PROMO")</f>
        <v>39</v>
      </c>
      <c r="AK5" s="102">
        <f>COUNTIF(AK7:AK1048566,"PROMO")</f>
        <v>0</v>
      </c>
      <c r="AL5" s="106" t="s">
        <v>360</v>
      </c>
    </row>
    <row r="6" spans="1:39" s="98" customFormat="1" ht="38.25" customHeight="1" x14ac:dyDescent="0.3">
      <c r="A6" s="112"/>
      <c r="B6" s="112"/>
      <c r="C6" s="113"/>
      <c r="D6" s="117"/>
      <c r="E6" s="117"/>
      <c r="F6" s="113"/>
      <c r="G6" s="114"/>
      <c r="H6" s="118"/>
      <c r="I6" s="118"/>
      <c r="J6" s="114"/>
      <c r="K6" s="116"/>
      <c r="L6" s="114"/>
      <c r="M6" s="115"/>
      <c r="N6" s="119"/>
      <c r="O6" s="119"/>
      <c r="P6" s="115"/>
      <c r="Q6" s="105"/>
      <c r="R6" s="105"/>
      <c r="S6" s="110"/>
      <c r="T6" s="110"/>
      <c r="U6" s="110"/>
      <c r="V6" s="109"/>
      <c r="W6" s="109"/>
      <c r="X6" s="109"/>
      <c r="Y6" s="107"/>
      <c r="Z6" s="107"/>
      <c r="AA6" s="99"/>
      <c r="AB6" s="104" t="s">
        <v>413</v>
      </c>
      <c r="AC6" s="104" t="s">
        <v>414</v>
      </c>
      <c r="AD6" s="104" t="s">
        <v>415</v>
      </c>
      <c r="AE6" s="101" t="s">
        <v>416</v>
      </c>
      <c r="AF6" s="100" t="s">
        <v>456</v>
      </c>
      <c r="AG6" s="101" t="s">
        <v>457</v>
      </c>
      <c r="AH6" s="101" t="s">
        <v>458</v>
      </c>
      <c r="AI6" s="101" t="s">
        <v>459</v>
      </c>
      <c r="AJ6" s="101" t="s">
        <v>451</v>
      </c>
      <c r="AK6" s="101" t="s">
        <v>454</v>
      </c>
      <c r="AL6" s="106"/>
    </row>
    <row r="7" spans="1:39" ht="15" customHeight="1" x14ac:dyDescent="0.3">
      <c r="A7" s="51" t="s">
        <v>271</v>
      </c>
      <c r="B7" s="21" t="s">
        <v>179</v>
      </c>
      <c r="C7" s="20" t="str">
        <f>IFERROR(VLOOKUP(B7,'Факт продаж'!A:B,2,0),"нет продаж")</f>
        <v>нет продаж</v>
      </c>
      <c r="D7" s="47" t="str">
        <f>IFERROR(VLOOKUP(B7,'Факт продаж'!A:C,3,0),"нет продаж")</f>
        <v>нет продаж</v>
      </c>
      <c r="E7" s="47" t="str">
        <f>IFERROR(VLOOKUP(B7,'Факт продаж'!A:E,5,0),"нет продаж")</f>
        <v>нет продаж</v>
      </c>
      <c r="F7" s="25">
        <f>IFERROR(VLOOKUP(B7,'Факт продаж'!A:C,3,0)/SUM('План Антонова'!$C$11:$C$13),0)</f>
        <v>0</v>
      </c>
      <c r="G7" s="5">
        <f>IFERROR(VLOOKUP(B7,'Факт продаж'!J:K,2,0),"нет продаж")</f>
        <v>3</v>
      </c>
      <c r="H7" s="48">
        <f>IFERROR(VLOOKUP(B7,'Факт продаж'!J:L,3,0),"нет продаж")</f>
        <v>6373.8</v>
      </c>
      <c r="I7" s="48">
        <f>IFERROR(VLOOKUP(B7,'Факт продаж'!J:N,5,0),"нет продаж")</f>
        <v>2945.7461521330288</v>
      </c>
      <c r="J7" s="7">
        <f>IFERROR(VLOOKUP(B7,'Факт продаж'!J:L,3,0)/SUM('План Антонова'!$C$14:$C$16),0)</f>
        <v>4.4010198139040603E-5</v>
      </c>
      <c r="K7" s="44">
        <f>IFERROR(VLOOKUP(B7,'Факт продаж'!J:O,6,0),"-")</f>
        <v>1</v>
      </c>
      <c r="L7" s="44">
        <f>IF(AND(F7=0,J7&gt;0),5,IF(J7/F7&gt;5,5,IF(J7/F7=0,0.0000001,J7/F7)))</f>
        <v>5</v>
      </c>
      <c r="M7" s="5">
        <f>IFERROR(VLOOKUP(B7,'Факт продаж'!S:T,2,0),"нет продаж")</f>
        <v>1</v>
      </c>
      <c r="N7" s="48">
        <f>IFERROR(VLOOKUP(B7,'Факт продаж'!S:U,3,0),"нет продаж")</f>
        <v>2345.3000000000002</v>
      </c>
      <c r="O7" s="48">
        <f>IFERROR(VLOOKUP(B7,'Факт продаж'!S:W,5,0),"нет продаж")</f>
        <v>991.63303700909034</v>
      </c>
      <c r="P7" s="7">
        <f>IFERROR(VLOOKUP(B7,'Факт продаж'!S:U,3,0)/SUM('План Антонова'!$C$17:$C$19),0)</f>
        <v>1.4285340426814508E-5</v>
      </c>
      <c r="Q7" s="44">
        <f>IFERROR(VLOOKUP(B7,'Факт продаж'!S:X,6,0),"-")</f>
        <v>-0.6633677900958832</v>
      </c>
      <c r="R7" s="44">
        <f>IF(AND(J7=0,P7&gt;0),5,IF(P7/J7&gt;5,5,IF(P7/J7=0,0.0000001,P7/J7)))</f>
        <v>0.32459159537712368</v>
      </c>
      <c r="S7" s="16" t="str">
        <f>IFERROR(VLOOKUP(B7,'Факт продаж'!AB:AD,2,0),"нет продаж")</f>
        <v>нет продаж</v>
      </c>
      <c r="T7" s="16" t="str">
        <f>IFERROR(VLOOKUP(B7,'Факт продаж'!AB:AD,3,0),"нет продаж")</f>
        <v>нет продаж</v>
      </c>
      <c r="U7" s="16" t="str">
        <f>IFERROR(VLOOKUP(B7,'Факт продаж'!AB:AF,5,0),"нет продаж")</f>
        <v>нет продаж</v>
      </c>
      <c r="V7" s="7">
        <f>IFERROR(VLOOKUP(B7,'Факт продаж'!AB:AD,3,0)/SUM('План Антонова'!$C$20:$C$22),0)</f>
        <v>0</v>
      </c>
      <c r="W7" s="44" t="str">
        <f>IFERROR(VLOOKUP(B7,'Факт продаж'!AB:AG,6,0),"-")</f>
        <v>-</v>
      </c>
      <c r="X7" s="44">
        <f>IF(AND(P7=0,V7&gt;0),5,IF(V7/P7&gt;5,5,IF(V7/P7=0,0.0000001,V7/P7)))</f>
        <v>9.9999999999999995E-8</v>
      </c>
      <c r="Y7" s="44" t="str">
        <f>IFERROR(VLOOKUP(B7,'Факт продаж'!AB:AH,7,0),"-")</f>
        <v>-</v>
      </c>
      <c r="Z7" s="44" t="e">
        <f>IF(AND(F7=0,V7&gt;0),5,IF(V7/F7&gt;5,5,IF(V7/F7=0,0.0000001,V7/F7)))</f>
        <v>#DIV/0!</v>
      </c>
      <c r="AB7" s="10" t="str">
        <f>IFERROR(VLOOKUP(VALUE(IF(L7&lt;1,1,0)&amp;IF(J7&lt;'Факт продаж'!$M$24,0,1)),$AB$1:$AC$4,2,FALSE),"НЕТ ПРОДАЖ")</f>
        <v>Темная лошадка</v>
      </c>
      <c r="AC7" s="10" t="str">
        <f>IFERROR(VLOOKUP(VALUE(IF(R7&lt;1,1,0)&amp;IF(P7&lt;'Факт продаж'!$V$24,0,1)),$AB$1:$AC$4,2,FALSE),"НЕТ ПРОДАЖ")</f>
        <v>Собака</v>
      </c>
      <c r="AD7" s="10" t="str">
        <f>IFERROR(VLOOKUP(VALUE(IF(X7&lt;1,1,0)&amp;IF(V7&lt;'Факт продаж'!$AE$24,0,1)),$AB$1:$AC$4,2,FALSE),"НЕТ ПРОДАЖ")</f>
        <v>Собака</v>
      </c>
      <c r="AE7" s="18" t="str">
        <f>IFERROR(VLOOKUP(VALUE(IF(Z7&lt;1,1,0)&amp;IF(V7&lt;'Факт продаж'!$AE$24,0,1)),$AB$1:$AC$4,2,FALSE),"НЕТ ПРОДАЖ")</f>
        <v>НЕТ ПРОДАЖ</v>
      </c>
      <c r="AF7" s="74" t="str">
        <f>VLOOKUP(B7,'ABC расчет'!B:G,6,0)</f>
        <v>C</v>
      </c>
      <c r="AG7" s="74" t="str">
        <f>VLOOKUP(B7,'ABC расчет'!K:P,6,0)</f>
        <v>C</v>
      </c>
      <c r="AH7" s="74" t="str">
        <f>VLOOKUP(B7,'ABC расчет'!T:Y,6,0)</f>
        <v>C</v>
      </c>
      <c r="AI7" s="74" t="str">
        <f>VLOOKUP(B7,'ABC расчет'!AC:AH,6,0)</f>
        <v>C</v>
      </c>
      <c r="AJ7" s="74"/>
      <c r="AK7" s="74"/>
      <c r="AL7" s="19"/>
    </row>
    <row r="8" spans="1:39" x14ac:dyDescent="0.3">
      <c r="A8" s="51" t="s">
        <v>247</v>
      </c>
      <c r="B8" s="21" t="s">
        <v>107</v>
      </c>
      <c r="C8" s="20" t="str">
        <f>IFERROR(VLOOKUP(B8,'Факт продаж'!A:B,2,0),"нет продаж")</f>
        <v>нет продаж</v>
      </c>
      <c r="D8" s="47" t="str">
        <f>IFERROR(VLOOKUP(B8,'Факт продаж'!A:C,3,0),"нет продаж")</f>
        <v>нет продаж</v>
      </c>
      <c r="E8" s="47" t="str">
        <f>IFERROR(VLOOKUP(B8,'Факт продаж'!A:E,5,0),"нет продаж")</f>
        <v>нет продаж</v>
      </c>
      <c r="F8" s="25">
        <f>IFERROR(VLOOKUP(B8,'Факт продаж'!A:C,3,0)/SUM('План Антонова'!$C$11:$C$13),0)</f>
        <v>0</v>
      </c>
      <c r="G8" s="5">
        <f>IFERROR(VLOOKUP(B8,'Факт продаж'!J:K,2,0),"нет продаж")</f>
        <v>20</v>
      </c>
      <c r="H8" s="48">
        <f>IFERROR(VLOOKUP(B8,'Факт продаж'!J:L,3,0),"нет продаж")</f>
        <v>20577.099999999999</v>
      </c>
      <c r="I8" s="48">
        <f>IFERROR(VLOOKUP(B8,'Факт продаж'!J:N,5,0),"нет продаж")</f>
        <v>12818.377952410858</v>
      </c>
      <c r="J8" s="7">
        <f>IFERROR(VLOOKUP(B8,'Факт продаж'!J:L,3,0)/SUM('План Антонова'!$C$14:$C$16),0)</f>
        <v>1.4208199945508996E-4</v>
      </c>
      <c r="K8" s="44">
        <f>IFERROR(VLOOKUP(B8,'Факт продаж'!J:O,6,0),"-")</f>
        <v>1</v>
      </c>
      <c r="L8" s="44">
        <f>IF(AND(F8=0,J8&gt;0),5,IF(J8/F8&gt;5,5,IF(J8/F8=0,0.0000001,J8/F8)))</f>
        <v>5</v>
      </c>
      <c r="M8" s="5">
        <f>IFERROR(VLOOKUP(B8,'Факт продаж'!S:T,2,0),"нет продаж")</f>
        <v>7</v>
      </c>
      <c r="N8" s="48">
        <f>IFERROR(VLOOKUP(B8,'Факт продаж'!S:U,3,0),"нет продаж")</f>
        <v>7042</v>
      </c>
      <c r="O8" s="48">
        <f>IFERROR(VLOOKUP(B8,'Факт продаж'!S:W,5,0),"нет продаж")</f>
        <v>4047.5661792840438</v>
      </c>
      <c r="P8" s="7">
        <f>IFERROR(VLOOKUP(B8,'Факт продаж'!S:U,3,0)/SUM('План Антонова'!$C$17:$C$19),0)</f>
        <v>4.2893176687685056E-5</v>
      </c>
      <c r="Q8" s="44">
        <f>IFERROR(VLOOKUP(B8,'Факт продаж'!S:X,6,0),"-")</f>
        <v>-0.68423725729488383</v>
      </c>
      <c r="R8" s="44">
        <f>IF(AND(J8=0,P8&gt;0),5,IF(P8/J8&gt;5,5,IF(P8/J8=0,0.0000001,P8/J8)))</f>
        <v>0.30189029470438272</v>
      </c>
      <c r="S8" s="16" t="str">
        <f>IFERROR(VLOOKUP(B8,'Факт продаж'!AB:AD,2,0),"нет продаж")</f>
        <v>нет продаж</v>
      </c>
      <c r="T8" s="16" t="str">
        <f>IFERROR(VLOOKUP(B8,'Факт продаж'!AB:AD,3,0),"нет продаж")</f>
        <v>нет продаж</v>
      </c>
      <c r="U8" s="16" t="str">
        <f>IFERROR(VLOOKUP(B8,'Факт продаж'!AB:AF,5,0),"нет продаж")</f>
        <v>нет продаж</v>
      </c>
      <c r="V8" s="7">
        <f>IFERROR(VLOOKUP(B8,'Факт продаж'!AB:AD,3,0)/SUM('План Антонова'!$C$20:$C$22),0)</f>
        <v>0</v>
      </c>
      <c r="W8" s="44" t="str">
        <f>IFERROR(VLOOKUP(B8,'Факт продаж'!AB:AG,6,0),"-")</f>
        <v>-</v>
      </c>
      <c r="X8" s="44">
        <f>IF(AND(P8=0,V8&gt;0),5,IF(V8/P8&gt;5,5,IF(V8/P8=0,0.0000001,V8/P8)))</f>
        <v>9.9999999999999995E-8</v>
      </c>
      <c r="Y8" s="44" t="str">
        <f>IFERROR(VLOOKUP(B8,'Факт продаж'!AB:AH,7,0),"-")</f>
        <v>-</v>
      </c>
      <c r="Z8" s="44" t="e">
        <f>IF(AND(F8=0,V8&gt;0),5,IF(V8/F8&gt;5,5,IF(V8/F8=0,0.0000001,V8/F8)))</f>
        <v>#DIV/0!</v>
      </c>
      <c r="AB8" s="10" t="str">
        <f>IFERROR(VLOOKUP(VALUE(IF(L8&lt;1,1,0)&amp;IF(J8&lt;'Факт продаж'!$M$24,0,1)),$AB$1:$AC$4,2,FALSE),"НЕТ ПРОДАЖ")</f>
        <v>Темная лошадка</v>
      </c>
      <c r="AC8" s="10" t="str">
        <f>IFERROR(VLOOKUP(VALUE(IF(R8&lt;1,1,0)&amp;IF(P8&lt;'Факт продаж'!$V$24,0,1)),$AB$1:$AC$4,2,FALSE),"НЕТ ПРОДАЖ")</f>
        <v>Собака</v>
      </c>
      <c r="AD8" s="10" t="str">
        <f>IFERROR(VLOOKUP(VALUE(IF(X8&lt;1,1,0)&amp;IF(V8&lt;'Факт продаж'!$AE$24,0,1)),$AB$1:$AC$4,2,FALSE),"НЕТ ПРОДАЖ")</f>
        <v>Собака</v>
      </c>
      <c r="AE8" s="18" t="str">
        <f>IFERROR(VLOOKUP(VALUE(IF(Z8&lt;1,1,0)&amp;IF(V8&lt;'Факт продаж'!$AE$24,0,1)),$AB$1:$AC$4,2,FALSE),"НЕТ ПРОДАЖ")</f>
        <v>НЕТ ПРОДАЖ</v>
      </c>
      <c r="AF8" s="74" t="str">
        <f>VLOOKUP(B8,'ABC расчет'!B:G,6,0)</f>
        <v>C</v>
      </c>
      <c r="AG8" s="74" t="str">
        <f>VLOOKUP(B8,'ABC расчет'!K:P,6,0)</f>
        <v>C</v>
      </c>
      <c r="AH8" s="74" t="str">
        <f>VLOOKUP(B8,'ABC расчет'!T:Y,6,0)</f>
        <v>C</v>
      </c>
      <c r="AI8" s="74" t="str">
        <f>VLOOKUP(B8,'ABC расчет'!AC:AH,6,0)</f>
        <v>C</v>
      </c>
      <c r="AJ8" s="74"/>
      <c r="AK8" s="74"/>
      <c r="AL8" s="19"/>
    </row>
    <row r="9" spans="1:39" x14ac:dyDescent="0.3">
      <c r="A9" s="51" t="s">
        <v>247</v>
      </c>
      <c r="B9" s="21" t="s">
        <v>208</v>
      </c>
      <c r="C9" s="20">
        <f>IFERROR(VLOOKUP(B9,'Факт продаж'!A:B,2,0),"нет продаж")</f>
        <v>80</v>
      </c>
      <c r="D9" s="47">
        <f>IFERROR(VLOOKUP(B9,'Факт продаж'!A:C,3,0),"нет продаж")</f>
        <v>29918.327399999995</v>
      </c>
      <c r="E9" s="47">
        <f>IFERROR(VLOOKUP(B9,'Факт продаж'!A:E,5,0),"нет продаж")</f>
        <v>16304.500655147813</v>
      </c>
      <c r="F9" s="25">
        <f>IFERROR(VLOOKUP(B9,'Факт продаж'!A:C,3,0)/SUM('План Антонова'!$C$11:$C$13),0)</f>
        <v>2.271730291481991E-4</v>
      </c>
      <c r="G9" s="5">
        <f>IFERROR(VLOOKUP(B9,'Факт продаж'!J:K,2,0),"нет продаж")</f>
        <v>15</v>
      </c>
      <c r="H9" s="48">
        <f>IFERROR(VLOOKUP(B9,'Факт продаж'!J:L,3,0),"нет продаж")</f>
        <v>7035.2</v>
      </c>
      <c r="I9" s="48">
        <f>IFERROR(VLOOKUP(B9,'Факт продаж'!J:N,5,0),"нет продаж")</f>
        <v>1246.4195169633531</v>
      </c>
      <c r="J9" s="7">
        <f>IFERROR(VLOOKUP(B9,'Факт продаж'!J:L,3,0)/SUM('План Антонова'!$C$14:$C$16),0)</f>
        <v>4.8577072695688356E-5</v>
      </c>
      <c r="K9" s="44">
        <f>IFERROR(VLOOKUP(B9,'Факт продаж'!J:O,6,0),"-")</f>
        <v>-0.92355365286395186</v>
      </c>
      <c r="L9" s="44">
        <f>IF(AND(F9=0,J9&gt;0),5,IF(J9/F9&gt;5,5,IF(J9/F9=0,0.0000001,J9/F9)))</f>
        <v>0.2138329223228278</v>
      </c>
      <c r="M9" s="5">
        <f>IFERROR(VLOOKUP(B9,'Факт продаж'!S:T,2,0),"нет продаж")</f>
        <v>10</v>
      </c>
      <c r="N9" s="48">
        <f>IFERROR(VLOOKUP(B9,'Факт продаж'!S:U,3,0),"нет продаж")</f>
        <v>5815</v>
      </c>
      <c r="O9" s="48">
        <f>IFERROR(VLOOKUP(B9,'Факт продаж'!S:W,5,0),"нет продаж")</f>
        <v>1102.8124322202484</v>
      </c>
      <c r="P9" s="7">
        <f>IFERROR(VLOOKUP(B9,'Факт продаж'!S:U,3,0)/SUM('План Антонова'!$C$17:$C$19),0)</f>
        <v>3.5419457886806102E-5</v>
      </c>
      <c r="Q9" s="44">
        <f>IFERROR(VLOOKUP(B9,'Факт продаж'!S:X,6,0),"-")</f>
        <v>-0.11521569005351751</v>
      </c>
      <c r="R9" s="44">
        <f>IF(AND(J9=0,P9&gt;0),5,IF(P9/J9&gt;5,5,IF(P9/J9=0,0.0000001,P9/J9)))</f>
        <v>0.72913940509943265</v>
      </c>
      <c r="S9" s="16" t="str">
        <f>IFERROR(VLOOKUP(B9,'Факт продаж'!AB:AD,2,0),"нет продаж")</f>
        <v>нет продаж</v>
      </c>
      <c r="T9" s="16" t="str">
        <f>IFERROR(VLOOKUP(B9,'Факт продаж'!AB:AD,3,0),"нет продаж")</f>
        <v>нет продаж</v>
      </c>
      <c r="U9" s="16" t="str">
        <f>IFERROR(VLOOKUP(B9,'Факт продаж'!AB:AF,5,0),"нет продаж")</f>
        <v>нет продаж</v>
      </c>
      <c r="V9" s="7">
        <f>IFERROR(VLOOKUP(B9,'Факт продаж'!AB:AD,3,0)/SUM('План Антонова'!$C$20:$C$22),0)</f>
        <v>0</v>
      </c>
      <c r="W9" s="44" t="str">
        <f>IFERROR(VLOOKUP(B9,'Факт продаж'!AB:AG,6,0),"-")</f>
        <v>-</v>
      </c>
      <c r="X9" s="44">
        <f>IF(AND(P9=0,V9&gt;0),5,IF(V9/P9&gt;5,5,IF(V9/P9=0,0.0000001,V9/P9)))</f>
        <v>9.9999999999999995E-8</v>
      </c>
      <c r="Y9" s="44" t="str">
        <f>IFERROR(VLOOKUP(B9,'Факт продаж'!AB:AH,7,0),"-")</f>
        <v>-</v>
      </c>
      <c r="Z9" s="44">
        <f>IF(AND(F9=0,V9&gt;0),5,IF(V9/F9&gt;5,5,IF(V9/F9=0,0.0000001,V9/F9)))</f>
        <v>9.9999999999999995E-8</v>
      </c>
      <c r="AB9" s="10" t="str">
        <f>IFERROR(VLOOKUP(VALUE(IF(L9&lt;1,1,0)&amp;IF(J9&lt;'Факт продаж'!$M$24,0,1)),$AB$1:$AC$4,2,FALSE),"НЕТ ПРОДАЖ")</f>
        <v>Собака</v>
      </c>
      <c r="AC9" s="10" t="str">
        <f>IFERROR(VLOOKUP(VALUE(IF(R9&lt;1,1,0)&amp;IF(P9&lt;'Факт продаж'!$V$24,0,1)),$AB$1:$AC$4,2,FALSE),"НЕТ ПРОДАЖ")</f>
        <v>Собака</v>
      </c>
      <c r="AD9" s="10" t="str">
        <f>IFERROR(VLOOKUP(VALUE(IF(X9&lt;1,1,0)&amp;IF(V9&lt;'Факт продаж'!$AE$24,0,1)),$AB$1:$AC$4,2,FALSE),"НЕТ ПРОДАЖ")</f>
        <v>Собака</v>
      </c>
      <c r="AE9" s="18" t="str">
        <f>IFERROR(VLOOKUP(VALUE(IF(Z9&lt;1,1,0)&amp;IF(V9&lt;'Факт продаж'!$AE$24,0,1)),$AB$1:$AC$4,2,FALSE),"НЕТ ПРОДАЖ")</f>
        <v>Собака</v>
      </c>
      <c r="AF9" s="74" t="str">
        <f>VLOOKUP(B9,'ABC расчет'!B:G,6,0)</f>
        <v>A</v>
      </c>
      <c r="AG9" s="74" t="str">
        <f>VLOOKUP(B9,'ABC расчет'!K:P,6,0)</f>
        <v>C</v>
      </c>
      <c r="AH9" s="74" t="str">
        <f>VLOOKUP(B9,'ABC расчет'!T:Y,6,0)</f>
        <v>C</v>
      </c>
      <c r="AI9" s="74" t="str">
        <f>VLOOKUP(B9,'ABC расчет'!AC:AH,6,0)</f>
        <v>C</v>
      </c>
      <c r="AJ9" s="74"/>
      <c r="AK9" s="74"/>
      <c r="AL9" s="19"/>
    </row>
    <row r="10" spans="1:39" x14ac:dyDescent="0.3">
      <c r="A10" s="51" t="s">
        <v>247</v>
      </c>
      <c r="B10" s="21" t="s">
        <v>326</v>
      </c>
      <c r="C10" s="20" t="str">
        <f>IFERROR(VLOOKUP(B10,'Факт продаж'!A:B,2,0),"нет продаж")</f>
        <v>нет продаж</v>
      </c>
      <c r="D10" s="47" t="str">
        <f>IFERROR(VLOOKUP(B10,'Факт продаж'!A:C,3,0),"нет продаж")</f>
        <v>нет продаж</v>
      </c>
      <c r="E10" s="47" t="str">
        <f>IFERROR(VLOOKUP(B10,'Факт продаж'!A:E,5,0),"нет продаж")</f>
        <v>нет продаж</v>
      </c>
      <c r="F10" s="25">
        <f>IFERROR(VLOOKUP(B10,'Факт продаж'!A:C,3,0)/SUM('План Антонова'!$C$11:$C$13),0)</f>
        <v>0</v>
      </c>
      <c r="G10" s="5" t="str">
        <f>IFERROR(VLOOKUP(B10,'Факт продаж'!J:K,2,0),"нет продаж")</f>
        <v>нет продаж</v>
      </c>
      <c r="H10" s="48" t="str">
        <f>IFERROR(VLOOKUP(B10,'Факт продаж'!J:L,3,0),"нет продаж")</f>
        <v>нет продаж</v>
      </c>
      <c r="I10" s="48" t="str">
        <f>IFERROR(VLOOKUP(B10,'Факт продаж'!J:N,5,0),"нет продаж")</f>
        <v>нет продаж</v>
      </c>
      <c r="J10" s="7">
        <f>IFERROR(VLOOKUP(B10,'Факт продаж'!J:L,3,0)/SUM('План Антонова'!$C$14:$C$16),0)</f>
        <v>0</v>
      </c>
      <c r="K10" s="44" t="str">
        <f>IFERROR(VLOOKUP(B10,'Факт продаж'!J:O,6,0),"-")</f>
        <v>-</v>
      </c>
      <c r="L10" s="44" t="e">
        <f>IF(AND(F10=0,J10&gt;0),5,IF(J10/F10&gt;5,5,IF(J10/F10=0,0.0000001,J10/F10)))</f>
        <v>#DIV/0!</v>
      </c>
      <c r="M10" s="5" t="str">
        <f>IFERROR(VLOOKUP(B10,'Факт продаж'!S:T,2,0),"нет продаж")</f>
        <v>нет продаж</v>
      </c>
      <c r="N10" s="48" t="str">
        <f>IFERROR(VLOOKUP(B10,'Факт продаж'!S:U,3,0),"нет продаж")</f>
        <v>нет продаж</v>
      </c>
      <c r="O10" s="48" t="str">
        <f>IFERROR(VLOOKUP(B10,'Факт продаж'!S:W,5,0),"нет продаж")</f>
        <v>нет продаж</v>
      </c>
      <c r="P10" s="7">
        <f>IFERROR(VLOOKUP(B10,'Факт продаж'!S:U,3,0)/SUM('План Антонова'!$C$17:$C$19),0)</f>
        <v>0</v>
      </c>
      <c r="Q10" s="44" t="str">
        <f>IFERROR(VLOOKUP(B10,'Факт продаж'!S:X,6,0),"-")</f>
        <v>-</v>
      </c>
      <c r="R10" s="44" t="e">
        <f>IF(AND(J10=0,P10&gt;0),5,IF(P10/J10&gt;5,5,IF(P10/J10=0,0.0000001,P10/J10)))</f>
        <v>#DIV/0!</v>
      </c>
      <c r="S10" s="16" t="str">
        <f>IFERROR(VLOOKUP(B10,'Факт продаж'!AB:AD,2,0),"нет продаж")</f>
        <v>нет продаж</v>
      </c>
      <c r="T10" s="16" t="str">
        <f>IFERROR(VLOOKUP(B10,'Факт продаж'!AB:AD,3,0),"нет продаж")</f>
        <v>нет продаж</v>
      </c>
      <c r="U10" s="16" t="str">
        <f>IFERROR(VLOOKUP(B10,'Факт продаж'!AB:AF,5,0),"нет продаж")</f>
        <v>нет продаж</v>
      </c>
      <c r="V10" s="7">
        <f>IFERROR(VLOOKUP(B10,'Факт продаж'!AB:AD,3,0)/SUM('План Антонова'!$C$20:$C$22),0)</f>
        <v>0</v>
      </c>
      <c r="W10" s="44" t="str">
        <f>IFERROR(VLOOKUP(B10,'Факт продаж'!AB:AG,6,0),"-")</f>
        <v>-</v>
      </c>
      <c r="X10" s="44" t="e">
        <f>IF(AND(P10=0,V10&gt;0),5,IF(V10/P10&gt;5,5,IF(V10/P10=0,0.0000001,V10/P10)))</f>
        <v>#DIV/0!</v>
      </c>
      <c r="Y10" s="44" t="str">
        <f>IFERROR(VLOOKUP(B10,'Факт продаж'!AB:AH,7,0),"-")</f>
        <v>-</v>
      </c>
      <c r="Z10" s="44" t="e">
        <f>IF(AND(F10=0,V10&gt;0),5,IF(V10/F10&gt;5,5,IF(V10/F10=0,0.0000001,V10/F10)))</f>
        <v>#DIV/0!</v>
      </c>
      <c r="AB10" s="10" t="str">
        <f>IFERROR(VLOOKUP(VALUE(IF(L10&lt;1,1,0)&amp;IF(J10&lt;'Факт продаж'!$M$24,0,1)),$AB$1:$AC$4,2,FALSE),"НЕТ ПРОДАЖ")</f>
        <v>НЕТ ПРОДАЖ</v>
      </c>
      <c r="AC10" s="10" t="str">
        <f>IFERROR(VLOOKUP(VALUE(IF(R10&lt;1,1,0)&amp;IF(P10&lt;'Факт продаж'!$V$24,0,1)),$AB$1:$AC$4,2,FALSE),"НЕТ ПРОДАЖ")</f>
        <v>НЕТ ПРОДАЖ</v>
      </c>
      <c r="AD10" s="10" t="str">
        <f>IFERROR(VLOOKUP(VALUE(IF(X10&lt;1,1,0)&amp;IF(V10&lt;'Факт продаж'!$AE$24,0,1)),$AB$1:$AC$4,2,FALSE),"НЕТ ПРОДАЖ")</f>
        <v>НЕТ ПРОДАЖ</v>
      </c>
      <c r="AE10" s="18" t="str">
        <f>IFERROR(VLOOKUP(VALUE(IF(Z10&lt;1,1,0)&amp;IF(V10&lt;'Факт продаж'!$AE$24,0,1)),$AB$1:$AC$4,2,FALSE),"НЕТ ПРОДАЖ")</f>
        <v>НЕТ ПРОДАЖ</v>
      </c>
      <c r="AF10" s="74" t="str">
        <f>VLOOKUP(B10,'ABC расчет'!B:G,6,0)</f>
        <v>C</v>
      </c>
      <c r="AG10" s="74" t="str">
        <f>VLOOKUP(B10,'ABC расчет'!K:P,6,0)</f>
        <v>C</v>
      </c>
      <c r="AH10" s="74" t="str">
        <f>VLOOKUP(B10,'ABC расчет'!T:Y,6,0)</f>
        <v>C</v>
      </c>
      <c r="AI10" s="74" t="str">
        <f>VLOOKUP(B10,'ABC расчет'!AC:AH,6,0)</f>
        <v>C</v>
      </c>
      <c r="AJ10" s="74"/>
      <c r="AK10" s="74"/>
      <c r="AL10" s="19" t="s">
        <v>455</v>
      </c>
    </row>
    <row r="11" spans="1:39" x14ac:dyDescent="0.3">
      <c r="A11" s="51" t="s">
        <v>249</v>
      </c>
      <c r="B11" s="21" t="s">
        <v>448</v>
      </c>
      <c r="C11" s="20" t="str">
        <f>IFERROR(VLOOKUP(B11,'Факт продаж'!A:B,2,0),"нет продаж")</f>
        <v>нет продаж</v>
      </c>
      <c r="D11" s="47" t="str">
        <f>IFERROR(VLOOKUP(B11,'Факт продаж'!A:C,3,0),"нет продаж")</f>
        <v>нет продаж</v>
      </c>
      <c r="E11" s="47" t="str">
        <f>IFERROR(VLOOKUP(B11,'Факт продаж'!A:E,5,0),"нет продаж")</f>
        <v>нет продаж</v>
      </c>
      <c r="F11" s="25">
        <f>IFERROR(VLOOKUP(B11,'Факт продаж'!A:C,3,0)/SUM('План Антонова'!$C$11:$C$13),0)</f>
        <v>0</v>
      </c>
      <c r="G11" s="5" t="str">
        <f>IFERROR(VLOOKUP(B11,'Факт продаж'!J:K,2,0),"нет продаж")</f>
        <v>нет продаж</v>
      </c>
      <c r="H11" s="48" t="str">
        <f>IFERROR(VLOOKUP(B11,'Факт продаж'!J:L,3,0),"нет продаж")</f>
        <v>нет продаж</v>
      </c>
      <c r="I11" s="48" t="str">
        <f>IFERROR(VLOOKUP(B11,'Факт продаж'!J:N,5,0),"нет продаж")</f>
        <v>нет продаж</v>
      </c>
      <c r="J11" s="7">
        <f>IFERROR(VLOOKUP(B11,'Факт продаж'!J:L,3,0)/SUM('План Антонова'!$C$14:$C$16),0)</f>
        <v>0</v>
      </c>
      <c r="K11" s="44" t="str">
        <f>IFERROR(VLOOKUP(B11,'Факт продаж'!J:O,6,0),"-")</f>
        <v>-</v>
      </c>
      <c r="L11" s="44" t="e">
        <f>IF(AND(F11=0,J11&gt;0),5,IF(J11/F11&gt;5,5,IF(J11/F11=0,0.0000001,J11/F11)))</f>
        <v>#DIV/0!</v>
      </c>
      <c r="M11" s="5" t="str">
        <f>IFERROR(VLOOKUP(B11,'Факт продаж'!S:T,2,0),"нет продаж")</f>
        <v>нет продаж</v>
      </c>
      <c r="N11" s="48" t="str">
        <f>IFERROR(VLOOKUP(B11,'Факт продаж'!S:U,3,0),"нет продаж")</f>
        <v>нет продаж</v>
      </c>
      <c r="O11" s="48" t="str">
        <f>IFERROR(VLOOKUP(B11,'Факт продаж'!S:W,5,0),"нет продаж")</f>
        <v>нет продаж</v>
      </c>
      <c r="P11" s="7">
        <f>IFERROR(VLOOKUP(B11,'Факт продаж'!S:U,3,0)/SUM('План Антонова'!$C$17:$C$19),0)</f>
        <v>0</v>
      </c>
      <c r="Q11" s="44" t="str">
        <f>IFERROR(VLOOKUP(B11,'Факт продаж'!S:X,6,0),"-")</f>
        <v>-</v>
      </c>
      <c r="R11" s="44" t="e">
        <f>IF(AND(J11=0,P11&gt;0),5,IF(P11/J11&gt;5,5,IF(P11/J11=0,0.0000001,P11/J11)))</f>
        <v>#DIV/0!</v>
      </c>
      <c r="S11" s="16" t="str">
        <f>IFERROR(VLOOKUP(B11,'Факт продаж'!AB:AD,2,0),"нет продаж")</f>
        <v>нет продаж</v>
      </c>
      <c r="T11" s="16" t="str">
        <f>IFERROR(VLOOKUP(B11,'Факт продаж'!AB:AD,3,0),"нет продаж")</f>
        <v>нет продаж</v>
      </c>
      <c r="U11" s="16" t="str">
        <f>IFERROR(VLOOKUP(B11,'Факт продаж'!AB:AF,5,0),"нет продаж")</f>
        <v>нет продаж</v>
      </c>
      <c r="V11" s="7">
        <f>IFERROR(VLOOKUP(B11,'Факт продаж'!AB:AD,3,0)/SUM('План Антонова'!$C$20:$C$22),0)</f>
        <v>0</v>
      </c>
      <c r="W11" s="44" t="str">
        <f>IFERROR(VLOOKUP(B11,'Факт продаж'!AB:AG,6,0),"-")</f>
        <v>-</v>
      </c>
      <c r="X11" s="44" t="e">
        <f>IF(AND(P11=0,V11&gt;0),5,IF(V11/P11&gt;5,5,IF(V11/P11=0,0.0000001,V11/P11)))</f>
        <v>#DIV/0!</v>
      </c>
      <c r="Y11" s="44" t="str">
        <f>IFERROR(VLOOKUP(B11,'Факт продаж'!AB:AH,7,0),"-")</f>
        <v>-</v>
      </c>
      <c r="Z11" s="44" t="e">
        <f>IF(AND(F11=0,V11&gt;0),5,IF(V11/F11&gt;5,5,IF(V11/F11=0,0.0000001,V11/F11)))</f>
        <v>#DIV/0!</v>
      </c>
      <c r="AB11" s="10" t="str">
        <f>IFERROR(VLOOKUP(VALUE(IF(L11&lt;1,1,0)&amp;IF(J11&lt;'Факт продаж'!$M$24,0,1)),$AB$1:$AC$4,2,FALSE),"НЕТ ПРОДАЖ")</f>
        <v>НЕТ ПРОДАЖ</v>
      </c>
      <c r="AC11" s="10" t="str">
        <f>IFERROR(VLOOKUP(VALUE(IF(R11&lt;1,1,0)&amp;IF(P11&lt;'Факт продаж'!$V$24,0,1)),$AB$1:$AC$4,2,FALSE),"НЕТ ПРОДАЖ")</f>
        <v>НЕТ ПРОДАЖ</v>
      </c>
      <c r="AD11" s="10" t="str">
        <f>IFERROR(VLOOKUP(VALUE(IF(X11&lt;1,1,0)&amp;IF(V11&lt;'Факт продаж'!$AE$24,0,1)),$AB$1:$AC$4,2,FALSE),"НЕТ ПРОДАЖ")</f>
        <v>НЕТ ПРОДАЖ</v>
      </c>
      <c r="AE11" s="18" t="str">
        <f>IFERROR(VLOOKUP(VALUE(IF(Z11&lt;1,1,0)&amp;IF(V11&lt;'Факт продаж'!$AE$24,0,1)),$AB$1:$AC$4,2,FALSE),"НЕТ ПРОДАЖ")</f>
        <v>НЕТ ПРОДАЖ</v>
      </c>
      <c r="AF11" s="74" t="str">
        <f>VLOOKUP(B11,'ABC расчет'!B:G,6,0)</f>
        <v>C</v>
      </c>
      <c r="AG11" s="74" t="str">
        <f>VLOOKUP(B11,'ABC расчет'!K:P,6,0)</f>
        <v>C</v>
      </c>
      <c r="AH11" s="74" t="str">
        <f>VLOOKUP(B11,'ABC расчет'!T:Y,6,0)</f>
        <v>C</v>
      </c>
      <c r="AI11" s="74" t="str">
        <f>VLOOKUP(B11,'ABC расчет'!AC:AH,6,0)</f>
        <v>C</v>
      </c>
      <c r="AJ11" s="74"/>
      <c r="AK11" s="74"/>
      <c r="AL11" s="19" t="s">
        <v>449</v>
      </c>
    </row>
    <row r="12" spans="1:39" ht="15" customHeight="1" x14ac:dyDescent="0.3">
      <c r="A12" s="51" t="s">
        <v>116</v>
      </c>
      <c r="B12" s="21" t="s">
        <v>175</v>
      </c>
      <c r="C12" s="20">
        <f>IFERROR(VLOOKUP(B12,'Факт продаж'!A:B,2,0),"нет продаж")</f>
        <v>71</v>
      </c>
      <c r="D12" s="47">
        <f>IFERROR(VLOOKUP(B12,'Факт продаж'!A:C,3,0),"нет продаж")</f>
        <v>427449.98600000003</v>
      </c>
      <c r="E12" s="47">
        <f>IFERROR(VLOOKUP(B12,'Факт продаж'!A:E,5,0),"нет продаж")</f>
        <v>160292.53119635713</v>
      </c>
      <c r="F12" s="25">
        <f>IFERROR(VLOOKUP(B12,'Факт продаж'!A:C,3,0)/SUM('План Антонова'!$C$11:$C$13),0)</f>
        <v>3.2456730227831965E-3</v>
      </c>
      <c r="G12" s="5">
        <f>IFERROR(VLOOKUP(B12,'Факт продаж'!J:K,2,0),"нет продаж")</f>
        <v>3</v>
      </c>
      <c r="H12" s="48">
        <f>IFERROR(VLOOKUP(B12,'Факт продаж'!J:L,3,0),"нет продаж")</f>
        <v>20065.099999999999</v>
      </c>
      <c r="I12" s="48">
        <f>IFERROR(VLOOKUP(B12,'Факт продаж'!J:N,5,0),"нет продаж")</f>
        <v>8373.561236489335</v>
      </c>
      <c r="J12" s="7">
        <f>IFERROR(VLOOKUP(B12,'Факт продаж'!J:L,3,0)/SUM('План Антонова'!$C$14:$C$16),0)</f>
        <v>1.3854671101692296E-4</v>
      </c>
      <c r="K12" s="44">
        <f>IFERROR(VLOOKUP(B12,'Факт продаж'!J:O,6,0),"-")</f>
        <v>-0.94776075233204859</v>
      </c>
      <c r="L12" s="44">
        <f>IF(AND(F12=0,J12&gt;0),5,IF(J12/F12&gt;5,5,IF(J12/F12=0,0.0000001,J12/F12)))</f>
        <v>4.2686589204884787E-2</v>
      </c>
      <c r="M12" s="5">
        <f>IFERROR(VLOOKUP(B12,'Факт продаж'!S:T,2,0),"нет продаж")</f>
        <v>1</v>
      </c>
      <c r="N12" s="48">
        <f>IFERROR(VLOOKUP(B12,'Факт продаж'!S:U,3,0),"нет продаж")</f>
        <v>9082.5</v>
      </c>
      <c r="O12" s="48">
        <f>IFERROR(VLOOKUP(B12,'Факт продаж'!S:W,5,0),"нет продаж")</f>
        <v>4485.740149111929</v>
      </c>
      <c r="P12" s="7">
        <f>IFERROR(VLOOKUP(B12,'Факт продаж'!S:U,3,0)/SUM('План Антонова'!$C$17:$C$19),0)</f>
        <v>5.5321964962496377E-5</v>
      </c>
      <c r="Q12" s="44">
        <f>IFERROR(VLOOKUP(B12,'Факт продаж'!S:X,6,0),"-")</f>
        <v>-0.46429720612008063</v>
      </c>
      <c r="R12" s="44">
        <f>IF(AND(J12=0,P12&gt;0),5,IF(P12/J12&gt;5,5,IF(P12/J12=0,0.0000001,P12/J12)))</f>
        <v>0.39930190010601557</v>
      </c>
      <c r="S12" s="16" t="str">
        <f>IFERROR(VLOOKUP(B12,'Факт продаж'!AB:AD,2,0),"нет продаж")</f>
        <v>нет продаж</v>
      </c>
      <c r="T12" s="16" t="str">
        <f>IFERROR(VLOOKUP(B12,'Факт продаж'!AB:AD,3,0),"нет продаж")</f>
        <v>нет продаж</v>
      </c>
      <c r="U12" s="16" t="str">
        <f>IFERROR(VLOOKUP(B12,'Факт продаж'!AB:AF,5,0),"нет продаж")</f>
        <v>нет продаж</v>
      </c>
      <c r="V12" s="7">
        <f>IFERROR(VLOOKUP(B12,'Факт продаж'!AB:AD,3,0)/SUM('План Антонова'!$C$20:$C$22),0)</f>
        <v>0</v>
      </c>
      <c r="W12" s="44" t="str">
        <f>IFERROR(VLOOKUP(B12,'Факт продаж'!AB:AG,6,0),"-")</f>
        <v>-</v>
      </c>
      <c r="X12" s="44">
        <f>IF(AND(P12=0,V12&gt;0),5,IF(V12/P12&gt;5,5,IF(V12/P12=0,0.0000001,V12/P12)))</f>
        <v>9.9999999999999995E-8</v>
      </c>
      <c r="Y12" s="44" t="str">
        <f>IFERROR(VLOOKUP(B12,'Факт продаж'!AB:AH,7,0),"-")</f>
        <v>-</v>
      </c>
      <c r="Z12" s="44">
        <f>IF(AND(F12=0,V12&gt;0),5,IF(V12/F12&gt;5,5,IF(V12/F12=0,0.0000001,V12/F12)))</f>
        <v>9.9999999999999995E-8</v>
      </c>
      <c r="AB12" s="10" t="str">
        <f>IFERROR(VLOOKUP(VALUE(IF(L12&lt;1,1,0)&amp;IF(J12&lt;'Факт продаж'!$M$24,0,1)),$AB$1:$AC$4,2,FALSE),"НЕТ ПРОДАЖ")</f>
        <v>Собака</v>
      </c>
      <c r="AC12" s="10" t="str">
        <f>IFERROR(VLOOKUP(VALUE(IF(R12&lt;1,1,0)&amp;IF(P12&lt;'Факт продаж'!$V$24,0,1)),$AB$1:$AC$4,2,FALSE),"НЕТ ПРОДАЖ")</f>
        <v>Собака</v>
      </c>
      <c r="AD12" s="10" t="str">
        <f>IFERROR(VLOOKUP(VALUE(IF(X12&lt;1,1,0)&amp;IF(V12&lt;'Факт продаж'!$AE$24,0,1)),$AB$1:$AC$4,2,FALSE),"НЕТ ПРОДАЖ")</f>
        <v>Собака</v>
      </c>
      <c r="AE12" s="18" t="str">
        <f>IFERROR(VLOOKUP(VALUE(IF(Z12&lt;1,1,0)&amp;IF(V12&lt;'Факт продаж'!$AE$24,0,1)),$AB$1:$AC$4,2,FALSE),"НЕТ ПРОДАЖ")</f>
        <v>Собака</v>
      </c>
      <c r="AF12" s="74" t="str">
        <f>VLOOKUP(B12,'ABC расчет'!B:G,6,0)</f>
        <v>A</v>
      </c>
      <c r="AG12" s="74" t="str">
        <f>VLOOKUP(B12,'ABC расчет'!K:P,6,0)</f>
        <v>C</v>
      </c>
      <c r="AH12" s="74" t="str">
        <f>VLOOKUP(B12,'ABC расчет'!T:Y,6,0)</f>
        <v>C</v>
      </c>
      <c r="AI12" s="74" t="str">
        <f>VLOOKUP(B12,'ABC расчет'!AC:AH,6,0)</f>
        <v>C</v>
      </c>
      <c r="AJ12" s="74"/>
      <c r="AK12" s="74"/>
      <c r="AL12" s="19"/>
    </row>
    <row r="13" spans="1:39" x14ac:dyDescent="0.3">
      <c r="A13" s="51" t="s">
        <v>251</v>
      </c>
      <c r="B13" s="21" t="s">
        <v>38</v>
      </c>
      <c r="C13" s="20">
        <f>IFERROR(VLOOKUP(B13,'Факт продаж'!A:B,2,0),"нет продаж")</f>
        <v>7</v>
      </c>
      <c r="D13" s="47">
        <f>IFERROR(VLOOKUP(B13,'Факт продаж'!A:C,3,0),"нет продаж")</f>
        <v>36352.267500000002</v>
      </c>
      <c r="E13" s="47">
        <f>IFERROR(VLOOKUP(B13,'Факт продаж'!A:E,5,0),"нет продаж")</f>
        <v>18826.819311100175</v>
      </c>
      <c r="F13" s="25">
        <f>IFERROR(VLOOKUP(B13,'Факт продаж'!A:C,3,0)/SUM('План Антонова'!$C$11:$C$13),0)</f>
        <v>2.7602661786436071E-4</v>
      </c>
      <c r="G13" s="5" t="str">
        <f>IFERROR(VLOOKUP(B13,'Факт продаж'!J:K,2,0),"нет продаж")</f>
        <v>нет продаж</v>
      </c>
      <c r="H13" s="48" t="str">
        <f>IFERROR(VLOOKUP(B13,'Факт продаж'!J:L,3,0),"нет продаж")</f>
        <v>нет продаж</v>
      </c>
      <c r="I13" s="48" t="str">
        <f>IFERROR(VLOOKUP(B13,'Факт продаж'!J:N,5,0),"нет продаж")</f>
        <v>нет продаж</v>
      </c>
      <c r="J13" s="7">
        <f>IFERROR(VLOOKUP(B13,'Факт продаж'!J:L,3,0)/SUM('План Антонова'!$C$14:$C$16),0)</f>
        <v>0</v>
      </c>
      <c r="K13" s="44" t="str">
        <f>IFERROR(VLOOKUP(B13,'Факт продаж'!J:O,6,0),"-")</f>
        <v>-</v>
      </c>
      <c r="L13" s="44">
        <f>IF(AND(F13=0,J13&gt;0),5,IF(J13/F13&gt;5,5,IF(J13/F13=0,0.0000001,J13/F13)))</f>
        <v>9.9999999999999995E-8</v>
      </c>
      <c r="M13" s="5" t="str">
        <f>IFERROR(VLOOKUP(B13,'Факт продаж'!S:T,2,0),"нет продаж")</f>
        <v>нет продаж</v>
      </c>
      <c r="N13" s="48" t="str">
        <f>IFERROR(VLOOKUP(B13,'Факт продаж'!S:U,3,0),"нет продаж")</f>
        <v>нет продаж</v>
      </c>
      <c r="O13" s="48" t="str">
        <f>IFERROR(VLOOKUP(B13,'Факт продаж'!S:W,5,0),"нет продаж")</f>
        <v>нет продаж</v>
      </c>
      <c r="P13" s="7">
        <f>IFERROR(VLOOKUP(B13,'Факт продаж'!S:U,3,0)/SUM('План Антонова'!$C$17:$C$19),0)</f>
        <v>0</v>
      </c>
      <c r="Q13" s="44" t="str">
        <f>IFERROR(VLOOKUP(B13,'Факт продаж'!S:X,6,0),"-")</f>
        <v>-</v>
      </c>
      <c r="R13" s="44" t="e">
        <f>IF(AND(J13=0,P13&gt;0),5,IF(P13/J13&gt;5,5,IF(P13/J13=0,0.0000001,P13/J13)))</f>
        <v>#DIV/0!</v>
      </c>
      <c r="S13" s="16" t="str">
        <f>IFERROR(VLOOKUP(B13,'Факт продаж'!AB:AD,2,0),"нет продаж")</f>
        <v>нет продаж</v>
      </c>
      <c r="T13" s="16" t="str">
        <f>IFERROR(VLOOKUP(B13,'Факт продаж'!AB:AD,3,0),"нет продаж")</f>
        <v>нет продаж</v>
      </c>
      <c r="U13" s="16" t="str">
        <f>IFERROR(VLOOKUP(B13,'Факт продаж'!AB:AF,5,0),"нет продаж")</f>
        <v>нет продаж</v>
      </c>
      <c r="V13" s="7">
        <f>IFERROR(VLOOKUP(B13,'Факт продаж'!AB:AD,3,0)/SUM('План Антонова'!$C$20:$C$22),0)</f>
        <v>0</v>
      </c>
      <c r="W13" s="44" t="str">
        <f>IFERROR(VLOOKUP(B13,'Факт продаж'!AB:AG,6,0),"-")</f>
        <v>-</v>
      </c>
      <c r="X13" s="44" t="e">
        <f>IF(AND(P13=0,V13&gt;0),5,IF(V13/P13&gt;5,5,IF(V13/P13=0,0.0000001,V13/P13)))</f>
        <v>#DIV/0!</v>
      </c>
      <c r="Y13" s="44" t="str">
        <f>IFERROR(VLOOKUP(B13,'Факт продаж'!AB:AH,7,0),"-")</f>
        <v>-</v>
      </c>
      <c r="Z13" s="44">
        <f>IF(AND(F13=0,V13&gt;0),5,IF(V13/F13&gt;5,5,IF(V13/F13=0,0.0000001,V13/F13)))</f>
        <v>9.9999999999999995E-8</v>
      </c>
      <c r="AB13" s="10" t="str">
        <f>IFERROR(VLOOKUP(VALUE(IF(L13&lt;1,1,0)&amp;IF(J13&lt;'Факт продаж'!$M$24,0,1)),$AB$1:$AC$4,2,FALSE),"НЕТ ПРОДАЖ")</f>
        <v>Собака</v>
      </c>
      <c r="AC13" s="10" t="str">
        <f>IFERROR(VLOOKUP(VALUE(IF(R13&lt;1,1,0)&amp;IF(P13&lt;'Факт продаж'!$V$24,0,1)),$AB$1:$AC$4,2,FALSE),"НЕТ ПРОДАЖ")</f>
        <v>НЕТ ПРОДАЖ</v>
      </c>
      <c r="AD13" s="10" t="str">
        <f>IFERROR(VLOOKUP(VALUE(IF(X13&lt;1,1,0)&amp;IF(V13&lt;'Факт продаж'!$AE$24,0,1)),$AB$1:$AC$4,2,FALSE),"НЕТ ПРОДАЖ")</f>
        <v>НЕТ ПРОДАЖ</v>
      </c>
      <c r="AE13" s="18" t="str">
        <f>IFERROR(VLOOKUP(VALUE(IF(Z13&lt;1,1,0)&amp;IF(V13&lt;'Факт продаж'!$AE$24,0,1)),$AB$1:$AC$4,2,FALSE),"НЕТ ПРОДАЖ")</f>
        <v>Собака</v>
      </c>
      <c r="AF13" s="74" t="str">
        <f>VLOOKUP(B13,'ABC расчет'!B:G,6,0)</f>
        <v>C</v>
      </c>
      <c r="AG13" s="74" t="str">
        <f>VLOOKUP(B13,'ABC расчет'!K:P,6,0)</f>
        <v>C</v>
      </c>
      <c r="AH13" s="74" t="str">
        <f>VLOOKUP(B13,'ABC расчет'!T:Y,6,0)</f>
        <v>C</v>
      </c>
      <c r="AI13" s="74" t="str">
        <f>VLOOKUP(B13,'ABC расчет'!AC:AH,6,0)</f>
        <v>C</v>
      </c>
      <c r="AJ13" s="74"/>
      <c r="AK13" s="74"/>
      <c r="AL13" s="19"/>
    </row>
    <row r="14" spans="1:39" x14ac:dyDescent="0.3">
      <c r="A14" s="5" t="s">
        <v>357</v>
      </c>
      <c r="B14" s="21" t="s">
        <v>308</v>
      </c>
      <c r="C14" s="20" t="str">
        <f>IFERROR(VLOOKUP(B14,'Факт продаж'!A:B,2,0),"нет продаж")</f>
        <v>нет продаж</v>
      </c>
      <c r="D14" s="47" t="str">
        <f>IFERROR(VLOOKUP(B14,'Факт продаж'!A:C,3,0),"нет продаж")</f>
        <v>нет продаж</v>
      </c>
      <c r="E14" s="47" t="str">
        <f>IFERROR(VLOOKUP(B14,'Факт продаж'!A:E,5,0),"нет продаж")</f>
        <v>нет продаж</v>
      </c>
      <c r="F14" s="25">
        <f>IFERROR(VLOOKUP(B14,'Факт продаж'!A:C,3,0)/SUM('План Антонова'!$C$11:$C$13),0)</f>
        <v>0</v>
      </c>
      <c r="G14" s="5">
        <f>IFERROR(VLOOKUP(B14,'Факт продаж'!J:K,2,0),"нет продаж")</f>
        <v>4</v>
      </c>
      <c r="H14" s="48">
        <f>IFERROR(VLOOKUP(B14,'Факт продаж'!J:L,3,0),"нет продаж")</f>
        <v>14156</v>
      </c>
      <c r="I14" s="48">
        <f>IFERROR(VLOOKUP(B14,'Факт продаж'!J:N,5,0),"нет продаж")</f>
        <v>3040.7744227114531</v>
      </c>
      <c r="J14" s="7">
        <f>IFERROR(VLOOKUP(B14,'Факт продаж'!J:L,3,0)/SUM('План Антонова'!$C$14:$C$16),0)</f>
        <v>9.7745201427132766E-5</v>
      </c>
      <c r="K14" s="44">
        <f>IFERROR(VLOOKUP(B14,'Факт продаж'!J:O,6,0),"-")</f>
        <v>1</v>
      </c>
      <c r="L14" s="44">
        <f>IF(AND(F14=0,J14&gt;0),5,IF(J14/F14&gt;5,5,IF(J14/F14=0,0.0000001,J14/F14)))</f>
        <v>5</v>
      </c>
      <c r="M14" s="5">
        <f>IFERROR(VLOOKUP(B14,'Факт продаж'!S:T,2,0),"нет продаж")</f>
        <v>2</v>
      </c>
      <c r="N14" s="48">
        <f>IFERROR(VLOOKUP(B14,'Факт продаж'!S:U,3,0),"нет продаж")</f>
        <v>7952</v>
      </c>
      <c r="O14" s="48">
        <f>IFERROR(VLOOKUP(B14,'Факт продаж'!S:W,5,0),"нет продаж")</f>
        <v>1677.0747492349187</v>
      </c>
      <c r="P14" s="7">
        <f>IFERROR(VLOOKUP(B14,'Факт продаж'!S:U,3,0)/SUM('План Антонова'!$C$17:$C$19),0)</f>
        <v>4.8436032522077752E-5</v>
      </c>
      <c r="Q14" s="44">
        <f>IFERROR(VLOOKUP(B14,'Факт продаж'!S:X,6,0),"-")</f>
        <v>-0.4484711734257899</v>
      </c>
      <c r="R14" s="44">
        <f>IF(AND(J14=0,P14&gt;0),5,IF(P14/J14&gt;5,5,IF(P14/J14=0,0.0000001,P14/J14)))</f>
        <v>0.49553360998683821</v>
      </c>
      <c r="S14" s="16" t="str">
        <f>IFERROR(VLOOKUP(B14,'Факт продаж'!AB:AD,2,0),"нет продаж")</f>
        <v>нет продаж</v>
      </c>
      <c r="T14" s="16" t="str">
        <f>IFERROR(VLOOKUP(B14,'Факт продаж'!AB:AD,3,0),"нет продаж")</f>
        <v>нет продаж</v>
      </c>
      <c r="U14" s="16" t="str">
        <f>IFERROR(VLOOKUP(B14,'Факт продаж'!AB:AF,5,0),"нет продаж")</f>
        <v>нет продаж</v>
      </c>
      <c r="V14" s="7">
        <f>IFERROR(VLOOKUP(B14,'Факт продаж'!AB:AD,3,0)/SUM('План Антонова'!$C$20:$C$22),0)</f>
        <v>0</v>
      </c>
      <c r="W14" s="44" t="str">
        <f>IFERROR(VLOOKUP(B14,'Факт продаж'!AB:AG,6,0),"-")</f>
        <v>-</v>
      </c>
      <c r="X14" s="44">
        <f>IF(AND(P14=0,V14&gt;0),5,IF(V14/P14&gt;5,5,IF(V14/P14=0,0.0000001,V14/P14)))</f>
        <v>9.9999999999999995E-8</v>
      </c>
      <c r="Y14" s="44" t="str">
        <f>IFERROR(VLOOKUP(B14,'Факт продаж'!AB:AH,7,0),"-")</f>
        <v>-</v>
      </c>
      <c r="Z14" s="44" t="e">
        <f>IF(AND(F14=0,V14&gt;0),5,IF(V14/F14&gt;5,5,IF(V14/F14=0,0.0000001,V14/F14)))</f>
        <v>#DIV/0!</v>
      </c>
      <c r="AB14" s="10" t="str">
        <f>IFERROR(VLOOKUP(VALUE(IF(L14&lt;1,1,0)&amp;IF(J14&lt;'Факт продаж'!$M$24,0,1)),$AB$1:$AC$4,2,FALSE),"НЕТ ПРОДАЖ")</f>
        <v>Темная лошадка</v>
      </c>
      <c r="AC14" s="10" t="str">
        <f>IFERROR(VLOOKUP(VALUE(IF(R14&lt;1,1,0)&amp;IF(P14&lt;'Факт продаж'!$V$24,0,1)),$AB$1:$AC$4,2,FALSE),"НЕТ ПРОДАЖ")</f>
        <v>Собака</v>
      </c>
      <c r="AD14" s="10" t="str">
        <f>IFERROR(VLOOKUP(VALUE(IF(X14&lt;1,1,0)&amp;IF(V14&lt;'Факт продаж'!$AE$24,0,1)),$AB$1:$AC$4,2,FALSE),"НЕТ ПРОДАЖ")</f>
        <v>Собака</v>
      </c>
      <c r="AE14" s="18" t="str">
        <f>IFERROR(VLOOKUP(VALUE(IF(Z14&lt;1,1,0)&amp;IF(V14&lt;'Факт продаж'!$AE$24,0,1)),$AB$1:$AC$4,2,FALSE),"НЕТ ПРОДАЖ")</f>
        <v>НЕТ ПРОДАЖ</v>
      </c>
      <c r="AF14" s="74" t="str">
        <f>VLOOKUP(B14,'ABC расчет'!B:G,6,0)</f>
        <v>A</v>
      </c>
      <c r="AG14" s="74" t="str">
        <f>VLOOKUP(B14,'ABC расчет'!K:P,6,0)</f>
        <v>C</v>
      </c>
      <c r="AH14" s="74" t="str">
        <f>VLOOKUP(B14,'ABC расчет'!T:Y,6,0)</f>
        <v>C</v>
      </c>
      <c r="AI14" s="74" t="str">
        <f>VLOOKUP(B14,'ABC расчет'!AC:AH,6,0)</f>
        <v>C</v>
      </c>
      <c r="AJ14" s="74"/>
      <c r="AK14" s="74"/>
      <c r="AL14" s="19"/>
    </row>
    <row r="15" spans="1:39" x14ac:dyDescent="0.3">
      <c r="A15" s="5" t="s">
        <v>357</v>
      </c>
      <c r="B15" s="21" t="s">
        <v>359</v>
      </c>
      <c r="C15" s="20" t="str">
        <f>IFERROR(VLOOKUP(B15,'Факт продаж'!A:B,2,0),"нет продаж")</f>
        <v>нет продаж</v>
      </c>
      <c r="D15" s="47" t="str">
        <f>IFERROR(VLOOKUP(B15,'Факт продаж'!A:C,3,0),"нет продаж")</f>
        <v>нет продаж</v>
      </c>
      <c r="E15" s="47" t="str">
        <f>IFERROR(VLOOKUP(B15,'Факт продаж'!A:E,5,0),"нет продаж")</f>
        <v>нет продаж</v>
      </c>
      <c r="F15" s="25">
        <f>IFERROR(VLOOKUP(B15,'Факт продаж'!A:C,3,0)/SUM('План Антонова'!$C$11:$C$13),0)</f>
        <v>0</v>
      </c>
      <c r="G15" s="5" t="str">
        <f>IFERROR(VLOOKUP(B15,'Факт продаж'!J:K,2,0),"нет продаж")</f>
        <v>нет продаж</v>
      </c>
      <c r="H15" s="48" t="str">
        <f>IFERROR(VLOOKUP(B15,'Факт продаж'!J:L,3,0),"нет продаж")</f>
        <v>нет продаж</v>
      </c>
      <c r="I15" s="48" t="str">
        <f>IFERROR(VLOOKUP(B15,'Факт продаж'!J:N,5,0),"нет продаж")</f>
        <v>нет продаж</v>
      </c>
      <c r="J15" s="7">
        <f>IFERROR(VLOOKUP(B15,'Факт продаж'!J:L,3,0)/SUM('План Антонова'!$C$14:$C$16),0)</f>
        <v>0</v>
      </c>
      <c r="K15" s="44" t="str">
        <f>IFERROR(VLOOKUP(B15,'Факт продаж'!J:O,6,0),"-")</f>
        <v>-</v>
      </c>
      <c r="L15" s="44" t="e">
        <f>IF(AND(F15=0,J15&gt;0),5,IF(J15/F15&gt;5,5,IF(J15/F15=0,0.0000001,J15/F15)))</f>
        <v>#DIV/0!</v>
      </c>
      <c r="M15" s="5" t="str">
        <f>IFERROR(VLOOKUP(B15,'Факт продаж'!S:T,2,0),"нет продаж")</f>
        <v>нет продаж</v>
      </c>
      <c r="N15" s="48" t="str">
        <f>IFERROR(VLOOKUP(B15,'Факт продаж'!S:U,3,0),"нет продаж")</f>
        <v>нет продаж</v>
      </c>
      <c r="O15" s="48" t="str">
        <f>IFERROR(VLOOKUP(B15,'Факт продаж'!S:W,5,0),"нет продаж")</f>
        <v>нет продаж</v>
      </c>
      <c r="P15" s="7">
        <f>IFERROR(VLOOKUP(B15,'Факт продаж'!S:U,3,0)/SUM('План Антонова'!$C$17:$C$19),0)</f>
        <v>0</v>
      </c>
      <c r="Q15" s="44" t="str">
        <f>IFERROR(VLOOKUP(B15,'Факт продаж'!S:X,6,0),"-")</f>
        <v>-</v>
      </c>
      <c r="R15" s="44" t="e">
        <f>IF(AND(J15=0,P15&gt;0),5,IF(P15/J15&gt;5,5,IF(P15/J15=0,0.0000001,P15/J15)))</f>
        <v>#DIV/0!</v>
      </c>
      <c r="S15" s="16" t="str">
        <f>IFERROR(VLOOKUP(B15,'Факт продаж'!AB:AD,2,0),"нет продаж")</f>
        <v>нет продаж</v>
      </c>
      <c r="T15" s="16" t="str">
        <f>IFERROR(VLOOKUP(B15,'Факт продаж'!AB:AD,3,0),"нет продаж")</f>
        <v>нет продаж</v>
      </c>
      <c r="U15" s="16" t="str">
        <f>IFERROR(VLOOKUP(B15,'Факт продаж'!AB:AF,5,0),"нет продаж")</f>
        <v>нет продаж</v>
      </c>
      <c r="V15" s="7">
        <f>IFERROR(VLOOKUP(B15,'Факт продаж'!AB:AD,3,0)/SUM('План Антонова'!$C$20:$C$22),0)</f>
        <v>0</v>
      </c>
      <c r="W15" s="44" t="str">
        <f>IFERROR(VLOOKUP(B15,'Факт продаж'!AB:AG,6,0),"-")</f>
        <v>-</v>
      </c>
      <c r="X15" s="44" t="e">
        <f>IF(AND(P15=0,V15&gt;0),5,IF(V15/P15&gt;5,5,IF(V15/P15=0,0.0000001,V15/P15)))</f>
        <v>#DIV/0!</v>
      </c>
      <c r="Y15" s="44" t="str">
        <f>IFERROR(VLOOKUP(B15,'Факт продаж'!AB:AH,7,0),"-")</f>
        <v>-</v>
      </c>
      <c r="Z15" s="44" t="e">
        <f>IF(AND(F15=0,V15&gt;0),5,IF(V15/F15&gt;5,5,IF(V15/F15=0,0.0000001,V15/F15)))</f>
        <v>#DIV/0!</v>
      </c>
      <c r="AB15" s="10" t="str">
        <f>IFERROR(VLOOKUP(VALUE(IF(L15&lt;1,1,0)&amp;IF(J15&lt;'Факт продаж'!$M$24,0,1)),$AB$1:$AC$4,2,FALSE),"НЕТ ПРОДАЖ")</f>
        <v>НЕТ ПРОДАЖ</v>
      </c>
      <c r="AC15" s="10" t="str">
        <f>IFERROR(VLOOKUP(VALUE(IF(R15&lt;1,1,0)&amp;IF(P15&lt;'Факт продаж'!$V$24,0,1)),$AB$1:$AC$4,2,FALSE),"НЕТ ПРОДАЖ")</f>
        <v>НЕТ ПРОДАЖ</v>
      </c>
      <c r="AD15" s="10" t="str">
        <f>IFERROR(VLOOKUP(VALUE(IF(X15&lt;1,1,0)&amp;IF(V15&lt;'Факт продаж'!$AE$24,0,1)),$AB$1:$AC$4,2,FALSE),"НЕТ ПРОДАЖ")</f>
        <v>НЕТ ПРОДАЖ</v>
      </c>
      <c r="AE15" s="18" t="str">
        <f>IFERROR(VLOOKUP(VALUE(IF(Z15&lt;1,1,0)&amp;IF(V15&lt;'Факт продаж'!$AE$24,0,1)),$AB$1:$AC$4,2,FALSE),"НЕТ ПРОДАЖ")</f>
        <v>НЕТ ПРОДАЖ</v>
      </c>
      <c r="AF15" s="74" t="str">
        <f>VLOOKUP(B15,'ABC расчет'!B:G,6,0)</f>
        <v>A</v>
      </c>
      <c r="AG15" s="74" t="str">
        <f>VLOOKUP(B15,'ABC расчет'!K:P,6,0)</f>
        <v>C</v>
      </c>
      <c r="AH15" s="74" t="str">
        <f>VLOOKUP(B15,'ABC расчет'!T:Y,6,0)</f>
        <v>C</v>
      </c>
      <c r="AI15" s="74" t="str">
        <f>VLOOKUP(B15,'ABC расчет'!AC:AH,6,0)</f>
        <v>C</v>
      </c>
      <c r="AJ15" s="74"/>
      <c r="AK15" s="74"/>
      <c r="AL15" s="19"/>
    </row>
    <row r="16" spans="1:39" x14ac:dyDescent="0.3">
      <c r="A16" s="51" t="s">
        <v>388</v>
      </c>
      <c r="B16" s="21" t="s">
        <v>299</v>
      </c>
      <c r="C16" s="20" t="str">
        <f>IFERROR(VLOOKUP(B16,'Факт продаж'!A:B,2,0),"нет продаж")</f>
        <v>нет продаж</v>
      </c>
      <c r="D16" s="47" t="str">
        <f>IFERROR(VLOOKUP(B16,'Факт продаж'!A:C,3,0),"нет продаж")</f>
        <v>нет продаж</v>
      </c>
      <c r="E16" s="47" t="str">
        <f>IFERROR(VLOOKUP(B16,'Факт продаж'!A:E,5,0),"нет продаж")</f>
        <v>нет продаж</v>
      </c>
      <c r="F16" s="25">
        <f>IFERROR(VLOOKUP(B16,'Факт продаж'!A:C,3,0)/SUM('План Антонова'!$C$11:$C$13),0)</f>
        <v>0</v>
      </c>
      <c r="G16" s="5">
        <f>IFERROR(VLOOKUP(B16,'Факт продаж'!J:K,2,0),"нет продаж")</f>
        <v>9</v>
      </c>
      <c r="H16" s="48">
        <f>IFERROR(VLOOKUP(B16,'Факт продаж'!J:L,3,0),"нет продаж")</f>
        <v>85401.95</v>
      </c>
      <c r="I16" s="48">
        <f>IFERROR(VLOOKUP(B16,'Факт продаж'!J:N,5,0),"нет продаж")</f>
        <v>42933.704748045049</v>
      </c>
      <c r="J16" s="7">
        <f>IFERROR(VLOOKUP(B16,'Факт продаж'!J:L,3,0)/SUM('План Антонова'!$C$14:$C$16),0)</f>
        <v>5.8968852818733544E-4</v>
      </c>
      <c r="K16" s="44">
        <f>IFERROR(VLOOKUP(B16,'Факт продаж'!J:O,6,0),"-")</f>
        <v>1</v>
      </c>
      <c r="L16" s="44">
        <f>IF(AND(F16=0,J16&gt;0),5,IF(J16/F16&gt;5,5,IF(J16/F16=0,0.0000001,J16/F16)))</f>
        <v>5</v>
      </c>
      <c r="M16" s="5" t="str">
        <f>IFERROR(VLOOKUP(B16,'Факт продаж'!S:T,2,0),"нет продаж")</f>
        <v>нет продаж</v>
      </c>
      <c r="N16" s="48" t="str">
        <f>IFERROR(VLOOKUP(B16,'Факт продаж'!S:U,3,0),"нет продаж")</f>
        <v>нет продаж</v>
      </c>
      <c r="O16" s="48" t="str">
        <f>IFERROR(VLOOKUP(B16,'Факт продаж'!S:W,5,0),"нет продаж")</f>
        <v>нет продаж</v>
      </c>
      <c r="P16" s="7">
        <f>IFERROR(VLOOKUP(B16,'Факт продаж'!S:U,3,0)/SUM('План Антонова'!$C$17:$C$19),0)</f>
        <v>0</v>
      </c>
      <c r="Q16" s="44" t="str">
        <f>IFERROR(VLOOKUP(B16,'Факт продаж'!S:X,6,0),"-")</f>
        <v>-</v>
      </c>
      <c r="R16" s="44">
        <f>IF(AND(J16=0,P16&gt;0),5,IF(P16/J16&gt;5,5,IF(P16/J16=0,0.0000001,P16/J16)))</f>
        <v>9.9999999999999995E-8</v>
      </c>
      <c r="S16" s="16" t="str">
        <f>IFERROR(VLOOKUP(B16,'Факт продаж'!AB:AD,2,0),"нет продаж")</f>
        <v>нет продаж</v>
      </c>
      <c r="T16" s="16" t="str">
        <f>IFERROR(VLOOKUP(B16,'Факт продаж'!AB:AD,3,0),"нет продаж")</f>
        <v>нет продаж</v>
      </c>
      <c r="U16" s="16" t="str">
        <f>IFERROR(VLOOKUP(B16,'Факт продаж'!AB:AF,5,0),"нет продаж")</f>
        <v>нет продаж</v>
      </c>
      <c r="V16" s="7">
        <f>IFERROR(VLOOKUP(B16,'Факт продаж'!AB:AD,3,0)/SUM('План Антонова'!$C$20:$C$22),0)</f>
        <v>0</v>
      </c>
      <c r="W16" s="44" t="str">
        <f>IFERROR(VLOOKUP(B16,'Факт продаж'!AB:AG,6,0),"-")</f>
        <v>-</v>
      </c>
      <c r="X16" s="44" t="e">
        <f>IF(AND(P16=0,V16&gt;0),5,IF(V16/P16&gt;5,5,IF(V16/P16=0,0.0000001,V16/P16)))</f>
        <v>#DIV/0!</v>
      </c>
      <c r="Y16" s="44" t="str">
        <f>IFERROR(VLOOKUP(B16,'Факт продаж'!AB:AH,7,0),"-")</f>
        <v>-</v>
      </c>
      <c r="Z16" s="44" t="e">
        <f>IF(AND(F16=0,V16&gt;0),5,IF(V16/F16&gt;5,5,IF(V16/F16=0,0.0000001,V16/F16)))</f>
        <v>#DIV/0!</v>
      </c>
      <c r="AB16" s="10" t="str">
        <f>IFERROR(VLOOKUP(VALUE(IF(L16&lt;1,1,0)&amp;IF(J16&lt;'Факт продаж'!$M$24,0,1)),$AB$1:$AC$4,2,FALSE),"НЕТ ПРОДАЖ")</f>
        <v>Темная лошадка</v>
      </c>
      <c r="AC16" s="10" t="str">
        <f>IFERROR(VLOOKUP(VALUE(IF(R16&lt;1,1,0)&amp;IF(P16&lt;'Факт продаж'!$V$24,0,1)),$AB$1:$AC$4,2,FALSE),"НЕТ ПРОДАЖ")</f>
        <v>Собака</v>
      </c>
      <c r="AD16" s="10" t="str">
        <f>IFERROR(VLOOKUP(VALUE(IF(X16&lt;1,1,0)&amp;IF(V16&lt;'Факт продаж'!$AE$24,0,1)),$AB$1:$AC$4,2,FALSE),"НЕТ ПРОДАЖ")</f>
        <v>НЕТ ПРОДАЖ</v>
      </c>
      <c r="AE16" s="18" t="str">
        <f>IFERROR(VLOOKUP(VALUE(IF(Z16&lt;1,1,0)&amp;IF(V16&lt;'Факт продаж'!$AE$24,0,1)),$AB$1:$AC$4,2,FALSE),"НЕТ ПРОДАЖ")</f>
        <v>НЕТ ПРОДАЖ</v>
      </c>
      <c r="AF16" s="74" t="str">
        <f>VLOOKUP(B16,'ABC расчет'!B:G,6,0)</f>
        <v>C</v>
      </c>
      <c r="AG16" s="74" t="str">
        <f>VLOOKUP(B16,'ABC расчет'!K:P,6,0)</f>
        <v>C</v>
      </c>
      <c r="AH16" s="74" t="str">
        <f>VLOOKUP(B16,'ABC расчет'!T:Y,6,0)</f>
        <v>C</v>
      </c>
      <c r="AI16" s="74" t="str">
        <f>VLOOKUP(B16,'ABC расчет'!AC:AH,6,0)</f>
        <v>C</v>
      </c>
      <c r="AJ16" s="74"/>
      <c r="AK16" s="74"/>
      <c r="AL16" s="19"/>
    </row>
    <row r="17" spans="1:39" x14ac:dyDescent="0.3">
      <c r="A17" s="51" t="s">
        <v>388</v>
      </c>
      <c r="B17" s="21" t="s">
        <v>301</v>
      </c>
      <c r="C17" s="20" t="str">
        <f>IFERROR(VLOOKUP(B17,'Факт продаж'!A:B,2,0),"нет продаж")</f>
        <v>нет продаж</v>
      </c>
      <c r="D17" s="47" t="str">
        <f>IFERROR(VLOOKUP(B17,'Факт продаж'!A:C,3,0),"нет продаж")</f>
        <v>нет продаж</v>
      </c>
      <c r="E17" s="47" t="str">
        <f>IFERROR(VLOOKUP(B17,'Факт продаж'!A:E,5,0),"нет продаж")</f>
        <v>нет продаж</v>
      </c>
      <c r="F17" s="25">
        <f>IFERROR(VLOOKUP(B17,'Факт продаж'!A:C,3,0)/SUM('План Антонова'!$C$11:$C$13),0)</f>
        <v>0</v>
      </c>
      <c r="G17" s="5" t="str">
        <f>IFERROR(VLOOKUP(B17,'Факт продаж'!J:K,2,0),"нет продаж")</f>
        <v>нет продаж</v>
      </c>
      <c r="H17" s="48" t="str">
        <f>IFERROR(VLOOKUP(B17,'Факт продаж'!J:L,3,0),"нет продаж")</f>
        <v>нет продаж</v>
      </c>
      <c r="I17" s="48" t="str">
        <f>IFERROR(VLOOKUP(B17,'Факт продаж'!J:N,5,0),"нет продаж")</f>
        <v>нет продаж</v>
      </c>
      <c r="J17" s="7">
        <f>IFERROR(VLOOKUP(B17,'Факт продаж'!J:L,3,0)/SUM('План Антонова'!$C$14:$C$16),0)</f>
        <v>0</v>
      </c>
      <c r="K17" s="44" t="str">
        <f>IFERROR(VLOOKUP(B17,'Факт продаж'!J:O,6,0),"-")</f>
        <v>-</v>
      </c>
      <c r="L17" s="44" t="e">
        <f>IF(AND(F17=0,J17&gt;0),5,IF(J17/F17&gt;5,5,IF(J17/F17=0,0.0000001,J17/F17)))</f>
        <v>#DIV/0!</v>
      </c>
      <c r="M17" s="5" t="str">
        <f>IFERROR(VLOOKUP(B17,'Факт продаж'!S:T,2,0),"нет продаж")</f>
        <v>нет продаж</v>
      </c>
      <c r="N17" s="48" t="str">
        <f>IFERROR(VLOOKUP(B17,'Факт продаж'!S:U,3,0),"нет продаж")</f>
        <v>нет продаж</v>
      </c>
      <c r="O17" s="48" t="str">
        <f>IFERROR(VLOOKUP(B17,'Факт продаж'!S:W,5,0),"нет продаж")</f>
        <v>нет продаж</v>
      </c>
      <c r="P17" s="7">
        <f>IFERROR(VLOOKUP(B17,'Факт продаж'!S:U,3,0)/SUM('План Антонова'!$C$17:$C$19),0)</f>
        <v>0</v>
      </c>
      <c r="Q17" s="44" t="str">
        <f>IFERROR(VLOOKUP(B17,'Факт продаж'!S:X,6,0),"-")</f>
        <v>-</v>
      </c>
      <c r="R17" s="44" t="e">
        <f>IF(AND(J17=0,P17&gt;0),5,IF(P17/J17&gt;5,5,IF(P17/J17=0,0.0000001,P17/J17)))</f>
        <v>#DIV/0!</v>
      </c>
      <c r="S17" s="16" t="str">
        <f>IFERROR(VLOOKUP(B17,'Факт продаж'!AB:AD,2,0),"нет продаж")</f>
        <v>нет продаж</v>
      </c>
      <c r="T17" s="16" t="str">
        <f>IFERROR(VLOOKUP(B17,'Факт продаж'!AB:AD,3,0),"нет продаж")</f>
        <v>нет продаж</v>
      </c>
      <c r="U17" s="16" t="str">
        <f>IFERROR(VLOOKUP(B17,'Факт продаж'!AB:AF,5,0),"нет продаж")</f>
        <v>нет продаж</v>
      </c>
      <c r="V17" s="7">
        <f>IFERROR(VLOOKUP(B17,'Факт продаж'!AB:AD,3,0)/SUM('План Антонова'!$C$20:$C$22),0)</f>
        <v>0</v>
      </c>
      <c r="W17" s="44" t="str">
        <f>IFERROR(VLOOKUP(B17,'Факт продаж'!AB:AG,6,0),"-")</f>
        <v>-</v>
      </c>
      <c r="X17" s="44" t="e">
        <f>IF(AND(P17=0,V17&gt;0),5,IF(V17/P17&gt;5,5,IF(V17/P17=0,0.0000001,V17/P17)))</f>
        <v>#DIV/0!</v>
      </c>
      <c r="Y17" s="44" t="str">
        <f>IFERROR(VLOOKUP(B17,'Факт продаж'!AB:AH,7,0),"-")</f>
        <v>-</v>
      </c>
      <c r="Z17" s="44" t="e">
        <f>IF(AND(F17=0,V17&gt;0),5,IF(V17/F17&gt;5,5,IF(V17/F17=0,0.0000001,V17/F17)))</f>
        <v>#DIV/0!</v>
      </c>
      <c r="AB17" s="10" t="str">
        <f>IFERROR(VLOOKUP(VALUE(IF(L17&lt;1,1,0)&amp;IF(J17&lt;'Факт продаж'!$M$24,0,1)),$AB$1:$AC$4,2,FALSE),"НЕТ ПРОДАЖ")</f>
        <v>НЕТ ПРОДАЖ</v>
      </c>
      <c r="AC17" s="10" t="str">
        <f>IFERROR(VLOOKUP(VALUE(IF(R17&lt;1,1,0)&amp;IF(P17&lt;'Факт продаж'!$V$24,0,1)),$AB$1:$AC$4,2,FALSE),"НЕТ ПРОДАЖ")</f>
        <v>НЕТ ПРОДАЖ</v>
      </c>
      <c r="AD17" s="10" t="str">
        <f>IFERROR(VLOOKUP(VALUE(IF(X17&lt;1,1,0)&amp;IF(V17&lt;'Факт продаж'!$AE$24,0,1)),$AB$1:$AC$4,2,FALSE),"НЕТ ПРОДАЖ")</f>
        <v>НЕТ ПРОДАЖ</v>
      </c>
      <c r="AE17" s="18" t="str">
        <f>IFERROR(VLOOKUP(VALUE(IF(Z17&lt;1,1,0)&amp;IF(V17&lt;'Факт продаж'!$AE$24,0,1)),$AB$1:$AC$4,2,FALSE),"НЕТ ПРОДАЖ")</f>
        <v>НЕТ ПРОДАЖ</v>
      </c>
      <c r="AF17" s="74" t="str">
        <f>VLOOKUP(B17,'ABC расчет'!B:G,6,0)</f>
        <v>C</v>
      </c>
      <c r="AG17" s="74" t="str">
        <f>VLOOKUP(B17,'ABC расчет'!K:P,6,0)</f>
        <v>C</v>
      </c>
      <c r="AH17" s="74" t="str">
        <f>VLOOKUP(B17,'ABC расчет'!T:Y,6,0)</f>
        <v>C</v>
      </c>
      <c r="AI17" s="74" t="str">
        <f>VLOOKUP(B17,'ABC расчет'!AC:AH,6,0)</f>
        <v>C</v>
      </c>
      <c r="AJ17" s="74"/>
      <c r="AK17" s="74"/>
      <c r="AL17" s="19"/>
    </row>
    <row r="18" spans="1:39" x14ac:dyDescent="0.3">
      <c r="A18" s="51" t="s">
        <v>254</v>
      </c>
      <c r="B18" s="21" t="s">
        <v>214</v>
      </c>
      <c r="C18" s="20" t="str">
        <f>IFERROR(VLOOKUP(B18,'Факт продаж'!A:B,2,0),"нет продаж")</f>
        <v>нет продаж</v>
      </c>
      <c r="D18" s="47" t="str">
        <f>IFERROR(VLOOKUP(B18,'Факт продаж'!A:C,3,0),"нет продаж")</f>
        <v>нет продаж</v>
      </c>
      <c r="E18" s="47" t="str">
        <f>IFERROR(VLOOKUP(B18,'Факт продаж'!A:E,5,0),"нет продаж")</f>
        <v>нет продаж</v>
      </c>
      <c r="F18" s="25">
        <f>IFERROR(VLOOKUP(B18,'Факт продаж'!A:C,3,0)/SUM('План Антонова'!$C$11:$C$13),0)</f>
        <v>0</v>
      </c>
      <c r="G18" s="5">
        <f>IFERROR(VLOOKUP(B18,'Факт продаж'!J:K,2,0),"нет продаж")</f>
        <v>18</v>
      </c>
      <c r="H18" s="48">
        <f>IFERROR(VLOOKUP(B18,'Факт продаж'!J:L,3,0),"нет продаж")</f>
        <v>37980</v>
      </c>
      <c r="I18" s="48">
        <f>IFERROR(VLOOKUP(B18,'Факт продаж'!J:N,5,0),"нет продаж")</f>
        <v>14200.867464719307</v>
      </c>
      <c r="J18" s="7">
        <f>IFERROR(VLOOKUP(B18,'Факт продаж'!J:L,3,0)/SUM('План Антонова'!$C$14:$C$16),0)</f>
        <v>2.6224659156559073E-4</v>
      </c>
      <c r="K18" s="44">
        <f>IFERROR(VLOOKUP(B18,'Факт продаж'!J:O,6,0),"-")</f>
        <v>1</v>
      </c>
      <c r="L18" s="44">
        <f>IF(AND(F18=0,J18&gt;0),5,IF(J18/F18&gt;5,5,IF(J18/F18=0,0.0000001,J18/F18)))</f>
        <v>5</v>
      </c>
      <c r="M18" s="5" t="str">
        <f>IFERROR(VLOOKUP(B18,'Факт продаж'!S:T,2,0),"нет продаж")</f>
        <v>нет продаж</v>
      </c>
      <c r="N18" s="48" t="str">
        <f>IFERROR(VLOOKUP(B18,'Факт продаж'!S:U,3,0),"нет продаж")</f>
        <v>нет продаж</v>
      </c>
      <c r="O18" s="48" t="str">
        <f>IFERROR(VLOOKUP(B18,'Факт продаж'!S:W,5,0),"нет продаж")</f>
        <v>нет продаж</v>
      </c>
      <c r="P18" s="7">
        <f>IFERROR(VLOOKUP(B18,'Факт продаж'!S:U,3,0)/SUM('План Антонова'!$C$17:$C$19),0)</f>
        <v>0</v>
      </c>
      <c r="Q18" s="44" t="str">
        <f>IFERROR(VLOOKUP(B18,'Факт продаж'!S:X,6,0),"-")</f>
        <v>-</v>
      </c>
      <c r="R18" s="44">
        <f>IF(AND(J18=0,P18&gt;0),5,IF(P18/J18&gt;5,5,IF(P18/J18=0,0.0000001,P18/J18)))</f>
        <v>9.9999999999999995E-8</v>
      </c>
      <c r="S18" s="16" t="str">
        <f>IFERROR(VLOOKUP(B18,'Факт продаж'!AB:AD,2,0),"нет продаж")</f>
        <v>нет продаж</v>
      </c>
      <c r="T18" s="16" t="str">
        <f>IFERROR(VLOOKUP(B18,'Факт продаж'!AB:AD,3,0),"нет продаж")</f>
        <v>нет продаж</v>
      </c>
      <c r="U18" s="16" t="str">
        <f>IFERROR(VLOOKUP(B18,'Факт продаж'!AB:AF,5,0),"нет продаж")</f>
        <v>нет продаж</v>
      </c>
      <c r="V18" s="7">
        <f>IFERROR(VLOOKUP(B18,'Факт продаж'!AB:AD,3,0)/SUM('План Антонова'!$C$20:$C$22),0)</f>
        <v>0</v>
      </c>
      <c r="W18" s="44" t="str">
        <f>IFERROR(VLOOKUP(B18,'Факт продаж'!AB:AG,6,0),"-")</f>
        <v>-</v>
      </c>
      <c r="X18" s="44" t="e">
        <f>IF(AND(P18=0,V18&gt;0),5,IF(V18/P18&gt;5,5,IF(V18/P18=0,0.0000001,V18/P18)))</f>
        <v>#DIV/0!</v>
      </c>
      <c r="Y18" s="44" t="str">
        <f>IFERROR(VLOOKUP(B18,'Факт продаж'!AB:AH,7,0),"-")</f>
        <v>-</v>
      </c>
      <c r="Z18" s="44" t="e">
        <f>IF(AND(F18=0,V18&gt;0),5,IF(V18/F18&gt;5,5,IF(V18/F18=0,0.0000001,V18/F18)))</f>
        <v>#DIV/0!</v>
      </c>
      <c r="AB18" s="10" t="str">
        <f>IFERROR(VLOOKUP(VALUE(IF(L18&lt;1,1,0)&amp;IF(J18&lt;'Факт продаж'!$M$24,0,1)),$AB$1:$AC$4,2,FALSE),"НЕТ ПРОДАЖ")</f>
        <v>Темная лошадка</v>
      </c>
      <c r="AC18" s="10" t="str">
        <f>IFERROR(VLOOKUP(VALUE(IF(R18&lt;1,1,0)&amp;IF(P18&lt;'Факт продаж'!$V$24,0,1)),$AB$1:$AC$4,2,FALSE),"НЕТ ПРОДАЖ")</f>
        <v>Собака</v>
      </c>
      <c r="AD18" s="10" t="str">
        <f>IFERROR(VLOOKUP(VALUE(IF(X18&lt;1,1,0)&amp;IF(V18&lt;'Факт продаж'!$AE$24,0,1)),$AB$1:$AC$4,2,FALSE),"НЕТ ПРОДАЖ")</f>
        <v>НЕТ ПРОДАЖ</v>
      </c>
      <c r="AE18" s="18" t="str">
        <f>IFERROR(VLOOKUP(VALUE(IF(Z18&lt;1,1,0)&amp;IF(V18&lt;'Факт продаж'!$AE$24,0,1)),$AB$1:$AC$4,2,FALSE),"НЕТ ПРОДАЖ")</f>
        <v>НЕТ ПРОДАЖ</v>
      </c>
      <c r="AF18" s="74" t="str">
        <f>VLOOKUP(B18,'ABC расчет'!B:G,6,0)</f>
        <v>C</v>
      </c>
      <c r="AG18" s="74" t="str">
        <f>VLOOKUP(B18,'ABC расчет'!K:P,6,0)</f>
        <v>B</v>
      </c>
      <c r="AH18" s="74" t="str">
        <f>VLOOKUP(B18,'ABC расчет'!T:Y,6,0)</f>
        <v>C</v>
      </c>
      <c r="AI18" s="74" t="str">
        <f>VLOOKUP(B18,'ABC расчет'!AC:AH,6,0)</f>
        <v>C</v>
      </c>
      <c r="AJ18" s="74"/>
      <c r="AK18" s="74"/>
      <c r="AL18" s="19"/>
    </row>
    <row r="19" spans="1:39" x14ac:dyDescent="0.3">
      <c r="A19" s="51" t="s">
        <v>254</v>
      </c>
      <c r="B19" s="21" t="s">
        <v>218</v>
      </c>
      <c r="C19" s="20" t="str">
        <f>IFERROR(VLOOKUP(B19,'Факт продаж'!A:B,2,0),"нет продаж")</f>
        <v>нет продаж</v>
      </c>
      <c r="D19" s="47" t="str">
        <f>IFERROR(VLOOKUP(B19,'Факт продаж'!A:C,3,0),"нет продаж")</f>
        <v>нет продаж</v>
      </c>
      <c r="E19" s="47" t="str">
        <f>IFERROR(VLOOKUP(B19,'Факт продаж'!A:E,5,0),"нет продаж")</f>
        <v>нет продаж</v>
      </c>
      <c r="F19" s="25">
        <f>IFERROR(VLOOKUP(B19,'Факт продаж'!A:C,3,0)/SUM('План Антонова'!$C$11:$C$13),0)</f>
        <v>0</v>
      </c>
      <c r="G19" s="5" t="str">
        <f>IFERROR(VLOOKUP(B19,'Факт продаж'!J:K,2,0),"нет продаж")</f>
        <v>нет продаж</v>
      </c>
      <c r="H19" s="48" t="str">
        <f>IFERROR(VLOOKUP(B19,'Факт продаж'!J:L,3,0),"нет продаж")</f>
        <v>нет продаж</v>
      </c>
      <c r="I19" s="48" t="str">
        <f>IFERROR(VLOOKUP(B19,'Факт продаж'!J:N,5,0),"нет продаж")</f>
        <v>нет продаж</v>
      </c>
      <c r="J19" s="7">
        <f>IFERROR(VLOOKUP(B19,'Факт продаж'!J:L,3,0)/SUM('План Антонова'!$C$14:$C$16),0)</f>
        <v>0</v>
      </c>
      <c r="K19" s="44" t="str">
        <f>IFERROR(VLOOKUP(B19,'Факт продаж'!J:O,6,0),"-")</f>
        <v>-</v>
      </c>
      <c r="L19" s="44" t="e">
        <f>IF(AND(F19=0,J19&gt;0),5,IF(J19/F19&gt;5,5,IF(J19/F19=0,0.0000001,J19/F19)))</f>
        <v>#DIV/0!</v>
      </c>
      <c r="M19" s="5">
        <f>IFERROR(VLOOKUP(B19,'Факт продаж'!S:T,2,0),"нет продаж")</f>
        <v>20</v>
      </c>
      <c r="N19" s="48">
        <f>IFERROR(VLOOKUP(B19,'Факт продаж'!S:U,3,0),"нет продаж")</f>
        <v>29516</v>
      </c>
      <c r="O19" s="48">
        <f>IFERROR(VLOOKUP(B19,'Факт продаж'!S:W,5,0),"нет продаж")</f>
        <v>12249.326337714931</v>
      </c>
      <c r="P19" s="7">
        <f>IFERROR(VLOOKUP(B19,'Факт продаж'!S:U,3,0)/SUM('План Антонова'!$C$17:$C$19),0)</f>
        <v>1.7978344264608237E-4</v>
      </c>
      <c r="Q19" s="44">
        <f>IFERROR(VLOOKUP(B19,'Факт продаж'!S:X,6,0),"-")</f>
        <v>1</v>
      </c>
      <c r="R19" s="44">
        <f>IF(AND(J19=0,P19&gt;0),5,IF(P19/J19&gt;5,5,IF(P19/J19=0,0.0000001,P19/J19)))</f>
        <v>5</v>
      </c>
      <c r="S19" s="16" t="str">
        <f>IFERROR(VLOOKUP(B19,'Факт продаж'!AB:AD,2,0),"нет продаж")</f>
        <v>нет продаж</v>
      </c>
      <c r="T19" s="16" t="str">
        <f>IFERROR(VLOOKUP(B19,'Факт продаж'!AB:AD,3,0),"нет продаж")</f>
        <v>нет продаж</v>
      </c>
      <c r="U19" s="16" t="str">
        <f>IFERROR(VLOOKUP(B19,'Факт продаж'!AB:AF,5,0),"нет продаж")</f>
        <v>нет продаж</v>
      </c>
      <c r="V19" s="7">
        <f>IFERROR(VLOOKUP(B19,'Факт продаж'!AB:AD,3,0)/SUM('План Антонова'!$C$20:$C$22),0)</f>
        <v>0</v>
      </c>
      <c r="W19" s="44" t="str">
        <f>IFERROR(VLOOKUP(B19,'Факт продаж'!AB:AG,6,0),"-")</f>
        <v>-</v>
      </c>
      <c r="X19" s="44">
        <f>IF(AND(P19=0,V19&gt;0),5,IF(V19/P19&gt;5,5,IF(V19/P19=0,0.0000001,V19/P19)))</f>
        <v>9.9999999999999995E-8</v>
      </c>
      <c r="Y19" s="44" t="str">
        <f>IFERROR(VLOOKUP(B19,'Факт продаж'!AB:AH,7,0),"-")</f>
        <v>-</v>
      </c>
      <c r="Z19" s="44" t="e">
        <f>IF(AND(F19=0,V19&gt;0),5,IF(V19/F19&gt;5,5,IF(V19/F19=0,0.0000001,V19/F19)))</f>
        <v>#DIV/0!</v>
      </c>
      <c r="AB19" s="10" t="str">
        <f>IFERROR(VLOOKUP(VALUE(IF(L19&lt;1,1,0)&amp;IF(J19&lt;'Факт продаж'!$M$24,0,1)),$AB$1:$AC$4,2,FALSE),"НЕТ ПРОДАЖ")</f>
        <v>НЕТ ПРОДАЖ</v>
      </c>
      <c r="AC19" s="10" t="str">
        <f>IFERROR(VLOOKUP(VALUE(IF(R19&lt;1,1,0)&amp;IF(P19&lt;'Факт продаж'!$V$24,0,1)),$AB$1:$AC$4,2,FALSE),"НЕТ ПРОДАЖ")</f>
        <v>Темная лошадка</v>
      </c>
      <c r="AD19" s="10" t="str">
        <f>IFERROR(VLOOKUP(VALUE(IF(X19&lt;1,1,0)&amp;IF(V19&lt;'Факт продаж'!$AE$24,0,1)),$AB$1:$AC$4,2,FALSE),"НЕТ ПРОДАЖ")</f>
        <v>Собака</v>
      </c>
      <c r="AE19" s="18" t="str">
        <f>IFERROR(VLOOKUP(VALUE(IF(Z19&lt;1,1,0)&amp;IF(V19&lt;'Факт продаж'!$AE$24,0,1)),$AB$1:$AC$4,2,FALSE),"НЕТ ПРОДАЖ")</f>
        <v>НЕТ ПРОДАЖ</v>
      </c>
      <c r="AF19" s="74" t="str">
        <f>VLOOKUP(B19,'ABC расчет'!B:G,6,0)</f>
        <v>C</v>
      </c>
      <c r="AG19" s="74" t="str">
        <f>VLOOKUP(B19,'ABC расчет'!K:P,6,0)</f>
        <v>C</v>
      </c>
      <c r="AH19" s="74" t="str">
        <f>VLOOKUP(B19,'ABC расчет'!T:Y,6,0)</f>
        <v>C</v>
      </c>
      <c r="AI19" s="74" t="str">
        <f>VLOOKUP(B19,'ABC расчет'!AC:AH,6,0)</f>
        <v>C</v>
      </c>
      <c r="AJ19" s="74"/>
      <c r="AK19" s="74"/>
      <c r="AL19" s="19"/>
    </row>
    <row r="20" spans="1:39" x14ac:dyDescent="0.3">
      <c r="A20" s="51" t="s">
        <v>254</v>
      </c>
      <c r="B20" s="21" t="s">
        <v>235</v>
      </c>
      <c r="C20" s="20">
        <f>IFERROR(VLOOKUP(B20,'Факт продаж'!A:B,2,0),"нет продаж")</f>
        <v>92</v>
      </c>
      <c r="D20" s="47">
        <f>IFERROR(VLOOKUP(B20,'Факт продаж'!A:C,3,0),"нет продаж")</f>
        <v>140746.1575</v>
      </c>
      <c r="E20" s="47">
        <f>IFERROR(VLOOKUP(B20,'Факт продаж'!A:E,5,0),"нет продаж")</f>
        <v>47721.353148714974</v>
      </c>
      <c r="F20" s="25">
        <f>IFERROR(VLOOKUP(B20,'Факт продаж'!A:C,3,0)/SUM('План Антонова'!$C$11:$C$13),0)</f>
        <v>1.0687004829101686E-3</v>
      </c>
      <c r="G20" s="5">
        <f>IFERROR(VLOOKUP(B20,'Факт продаж'!J:K,2,0),"нет продаж")</f>
        <v>10</v>
      </c>
      <c r="H20" s="48">
        <f>IFERROR(VLOOKUP(B20,'Факт продаж'!J:L,3,0),"нет продаж")</f>
        <v>21936</v>
      </c>
      <c r="I20" s="48">
        <f>IFERROR(VLOOKUP(B20,'Факт продаж'!J:N,5,0),"нет продаж")</f>
        <v>10788.577476646889</v>
      </c>
      <c r="J20" s="7">
        <f>IFERROR(VLOOKUP(B20,'Факт продаж'!J:L,3,0)/SUM('План Антонова'!$C$14:$C$16),0)</f>
        <v>1.5146501402271717E-4</v>
      </c>
      <c r="K20" s="44">
        <f>IFERROR(VLOOKUP(B20,'Факт продаж'!J:O,6,0),"-")</f>
        <v>-0.77392557493023639</v>
      </c>
      <c r="L20" s="44">
        <f>IF(AND(F20=0,J20&gt;0),5,IF(J20/F20&gt;5,5,IF(J20/F20=0,0.0000001,J20/F20)))</f>
        <v>0.14172821706813885</v>
      </c>
      <c r="M20" s="5">
        <f>IFERROR(VLOOKUP(B20,'Факт продаж'!S:T,2,0),"нет продаж")</f>
        <v>334</v>
      </c>
      <c r="N20" s="48">
        <f>IFERROR(VLOOKUP(B20,'Факт продаж'!S:U,3,0),"нет продаж")</f>
        <v>778664.4</v>
      </c>
      <c r="O20" s="48">
        <f>IFERROR(VLOOKUP(B20,'Факт продаж'!S:W,5,0),"нет продаж")</f>
        <v>363391.75360361621</v>
      </c>
      <c r="P20" s="7">
        <f>IFERROR(VLOOKUP(B20,'Факт продаж'!S:U,3,0)/SUM('План Антонова'!$C$17:$C$19),0)</f>
        <v>4.7428840797515293E-3</v>
      </c>
      <c r="Q20" s="44">
        <f>IFERROR(VLOOKUP(B20,'Факт продаж'!S:X,6,0),"-")</f>
        <v>32.683009126107613</v>
      </c>
      <c r="R20" s="44">
        <f>IF(AND(J20=0,P20&gt;0),5,IF(P20/J20&gt;5,5,IF(P20/J20=0,0.0000001,P20/J20)))</f>
        <v>5</v>
      </c>
      <c r="S20" s="16" t="str">
        <f>IFERROR(VLOOKUP(B20,'Факт продаж'!AB:AD,2,0),"нет продаж")</f>
        <v>нет продаж</v>
      </c>
      <c r="T20" s="16" t="str">
        <f>IFERROR(VLOOKUP(B20,'Факт продаж'!AB:AD,3,0),"нет продаж")</f>
        <v>нет продаж</v>
      </c>
      <c r="U20" s="16" t="str">
        <f>IFERROR(VLOOKUP(B20,'Факт продаж'!AB:AF,5,0),"нет продаж")</f>
        <v>нет продаж</v>
      </c>
      <c r="V20" s="7">
        <f>IFERROR(VLOOKUP(B20,'Факт продаж'!AB:AD,3,0)/SUM('План Антонова'!$C$20:$C$22),0)</f>
        <v>0</v>
      </c>
      <c r="W20" s="44" t="str">
        <f>IFERROR(VLOOKUP(B20,'Факт продаж'!AB:AG,6,0),"-")</f>
        <v>-</v>
      </c>
      <c r="X20" s="44">
        <f>IF(AND(P20=0,V20&gt;0),5,IF(V20/P20&gt;5,5,IF(V20/P20=0,0.0000001,V20/P20)))</f>
        <v>9.9999999999999995E-8</v>
      </c>
      <c r="Y20" s="44" t="str">
        <f>IFERROR(VLOOKUP(B20,'Факт продаж'!AB:AH,7,0),"-")</f>
        <v>-</v>
      </c>
      <c r="Z20" s="44">
        <f>IF(AND(F20=0,V20&gt;0),5,IF(V20/F20&gt;5,5,IF(V20/F20=0,0.0000001,V20/F20)))</f>
        <v>9.9999999999999995E-8</v>
      </c>
      <c r="AB20" s="10" t="str">
        <f>IFERROR(VLOOKUP(VALUE(IF(L20&lt;1,1,0)&amp;IF(J20&lt;'Факт продаж'!$M$24,0,1)),$AB$1:$AC$4,2,FALSE),"НЕТ ПРОДАЖ")</f>
        <v>Собака</v>
      </c>
      <c r="AC20" s="10" t="str">
        <f>IFERROR(VLOOKUP(VALUE(IF(R20&lt;1,1,0)&amp;IF(P20&lt;'Факт продаж'!$V$24,0,1)),$AB$1:$AC$4,2,FALSE),"НЕТ ПРОДАЖ")</f>
        <v>Звезда</v>
      </c>
      <c r="AD20" s="10" t="str">
        <f>IFERROR(VLOOKUP(VALUE(IF(X20&lt;1,1,0)&amp;IF(V20&lt;'Факт продаж'!$AE$24,0,1)),$AB$1:$AC$4,2,FALSE),"НЕТ ПРОДАЖ")</f>
        <v>Собака</v>
      </c>
      <c r="AE20" s="18" t="str">
        <f>IFERROR(VLOOKUP(VALUE(IF(Z20&lt;1,1,0)&amp;IF(V20&lt;'Факт продаж'!$AE$24,0,1)),$AB$1:$AC$4,2,FALSE),"НЕТ ПРОДАЖ")</f>
        <v>Собака</v>
      </c>
      <c r="AF20" s="74" t="str">
        <f>VLOOKUP(B20,'ABC расчет'!B:G,6,0)</f>
        <v>A</v>
      </c>
      <c r="AG20" s="74" t="str">
        <f>VLOOKUP(B20,'ABC расчет'!K:P,6,0)</f>
        <v>C</v>
      </c>
      <c r="AH20" s="74" t="str">
        <f>VLOOKUP(B20,'ABC расчет'!T:Y,6,0)</f>
        <v>A</v>
      </c>
      <c r="AI20" s="74" t="str">
        <f>VLOOKUP(B20,'ABC расчет'!AC:AH,6,0)</f>
        <v>C</v>
      </c>
      <c r="AJ20" s="74"/>
      <c r="AK20" s="74"/>
      <c r="AL20" s="19"/>
    </row>
    <row r="21" spans="1:39" x14ac:dyDescent="0.3">
      <c r="A21" s="51" t="s">
        <v>254</v>
      </c>
      <c r="B21" s="21" t="s">
        <v>270</v>
      </c>
      <c r="C21" s="20" t="str">
        <f>IFERROR(VLOOKUP(B21,'Факт продаж'!A:B,2,0),"нет продаж")</f>
        <v>нет продаж</v>
      </c>
      <c r="D21" s="47" t="str">
        <f>IFERROR(VLOOKUP(B21,'Факт продаж'!A:C,3,0),"нет продаж")</f>
        <v>нет продаж</v>
      </c>
      <c r="E21" s="47" t="str">
        <f>IFERROR(VLOOKUP(B21,'Факт продаж'!A:E,5,0),"нет продаж")</f>
        <v>нет продаж</v>
      </c>
      <c r="F21" s="25">
        <f>IFERROR(VLOOKUP(B21,'Факт продаж'!A:C,3,0)/SUM('План Антонова'!$C$11:$C$13),0)</f>
        <v>0</v>
      </c>
      <c r="G21" s="5" t="str">
        <f>IFERROR(VLOOKUP(B21,'Факт продаж'!J:K,2,0),"нет продаж")</f>
        <v>нет продаж</v>
      </c>
      <c r="H21" s="48" t="str">
        <f>IFERROR(VLOOKUP(B21,'Факт продаж'!J:L,3,0),"нет продаж")</f>
        <v>нет продаж</v>
      </c>
      <c r="I21" s="48" t="str">
        <f>IFERROR(VLOOKUP(B21,'Факт продаж'!J:N,5,0),"нет продаж")</f>
        <v>нет продаж</v>
      </c>
      <c r="J21" s="7">
        <f>IFERROR(VLOOKUP(B21,'Факт продаж'!J:L,3,0)/SUM('План Антонова'!$C$14:$C$16),0)</f>
        <v>0</v>
      </c>
      <c r="K21" s="44" t="str">
        <f>IFERROR(VLOOKUP(B21,'Факт продаж'!J:O,6,0),"-")</f>
        <v>-</v>
      </c>
      <c r="L21" s="44" t="e">
        <f>IF(AND(F21=0,J21&gt;0),5,IF(J21/F21&gt;5,5,IF(J21/F21=0,0.0000001,J21/F21)))</f>
        <v>#DIV/0!</v>
      </c>
      <c r="M21" s="5" t="str">
        <f>IFERROR(VLOOKUP(B21,'Факт продаж'!S:T,2,0),"нет продаж")</f>
        <v>нет продаж</v>
      </c>
      <c r="N21" s="48" t="str">
        <f>IFERROR(VLOOKUP(B21,'Факт продаж'!S:U,3,0),"нет продаж")</f>
        <v>нет продаж</v>
      </c>
      <c r="O21" s="48" t="str">
        <f>IFERROR(VLOOKUP(B21,'Факт продаж'!S:W,5,0),"нет продаж")</f>
        <v>нет продаж</v>
      </c>
      <c r="P21" s="7">
        <f>IFERROR(VLOOKUP(B21,'Факт продаж'!S:U,3,0)/SUM('План Антонова'!$C$17:$C$19),0)</f>
        <v>0</v>
      </c>
      <c r="Q21" s="44" t="str">
        <f>IFERROR(VLOOKUP(B21,'Факт продаж'!S:X,6,0),"-")</f>
        <v>-</v>
      </c>
      <c r="R21" s="44" t="e">
        <f>IF(AND(J21=0,P21&gt;0),5,IF(P21/J21&gt;5,5,IF(P21/J21=0,0.0000001,P21/J21)))</f>
        <v>#DIV/0!</v>
      </c>
      <c r="S21" s="16" t="str">
        <f>IFERROR(VLOOKUP(B21,'Факт продаж'!AB:AD,2,0),"нет продаж")</f>
        <v>нет продаж</v>
      </c>
      <c r="T21" s="16" t="str">
        <f>IFERROR(VLOOKUP(B21,'Факт продаж'!AB:AD,3,0),"нет продаж")</f>
        <v>нет продаж</v>
      </c>
      <c r="U21" s="16" t="str">
        <f>IFERROR(VLOOKUP(B21,'Факт продаж'!AB:AF,5,0),"нет продаж")</f>
        <v>нет продаж</v>
      </c>
      <c r="V21" s="7">
        <f>IFERROR(VLOOKUP(B21,'Факт продаж'!AB:AD,3,0)/SUM('План Антонова'!$C$20:$C$22),0)</f>
        <v>0</v>
      </c>
      <c r="W21" s="44" t="str">
        <f>IFERROR(VLOOKUP(B21,'Факт продаж'!AB:AG,6,0),"-")</f>
        <v>-</v>
      </c>
      <c r="X21" s="44" t="e">
        <f>IF(AND(P21=0,V21&gt;0),5,IF(V21/P21&gt;5,5,IF(V21/P21=0,0.0000001,V21/P21)))</f>
        <v>#DIV/0!</v>
      </c>
      <c r="Y21" s="44" t="str">
        <f>IFERROR(VLOOKUP(B21,'Факт продаж'!AB:AH,7,0),"-")</f>
        <v>-</v>
      </c>
      <c r="Z21" s="44" t="e">
        <f>IF(AND(F21=0,V21&gt;0),5,IF(V21/F21&gt;5,5,IF(V21/F21=0,0.0000001,V21/F21)))</f>
        <v>#DIV/0!</v>
      </c>
      <c r="AB21" s="10" t="str">
        <f>IFERROR(VLOOKUP(VALUE(IF(L21&lt;1,1,0)&amp;IF(J21&lt;'Факт продаж'!$M$24,0,1)),$AB$1:$AC$4,2,FALSE),"НЕТ ПРОДАЖ")</f>
        <v>НЕТ ПРОДАЖ</v>
      </c>
      <c r="AC21" s="10" t="str">
        <f>IFERROR(VLOOKUP(VALUE(IF(R21&lt;1,1,0)&amp;IF(P21&lt;'Факт продаж'!$V$24,0,1)),$AB$1:$AC$4,2,FALSE),"НЕТ ПРОДАЖ")</f>
        <v>НЕТ ПРОДАЖ</v>
      </c>
      <c r="AD21" s="10" t="str">
        <f>IFERROR(VLOOKUP(VALUE(IF(X21&lt;1,1,0)&amp;IF(V21&lt;'Факт продаж'!$AE$24,0,1)),$AB$1:$AC$4,2,FALSE),"НЕТ ПРОДАЖ")</f>
        <v>НЕТ ПРОДАЖ</v>
      </c>
      <c r="AE21" s="18" t="str">
        <f>IFERROR(VLOOKUP(VALUE(IF(Z21&lt;1,1,0)&amp;IF(V21&lt;'Факт продаж'!$AE$24,0,1)),$AB$1:$AC$4,2,FALSE),"НЕТ ПРОДАЖ")</f>
        <v>НЕТ ПРОДАЖ</v>
      </c>
      <c r="AF21" s="74" t="str">
        <f>VLOOKUP(B21,'ABC расчет'!B:G,6,0)</f>
        <v>C</v>
      </c>
      <c r="AG21" s="74" t="str">
        <f>VLOOKUP(B21,'ABC расчет'!K:P,6,0)</f>
        <v>C</v>
      </c>
      <c r="AH21" s="74" t="str">
        <f>VLOOKUP(B21,'ABC расчет'!T:Y,6,0)</f>
        <v>C</v>
      </c>
      <c r="AI21" s="74" t="str">
        <f>VLOOKUP(B21,'ABC расчет'!AC:AH,6,0)</f>
        <v>C</v>
      </c>
      <c r="AJ21" s="74"/>
      <c r="AK21" s="74"/>
      <c r="AL21" s="19"/>
    </row>
    <row r="22" spans="1:39" x14ac:dyDescent="0.3">
      <c r="A22" s="51" t="s">
        <v>254</v>
      </c>
      <c r="B22" s="21" t="s">
        <v>220</v>
      </c>
      <c r="C22" s="20" t="str">
        <f>IFERROR(VLOOKUP(B22,'Факт продаж'!A:B,2,0),"нет продаж")</f>
        <v>нет продаж</v>
      </c>
      <c r="D22" s="47" t="str">
        <f>IFERROR(VLOOKUP(B22,'Факт продаж'!A:C,3,0),"нет продаж")</f>
        <v>нет продаж</v>
      </c>
      <c r="E22" s="47" t="str">
        <f>IFERROR(VLOOKUP(B22,'Факт продаж'!A:E,5,0),"нет продаж")</f>
        <v>нет продаж</v>
      </c>
      <c r="F22" s="25">
        <f>IFERROR(VLOOKUP(B22,'Факт продаж'!A:C,3,0)/SUM('План Антонова'!$C$11:$C$13),0)</f>
        <v>0</v>
      </c>
      <c r="G22" s="5" t="str">
        <f>IFERROR(VLOOKUP(B22,'Факт продаж'!J:K,2,0),"нет продаж")</f>
        <v>нет продаж</v>
      </c>
      <c r="H22" s="48" t="str">
        <f>IFERROR(VLOOKUP(B22,'Факт продаж'!J:L,3,0),"нет продаж")</f>
        <v>нет продаж</v>
      </c>
      <c r="I22" s="48" t="str">
        <f>IFERROR(VLOOKUP(B22,'Факт продаж'!J:N,5,0),"нет продаж")</f>
        <v>нет продаж</v>
      </c>
      <c r="J22" s="7">
        <f>IFERROR(VLOOKUP(B22,'Факт продаж'!J:L,3,0)/SUM('План Антонова'!$C$14:$C$16),0)</f>
        <v>0</v>
      </c>
      <c r="K22" s="44" t="str">
        <f>IFERROR(VLOOKUP(B22,'Факт продаж'!J:O,6,0),"-")</f>
        <v>-</v>
      </c>
      <c r="L22" s="44" t="e">
        <f>IF(AND(F22=0,J22&gt;0),5,IF(J22/F22&gt;5,5,IF(J22/F22=0,0.0000001,J22/F22)))</f>
        <v>#DIV/0!</v>
      </c>
      <c r="M22" s="5">
        <f>IFERROR(VLOOKUP(B22,'Факт продаж'!S:T,2,0),"нет продаж")</f>
        <v>145</v>
      </c>
      <c r="N22" s="48">
        <f>IFERROR(VLOOKUP(B22,'Факт продаж'!S:U,3,0),"нет продаж")</f>
        <v>200391.25</v>
      </c>
      <c r="O22" s="48">
        <f>IFERROR(VLOOKUP(B22,'Факт продаж'!S:W,5,0),"нет продаж")</f>
        <v>49569.548559247283</v>
      </c>
      <c r="P22" s="7">
        <f>IFERROR(VLOOKUP(B22,'Факт продаж'!S:U,3,0)/SUM('План Антонова'!$C$17:$C$19),0)</f>
        <v>1.2205931969491717E-3</v>
      </c>
      <c r="Q22" s="44">
        <f>IFERROR(VLOOKUP(B22,'Факт продаж'!S:X,6,0),"-")</f>
        <v>1</v>
      </c>
      <c r="R22" s="44">
        <f>IF(AND(J22=0,P22&gt;0),5,IF(P22/J22&gt;5,5,IF(P22/J22=0,0.0000001,P22/J22)))</f>
        <v>5</v>
      </c>
      <c r="S22" s="16" t="str">
        <f>IFERROR(VLOOKUP(B22,'Факт продаж'!AB:AD,2,0),"нет продаж")</f>
        <v>нет продаж</v>
      </c>
      <c r="T22" s="16" t="str">
        <f>IFERROR(VLOOKUP(B22,'Факт продаж'!AB:AD,3,0),"нет продаж")</f>
        <v>нет продаж</v>
      </c>
      <c r="U22" s="16" t="str">
        <f>IFERROR(VLOOKUP(B22,'Факт продаж'!AB:AF,5,0),"нет продаж")</f>
        <v>нет продаж</v>
      </c>
      <c r="V22" s="7">
        <f>IFERROR(VLOOKUP(B22,'Факт продаж'!AB:AD,3,0)/SUM('План Антонова'!$C$20:$C$22),0)</f>
        <v>0</v>
      </c>
      <c r="W22" s="44" t="str">
        <f>IFERROR(VLOOKUP(B22,'Факт продаж'!AB:AG,6,0),"-")</f>
        <v>-</v>
      </c>
      <c r="X22" s="44">
        <f>IF(AND(P22=0,V22&gt;0),5,IF(V22/P22&gt;5,5,IF(V22/P22=0,0.0000001,V22/P22)))</f>
        <v>9.9999999999999995E-8</v>
      </c>
      <c r="Y22" s="44" t="str">
        <f>IFERROR(VLOOKUP(B22,'Факт продаж'!AB:AH,7,0),"-")</f>
        <v>-</v>
      </c>
      <c r="Z22" s="44" t="e">
        <f>IF(AND(F22=0,V22&gt;0),5,IF(V22/F22&gt;5,5,IF(V22/F22=0,0.0000001,V22/F22)))</f>
        <v>#DIV/0!</v>
      </c>
      <c r="AB22" s="10" t="str">
        <f>IFERROR(VLOOKUP(VALUE(IF(L22&lt;1,1,0)&amp;IF(J22&lt;'Факт продаж'!$M$24,0,1)),$AB$1:$AC$4,2,FALSE),"НЕТ ПРОДАЖ")</f>
        <v>НЕТ ПРОДАЖ</v>
      </c>
      <c r="AC22" s="10" t="str">
        <f>IFERROR(VLOOKUP(VALUE(IF(R22&lt;1,1,0)&amp;IF(P22&lt;'Факт продаж'!$V$24,0,1)),$AB$1:$AC$4,2,FALSE),"НЕТ ПРОДАЖ")</f>
        <v>Звезда</v>
      </c>
      <c r="AD22" s="10" t="str">
        <f>IFERROR(VLOOKUP(VALUE(IF(X22&lt;1,1,0)&amp;IF(V22&lt;'Факт продаж'!$AE$24,0,1)),$AB$1:$AC$4,2,FALSE),"НЕТ ПРОДАЖ")</f>
        <v>Собака</v>
      </c>
      <c r="AE22" s="18" t="str">
        <f>IFERROR(VLOOKUP(VALUE(IF(Z22&lt;1,1,0)&amp;IF(V22&lt;'Факт продаж'!$AE$24,0,1)),$AB$1:$AC$4,2,FALSE),"НЕТ ПРОДАЖ")</f>
        <v>НЕТ ПРОДАЖ</v>
      </c>
      <c r="AF22" s="74" t="str">
        <f>VLOOKUP(B22,'ABC расчет'!B:G,6,0)</f>
        <v>C</v>
      </c>
      <c r="AG22" s="74" t="str">
        <f>VLOOKUP(B22,'ABC расчет'!K:P,6,0)</f>
        <v>C</v>
      </c>
      <c r="AH22" s="74" t="str">
        <f>VLOOKUP(B22,'ABC расчет'!T:Y,6,0)</f>
        <v>B</v>
      </c>
      <c r="AI22" s="74" t="str">
        <f>VLOOKUP(B22,'ABC расчет'!AC:AH,6,0)</f>
        <v>C</v>
      </c>
      <c r="AJ22" s="74"/>
      <c r="AK22" s="74"/>
      <c r="AL22" s="19"/>
    </row>
    <row r="23" spans="1:39" x14ac:dyDescent="0.3">
      <c r="A23" s="51" t="s">
        <v>254</v>
      </c>
      <c r="B23" s="21" t="s">
        <v>237</v>
      </c>
      <c r="C23" s="20">
        <f>IFERROR(VLOOKUP(B23,'Факт продаж'!A:B,2,0),"нет продаж")</f>
        <v>31</v>
      </c>
      <c r="D23" s="47">
        <f>IFERROR(VLOOKUP(B23,'Факт продаж'!A:C,3,0),"нет продаж")</f>
        <v>41384.413799999995</v>
      </c>
      <c r="E23" s="47">
        <f>IFERROR(VLOOKUP(B23,'Факт продаж'!A:E,5,0),"нет продаж")</f>
        <v>20005.832940360018</v>
      </c>
      <c r="F23" s="25">
        <f>IFERROR(VLOOKUP(B23,'Факт продаж'!A:C,3,0)/SUM('План Антонова'!$C$11:$C$13),0)</f>
        <v>3.1423623776737379E-4</v>
      </c>
      <c r="G23" s="5" t="str">
        <f>IFERROR(VLOOKUP(B23,'Факт продаж'!J:K,2,0),"нет продаж")</f>
        <v>нет продаж</v>
      </c>
      <c r="H23" s="48" t="str">
        <f>IFERROR(VLOOKUP(B23,'Факт продаж'!J:L,3,0),"нет продаж")</f>
        <v>нет продаж</v>
      </c>
      <c r="I23" s="48" t="str">
        <f>IFERROR(VLOOKUP(B23,'Факт продаж'!J:N,5,0),"нет продаж")</f>
        <v>нет продаж</v>
      </c>
      <c r="J23" s="7">
        <f>IFERROR(VLOOKUP(B23,'Факт продаж'!J:L,3,0)/SUM('План Антонова'!$C$14:$C$16),0)</f>
        <v>0</v>
      </c>
      <c r="K23" s="44" t="str">
        <f>IFERROR(VLOOKUP(B23,'Факт продаж'!J:O,6,0),"-")</f>
        <v>-</v>
      </c>
      <c r="L23" s="44">
        <f>IF(AND(F23=0,J23&gt;0),5,IF(J23/F23&gt;5,5,IF(J23/F23=0,0.0000001,J23/F23)))</f>
        <v>9.9999999999999995E-8</v>
      </c>
      <c r="M23" s="5">
        <f>IFERROR(VLOOKUP(B23,'Факт продаж'!S:T,2,0),"нет продаж")</f>
        <v>7</v>
      </c>
      <c r="N23" s="48">
        <f>IFERROR(VLOOKUP(B23,'Факт продаж'!S:U,3,0),"нет продаж")</f>
        <v>11445</v>
      </c>
      <c r="O23" s="48">
        <f>IFERROR(VLOOKUP(B23,'Факт продаж'!S:W,5,0),"нет продаж")</f>
        <v>4391.2415305805544</v>
      </c>
      <c r="P23" s="7">
        <f>IFERROR(VLOOKUP(B23,'Факт продаж'!S:U,3,0)/SUM('План Антонова'!$C$17:$C$19),0)</f>
        <v>6.9712071455631274E-5</v>
      </c>
      <c r="Q23" s="44">
        <f>IFERROR(VLOOKUP(B23,'Факт продаж'!S:X,6,0),"-")</f>
        <v>1</v>
      </c>
      <c r="R23" s="44">
        <f>IF(AND(J23=0,P23&gt;0),5,IF(P23/J23&gt;5,5,IF(P23/J23=0,0.0000001,P23/J23)))</f>
        <v>5</v>
      </c>
      <c r="S23" s="16" t="str">
        <f>IFERROR(VLOOKUP(B23,'Факт продаж'!AB:AD,2,0),"нет продаж")</f>
        <v>нет продаж</v>
      </c>
      <c r="T23" s="16" t="str">
        <f>IFERROR(VLOOKUP(B23,'Факт продаж'!AB:AD,3,0),"нет продаж")</f>
        <v>нет продаж</v>
      </c>
      <c r="U23" s="16" t="str">
        <f>IFERROR(VLOOKUP(B23,'Факт продаж'!AB:AF,5,0),"нет продаж")</f>
        <v>нет продаж</v>
      </c>
      <c r="V23" s="7">
        <f>IFERROR(VLOOKUP(B23,'Факт продаж'!AB:AD,3,0)/SUM('План Антонова'!$C$20:$C$22),0)</f>
        <v>0</v>
      </c>
      <c r="W23" s="44" t="str">
        <f>IFERROR(VLOOKUP(B23,'Факт продаж'!AB:AG,6,0),"-")</f>
        <v>-</v>
      </c>
      <c r="X23" s="44">
        <f>IF(AND(P23=0,V23&gt;0),5,IF(V23/P23&gt;5,5,IF(V23/P23=0,0.0000001,V23/P23)))</f>
        <v>9.9999999999999995E-8</v>
      </c>
      <c r="Y23" s="44" t="str">
        <f>IFERROR(VLOOKUP(B23,'Факт продаж'!AB:AH,7,0),"-")</f>
        <v>-</v>
      </c>
      <c r="Z23" s="44">
        <f>IF(AND(F23=0,V23&gt;0),5,IF(V23/F23&gt;5,5,IF(V23/F23=0,0.0000001,V23/F23)))</f>
        <v>9.9999999999999995E-8</v>
      </c>
      <c r="AB23" s="10" t="str">
        <f>IFERROR(VLOOKUP(VALUE(IF(L23&lt;1,1,0)&amp;IF(J23&lt;'Факт продаж'!$M$24,0,1)),$AB$1:$AC$4,2,FALSE),"НЕТ ПРОДАЖ")</f>
        <v>Собака</v>
      </c>
      <c r="AC23" s="10" t="str">
        <f>IFERROR(VLOOKUP(VALUE(IF(R23&lt;1,1,0)&amp;IF(P23&lt;'Факт продаж'!$V$24,0,1)),$AB$1:$AC$4,2,FALSE),"НЕТ ПРОДАЖ")</f>
        <v>Темная лошадка</v>
      </c>
      <c r="AD23" s="10" t="str">
        <f>IFERROR(VLOOKUP(VALUE(IF(X23&lt;1,1,0)&amp;IF(V23&lt;'Факт продаж'!$AE$24,0,1)),$AB$1:$AC$4,2,FALSE),"НЕТ ПРОДАЖ")</f>
        <v>Собака</v>
      </c>
      <c r="AE23" s="18" t="str">
        <f>IFERROR(VLOOKUP(VALUE(IF(Z23&lt;1,1,0)&amp;IF(V23&lt;'Факт продаж'!$AE$24,0,1)),$AB$1:$AC$4,2,FALSE),"НЕТ ПРОДАЖ")</f>
        <v>Собака</v>
      </c>
      <c r="AF23" s="74" t="str">
        <f>VLOOKUP(B23,'ABC расчет'!B:G,6,0)</f>
        <v>C</v>
      </c>
      <c r="AG23" s="74" t="str">
        <f>VLOOKUP(B23,'ABC расчет'!K:P,6,0)</f>
        <v>C</v>
      </c>
      <c r="AH23" s="74" t="str">
        <f>VLOOKUP(B23,'ABC расчет'!T:Y,6,0)</f>
        <v>C</v>
      </c>
      <c r="AI23" s="74" t="str">
        <f>VLOOKUP(B23,'ABC расчет'!AC:AH,6,0)</f>
        <v>C</v>
      </c>
      <c r="AJ23" s="74"/>
      <c r="AK23" s="74"/>
      <c r="AL23" s="49"/>
      <c r="AM23" s="22"/>
    </row>
    <row r="24" spans="1:39" x14ac:dyDescent="0.3">
      <c r="A24" s="51" t="s">
        <v>258</v>
      </c>
      <c r="B24" s="21" t="s">
        <v>137</v>
      </c>
      <c r="C24" s="20" t="str">
        <f>IFERROR(VLOOKUP(B24,'Факт продаж'!A:B,2,0),"нет продаж")</f>
        <v>нет продаж</v>
      </c>
      <c r="D24" s="47" t="str">
        <f>IFERROR(VLOOKUP(B24,'Факт продаж'!A:C,3,0),"нет продаж")</f>
        <v>нет продаж</v>
      </c>
      <c r="E24" s="47" t="str">
        <f>IFERROR(VLOOKUP(B24,'Факт продаж'!A:E,5,0),"нет продаж")</f>
        <v>нет продаж</v>
      </c>
      <c r="F24" s="25">
        <f>IFERROR(VLOOKUP(B24,'Факт продаж'!A:C,3,0)/SUM('План Антонова'!$C$11:$C$13),0)</f>
        <v>0</v>
      </c>
      <c r="G24" s="5">
        <f>IFERROR(VLOOKUP(B24,'Факт продаж'!J:K,2,0),"нет продаж")</f>
        <v>5</v>
      </c>
      <c r="H24" s="48">
        <f>IFERROR(VLOOKUP(B24,'Факт продаж'!J:L,3,0),"нет продаж")</f>
        <v>10620</v>
      </c>
      <c r="I24" s="48">
        <f>IFERROR(VLOOKUP(B24,'Факт продаж'!J:N,5,0),"нет продаж")</f>
        <v>3399.5227288410406</v>
      </c>
      <c r="J24" s="7">
        <f>IFERROR(VLOOKUP(B24,'Факт продаж'!J:L,3,0)/SUM('План Антонова'!$C$14:$C$16),0)</f>
        <v>7.3329615651041949E-5</v>
      </c>
      <c r="K24" s="44">
        <f>IFERROR(VLOOKUP(B24,'Факт продаж'!J:O,6,0),"-")</f>
        <v>1</v>
      </c>
      <c r="L24" s="44">
        <f>IF(AND(F24=0,J24&gt;0),5,IF(J24/F24&gt;5,5,IF(J24/F24=0,0.0000001,J24/F24)))</f>
        <v>5</v>
      </c>
      <c r="M24" s="5">
        <f>IFERROR(VLOOKUP(B24,'Факт продаж'!S:T,2,0),"нет продаж")</f>
        <v>9</v>
      </c>
      <c r="N24" s="48">
        <f>IFERROR(VLOOKUP(B24,'Факт продаж'!S:U,3,0),"нет продаж")</f>
        <v>19203.2</v>
      </c>
      <c r="O24" s="48">
        <f>IFERROR(VLOOKUP(B24,'Факт продаж'!S:W,5,0),"нет продаж")</f>
        <v>9419.1909212398677</v>
      </c>
      <c r="P24" s="7">
        <f>IFERROR(VLOOKUP(B24,'Факт продаж'!S:U,3,0)/SUM('План Антонова'!$C$17:$C$19),0)</f>
        <v>1.1696765841649441E-4</v>
      </c>
      <c r="Q24" s="44">
        <f>IFERROR(VLOOKUP(B24,'Факт продаж'!S:X,6,0),"-")</f>
        <v>1.7707392103394004</v>
      </c>
      <c r="R24" s="44">
        <f>IF(AND(J24=0,P24&gt;0),5,IF(P24/J24&gt;5,5,IF(P24/J24=0,0.0000001,P24/J24)))</f>
        <v>1.5950943882361996</v>
      </c>
      <c r="S24" s="16" t="str">
        <f>IFERROR(VLOOKUP(B24,'Факт продаж'!AB:AD,2,0),"нет продаж")</f>
        <v>нет продаж</v>
      </c>
      <c r="T24" s="16" t="str">
        <f>IFERROR(VLOOKUP(B24,'Факт продаж'!AB:AD,3,0),"нет продаж")</f>
        <v>нет продаж</v>
      </c>
      <c r="U24" s="16" t="str">
        <f>IFERROR(VLOOKUP(B24,'Факт продаж'!AB:AF,5,0),"нет продаж")</f>
        <v>нет продаж</v>
      </c>
      <c r="V24" s="7">
        <f>IFERROR(VLOOKUP(B24,'Факт продаж'!AB:AD,3,0)/SUM('План Антонова'!$C$20:$C$22),0)</f>
        <v>0</v>
      </c>
      <c r="W24" s="44" t="str">
        <f>IFERROR(VLOOKUP(B24,'Факт продаж'!AB:AG,6,0),"-")</f>
        <v>-</v>
      </c>
      <c r="X24" s="44">
        <f>IF(AND(P24=0,V24&gt;0),5,IF(V24/P24&gt;5,5,IF(V24/P24=0,0.0000001,V24/P24)))</f>
        <v>9.9999999999999995E-8</v>
      </c>
      <c r="Y24" s="44" t="str">
        <f>IFERROR(VLOOKUP(B24,'Факт продаж'!AB:AH,7,0),"-")</f>
        <v>-</v>
      </c>
      <c r="Z24" s="44" t="e">
        <f>IF(AND(F24=0,V24&gt;0),5,IF(V24/F24&gt;5,5,IF(V24/F24=0,0.0000001,V24/F24)))</f>
        <v>#DIV/0!</v>
      </c>
      <c r="AB24" s="10" t="str">
        <f>IFERROR(VLOOKUP(VALUE(IF(L24&lt;1,1,0)&amp;IF(J24&lt;'Факт продаж'!$M$24,0,1)),$AB$1:$AC$4,2,FALSE),"НЕТ ПРОДАЖ")</f>
        <v>Темная лошадка</v>
      </c>
      <c r="AC24" s="10" t="str">
        <f>IFERROR(VLOOKUP(VALUE(IF(R24&lt;1,1,0)&amp;IF(P24&lt;'Факт продаж'!$V$24,0,1)),$AB$1:$AC$4,2,FALSE),"НЕТ ПРОДАЖ")</f>
        <v>Темная лошадка</v>
      </c>
      <c r="AD24" s="10" t="str">
        <f>IFERROR(VLOOKUP(VALUE(IF(X24&lt;1,1,0)&amp;IF(V24&lt;'Факт продаж'!$AE$24,0,1)),$AB$1:$AC$4,2,FALSE),"НЕТ ПРОДАЖ")</f>
        <v>Собака</v>
      </c>
      <c r="AE24" s="18" t="str">
        <f>IFERROR(VLOOKUP(VALUE(IF(Z24&lt;1,1,0)&amp;IF(V24&lt;'Факт продаж'!$AE$24,0,1)),$AB$1:$AC$4,2,FALSE),"НЕТ ПРОДАЖ")</f>
        <v>НЕТ ПРОДАЖ</v>
      </c>
      <c r="AF24" s="74" t="str">
        <f>VLOOKUP(B24,'ABC расчет'!B:G,6,0)</f>
        <v>C</v>
      </c>
      <c r="AG24" s="74" t="str">
        <f>VLOOKUP(B24,'ABC расчет'!K:P,6,0)</f>
        <v>C</v>
      </c>
      <c r="AH24" s="74" t="str">
        <f>VLOOKUP(B24,'ABC расчет'!T:Y,6,0)</f>
        <v>C</v>
      </c>
      <c r="AI24" s="74" t="str">
        <f>VLOOKUP(B24,'ABC расчет'!AC:AH,6,0)</f>
        <v>C</v>
      </c>
      <c r="AJ24" s="74"/>
      <c r="AK24" s="74"/>
      <c r="AL24" s="19"/>
    </row>
    <row r="25" spans="1:39" x14ac:dyDescent="0.3">
      <c r="A25" s="51" t="s">
        <v>258</v>
      </c>
      <c r="B25" s="21" t="s">
        <v>313</v>
      </c>
      <c r="C25" s="20">
        <f>IFERROR(VLOOKUP(B25,'Факт продаж'!A:B,2,0),"нет продаж")</f>
        <v>4</v>
      </c>
      <c r="D25" s="47">
        <f>IFERROR(VLOOKUP(B25,'Факт продаж'!A:C,3,0),"нет продаж")</f>
        <v>7833.0594000000001</v>
      </c>
      <c r="E25" s="47">
        <f>IFERROR(VLOOKUP(B25,'Факт продаж'!A:E,5,0),"нет продаж")</f>
        <v>3116.2148813572612</v>
      </c>
      <c r="F25" s="25">
        <f>IFERROR(VLOOKUP(B25,'Факт продаж'!A:C,3,0)/SUM('План Антонова'!$C$11:$C$13),0)</f>
        <v>5.9477249767504564E-5</v>
      </c>
      <c r="G25" s="5">
        <f>IFERROR(VLOOKUP(B25,'Факт продаж'!J:K,2,0),"нет продаж")</f>
        <v>13</v>
      </c>
      <c r="H25" s="48">
        <f>IFERROR(VLOOKUP(B25,'Факт продаж'!J:L,3,0),"нет продаж")</f>
        <v>31309</v>
      </c>
      <c r="I25" s="48">
        <f>IFERROR(VLOOKUP(B25,'Факт продаж'!J:N,5,0),"нет продаж")</f>
        <v>12133.585287601521</v>
      </c>
      <c r="J25" s="7">
        <f>IFERROR(VLOOKUP(B25,'Факт продаж'!J:L,3,0)/SUM('План Антонова'!$C$14:$C$16),0)</f>
        <v>2.1618426896595787E-4</v>
      </c>
      <c r="K25" s="44">
        <f>IFERROR(VLOOKUP(B25,'Факт продаж'!J:O,6,0),"-")</f>
        <v>2.89369339071918</v>
      </c>
      <c r="L25" s="44">
        <f>IF(AND(F25=0,J25&gt;0),5,IF(J25/F25&gt;5,5,IF(J25/F25=0,0.0000001,J25/F25)))</f>
        <v>3.6347388255344364</v>
      </c>
      <c r="M25" s="5">
        <f>IFERROR(VLOOKUP(B25,'Факт продаж'!S:T,2,0),"нет продаж")</f>
        <v>12</v>
      </c>
      <c r="N25" s="48">
        <f>IFERROR(VLOOKUP(B25,'Факт продаж'!S:U,3,0),"нет продаж")</f>
        <v>26799</v>
      </c>
      <c r="O25" s="48">
        <f>IFERROR(VLOOKUP(B25,'Факт продаж'!S:W,5,0),"нет продаж")</f>
        <v>8434.6427527095657</v>
      </c>
      <c r="P25" s="7">
        <f>IFERROR(VLOOKUP(B25,'Факт продаж'!S:U,3,0)/SUM('План Антонова'!$C$17:$C$19),0)</f>
        <v>1.632340587976813E-4</v>
      </c>
      <c r="Q25" s="44">
        <f>IFERROR(VLOOKUP(B25,'Факт продаж'!S:X,6,0),"-")</f>
        <v>-0.30485157084375147</v>
      </c>
      <c r="R25" s="44">
        <f>IF(AND(J25=0,P25&gt;0),5,IF(P25/J25&gt;5,5,IF(P25/J25=0,0.0000001,P25/J25)))</f>
        <v>0.7550690879519335</v>
      </c>
      <c r="S25" s="16" t="str">
        <f>IFERROR(VLOOKUP(B25,'Факт продаж'!AB:AD,2,0),"нет продаж")</f>
        <v>нет продаж</v>
      </c>
      <c r="T25" s="16" t="str">
        <f>IFERROR(VLOOKUP(B25,'Факт продаж'!AB:AD,3,0),"нет продаж")</f>
        <v>нет продаж</v>
      </c>
      <c r="U25" s="16" t="str">
        <f>IFERROR(VLOOKUP(B25,'Факт продаж'!AB:AF,5,0),"нет продаж")</f>
        <v>нет продаж</v>
      </c>
      <c r="V25" s="7">
        <f>IFERROR(VLOOKUP(B25,'Факт продаж'!AB:AD,3,0)/SUM('План Антонова'!$C$20:$C$22),0)</f>
        <v>0</v>
      </c>
      <c r="W25" s="44" t="str">
        <f>IFERROR(VLOOKUP(B25,'Факт продаж'!AB:AG,6,0),"-")</f>
        <v>-</v>
      </c>
      <c r="X25" s="44">
        <f>IF(AND(P25=0,V25&gt;0),5,IF(V25/P25&gt;5,5,IF(V25/P25=0,0.0000001,V25/P25)))</f>
        <v>9.9999999999999995E-8</v>
      </c>
      <c r="Y25" s="44" t="str">
        <f>IFERROR(VLOOKUP(B25,'Факт продаж'!AB:AH,7,0),"-")</f>
        <v>-</v>
      </c>
      <c r="Z25" s="44">
        <f>IF(AND(F25=0,V25&gt;0),5,IF(V25/F25&gt;5,5,IF(V25/F25=0,0.0000001,V25/F25)))</f>
        <v>9.9999999999999995E-8</v>
      </c>
      <c r="AB25" s="10" t="str">
        <f>IFERROR(VLOOKUP(VALUE(IF(L25&lt;1,1,0)&amp;IF(J25&lt;'Факт продаж'!$M$24,0,1)),$AB$1:$AC$4,2,FALSE),"НЕТ ПРОДАЖ")</f>
        <v>Темная лошадка</v>
      </c>
      <c r="AC25" s="10" t="str">
        <f>IFERROR(VLOOKUP(VALUE(IF(R25&lt;1,1,0)&amp;IF(P25&lt;'Факт продаж'!$V$24,0,1)),$AB$1:$AC$4,2,FALSE),"НЕТ ПРОДАЖ")</f>
        <v>Собака</v>
      </c>
      <c r="AD25" s="10" t="str">
        <f>IFERROR(VLOOKUP(VALUE(IF(X25&lt;1,1,0)&amp;IF(V25&lt;'Факт продаж'!$AE$24,0,1)),$AB$1:$AC$4,2,FALSE),"НЕТ ПРОДАЖ")</f>
        <v>Собака</v>
      </c>
      <c r="AE25" s="18" t="str">
        <f>IFERROR(VLOOKUP(VALUE(IF(Z25&lt;1,1,0)&amp;IF(V25&lt;'Факт продаж'!$AE$24,0,1)),$AB$1:$AC$4,2,FALSE),"НЕТ ПРОДАЖ")</f>
        <v>Собака</v>
      </c>
      <c r="AF25" s="74" t="str">
        <f>VLOOKUP(B25,'ABC расчет'!B:G,6,0)</f>
        <v>B</v>
      </c>
      <c r="AG25" s="74" t="str">
        <f>VLOOKUP(B25,'ABC расчет'!K:P,6,0)</f>
        <v>B</v>
      </c>
      <c r="AH25" s="74" t="str">
        <f>VLOOKUP(B25,'ABC расчет'!T:Y,6,0)</f>
        <v>B</v>
      </c>
      <c r="AI25" s="74" t="str">
        <f>VLOOKUP(B25,'ABC расчет'!AC:AH,6,0)</f>
        <v>C</v>
      </c>
      <c r="AJ25" s="74"/>
      <c r="AK25" s="74"/>
      <c r="AL25" s="19"/>
    </row>
    <row r="26" spans="1:39" x14ac:dyDescent="0.3">
      <c r="A26" s="51" t="s">
        <v>259</v>
      </c>
      <c r="B26" s="21" t="s">
        <v>420</v>
      </c>
      <c r="C26" s="20" t="str">
        <f>IFERROR(VLOOKUP(B26,'Факт продаж'!A:B,2,0),"нет продаж")</f>
        <v>нет продаж</v>
      </c>
      <c r="D26" s="47" t="str">
        <f>IFERROR(VLOOKUP(B26,'Факт продаж'!A:C,3,0),"нет продаж")</f>
        <v>нет продаж</v>
      </c>
      <c r="E26" s="47" t="str">
        <f>IFERROR(VLOOKUP(B26,'Факт продаж'!A:E,5,0),"нет продаж")</f>
        <v>нет продаж</v>
      </c>
      <c r="F26" s="25">
        <f>IFERROR(VLOOKUP(B26,'Факт продаж'!A:C,3,0)/SUM('План Антонова'!$C$11:$C$13),0)</f>
        <v>0</v>
      </c>
      <c r="G26" s="5" t="str">
        <f>IFERROR(VLOOKUP(B26,'Факт продаж'!J:K,2,0),"нет продаж")</f>
        <v>нет продаж</v>
      </c>
      <c r="H26" s="48" t="str">
        <f>IFERROR(VLOOKUP(B26,'Факт продаж'!J:L,3,0),"нет продаж")</f>
        <v>нет продаж</v>
      </c>
      <c r="I26" s="48" t="str">
        <f>IFERROR(VLOOKUP(B26,'Факт продаж'!J:N,5,0),"нет продаж")</f>
        <v>нет продаж</v>
      </c>
      <c r="J26" s="7">
        <f>IFERROR(VLOOKUP(B26,'Факт продаж'!J:L,3,0)/SUM('План Антонова'!$C$14:$C$16),0)</f>
        <v>0</v>
      </c>
      <c r="K26" s="44" t="str">
        <f>IFERROR(VLOOKUP(B26,'Факт продаж'!J:O,6,0),"-")</f>
        <v>-</v>
      </c>
      <c r="L26" s="44" t="e">
        <f>IF(AND(F26=0,J26&gt;0),5,IF(J26/F26&gt;5,5,IF(J26/F26=0,0.0000001,J26/F26)))</f>
        <v>#DIV/0!</v>
      </c>
      <c r="M26" s="5" t="str">
        <f>IFERROR(VLOOKUP(B26,'Факт продаж'!S:T,2,0),"нет продаж")</f>
        <v>нет продаж</v>
      </c>
      <c r="N26" s="48" t="str">
        <f>IFERROR(VLOOKUP(B26,'Факт продаж'!S:U,3,0),"нет продаж")</f>
        <v>нет продаж</v>
      </c>
      <c r="O26" s="48" t="str">
        <f>IFERROR(VLOOKUP(B26,'Факт продаж'!S:W,5,0),"нет продаж")</f>
        <v>нет продаж</v>
      </c>
      <c r="P26" s="7">
        <f>IFERROR(VLOOKUP(B26,'Факт продаж'!S:U,3,0)/SUM('План Антонова'!$C$17:$C$19),0)</f>
        <v>0</v>
      </c>
      <c r="Q26" s="44" t="str">
        <f>IFERROR(VLOOKUP(B26,'Факт продаж'!S:X,6,0),"-")</f>
        <v>-</v>
      </c>
      <c r="R26" s="44" t="e">
        <f>IF(AND(J26=0,P26&gt;0),5,IF(P26/J26&gt;5,5,IF(P26/J26=0,0.0000001,P26/J26)))</f>
        <v>#DIV/0!</v>
      </c>
      <c r="S26" s="16" t="str">
        <f>IFERROR(VLOOKUP(B26,'Факт продаж'!AB:AD,2,0),"нет продаж")</f>
        <v>нет продаж</v>
      </c>
      <c r="T26" s="16" t="str">
        <f>IFERROR(VLOOKUP(B26,'Факт продаж'!AB:AD,3,0),"нет продаж")</f>
        <v>нет продаж</v>
      </c>
      <c r="U26" s="16" t="str">
        <f>IFERROR(VLOOKUP(B26,'Факт продаж'!AB:AF,5,0),"нет продаж")</f>
        <v>нет продаж</v>
      </c>
      <c r="V26" s="7">
        <f>IFERROR(VLOOKUP(B26,'Факт продаж'!AB:AD,3,0)/SUM('План Антонова'!$C$20:$C$22),0)</f>
        <v>0</v>
      </c>
      <c r="W26" s="44" t="str">
        <f>IFERROR(VLOOKUP(B26,'Факт продаж'!AB:AG,6,0),"-")</f>
        <v>-</v>
      </c>
      <c r="X26" s="44" t="e">
        <f>IF(AND(P26=0,V26&gt;0),5,IF(V26/P26&gt;5,5,IF(V26/P26=0,0.0000001,V26/P26)))</f>
        <v>#DIV/0!</v>
      </c>
      <c r="Y26" s="44" t="str">
        <f>IFERROR(VLOOKUP(B26,'Факт продаж'!AB:AH,7,0),"-")</f>
        <v>-</v>
      </c>
      <c r="Z26" s="44" t="e">
        <f>IF(AND(F26=0,V26&gt;0),5,IF(V26/F26&gt;5,5,IF(V26/F26=0,0.0000001,V26/F26)))</f>
        <v>#DIV/0!</v>
      </c>
      <c r="AB26" s="10" t="str">
        <f>IFERROR(VLOOKUP(VALUE(IF(L26&lt;1,1,0)&amp;IF(J26&lt;'Факт продаж'!$M$24,0,1)),$AB$1:$AC$4,2,FALSE),"НЕТ ПРОДАЖ")</f>
        <v>НЕТ ПРОДАЖ</v>
      </c>
      <c r="AC26" s="10" t="str">
        <f>IFERROR(VLOOKUP(VALUE(IF(R26&lt;1,1,0)&amp;IF(P26&lt;'Факт продаж'!$V$24,0,1)),$AB$1:$AC$4,2,FALSE),"НЕТ ПРОДАЖ")</f>
        <v>НЕТ ПРОДАЖ</v>
      </c>
      <c r="AD26" s="10" t="str">
        <f>IFERROR(VLOOKUP(VALUE(IF(X26&lt;1,1,0)&amp;IF(V26&lt;'Факт продаж'!$AE$24,0,1)),$AB$1:$AC$4,2,FALSE),"НЕТ ПРОДАЖ")</f>
        <v>НЕТ ПРОДАЖ</v>
      </c>
      <c r="AE26" s="18" t="str">
        <f>IFERROR(VLOOKUP(VALUE(IF(Z26&lt;1,1,0)&amp;IF(V26&lt;'Факт продаж'!$AE$24,0,1)),$AB$1:$AC$4,2,FALSE),"НЕТ ПРОДАЖ")</f>
        <v>НЕТ ПРОДАЖ</v>
      </c>
      <c r="AF26" s="74" t="str">
        <f>VLOOKUP(B26,'ABC расчет'!B:G,6,0)</f>
        <v>C</v>
      </c>
      <c r="AG26" s="74" t="str">
        <f>VLOOKUP(B26,'ABC расчет'!K:P,6,0)</f>
        <v>C</v>
      </c>
      <c r="AH26" s="74" t="str">
        <f>VLOOKUP(B26,'ABC расчет'!T:Y,6,0)</f>
        <v>C</v>
      </c>
      <c r="AI26" s="74" t="str">
        <f>VLOOKUP(B26,'ABC расчет'!AC:AH,6,0)</f>
        <v>C</v>
      </c>
      <c r="AJ26" s="74"/>
      <c r="AK26" s="74"/>
      <c r="AL26" s="5"/>
    </row>
    <row r="27" spans="1:39" x14ac:dyDescent="0.3">
      <c r="A27" s="51" t="s">
        <v>260</v>
      </c>
      <c r="B27" s="21" t="s">
        <v>294</v>
      </c>
      <c r="C27" s="20" t="str">
        <f>IFERROR(VLOOKUP(B27,'Факт продаж'!A:B,2,0),"нет продаж")</f>
        <v>нет продаж</v>
      </c>
      <c r="D27" s="47" t="str">
        <f>IFERROR(VLOOKUP(B27,'Факт продаж'!A:C,3,0),"нет продаж")</f>
        <v>нет продаж</v>
      </c>
      <c r="E27" s="47" t="str">
        <f>IFERROR(VLOOKUP(B27,'Факт продаж'!A:E,5,0),"нет продаж")</f>
        <v>нет продаж</v>
      </c>
      <c r="F27" s="25">
        <f>IFERROR(VLOOKUP(B27,'Факт продаж'!A:C,3,0)/SUM('План Антонова'!$C$11:$C$13),0)</f>
        <v>0</v>
      </c>
      <c r="G27" s="5" t="str">
        <f>IFERROR(VLOOKUP(B27,'Факт продаж'!J:K,2,0),"нет продаж")</f>
        <v>нет продаж</v>
      </c>
      <c r="H27" s="48" t="str">
        <f>IFERROR(VLOOKUP(B27,'Факт продаж'!J:L,3,0),"нет продаж")</f>
        <v>нет продаж</v>
      </c>
      <c r="I27" s="48" t="str">
        <f>IFERROR(VLOOKUP(B27,'Факт продаж'!J:N,5,0),"нет продаж")</f>
        <v>нет продаж</v>
      </c>
      <c r="J27" s="7">
        <f>IFERROR(VLOOKUP(B27,'Факт продаж'!J:L,3,0)/SUM('План Антонова'!$C$14:$C$16),0)</f>
        <v>0</v>
      </c>
      <c r="K27" s="44" t="str">
        <f>IFERROR(VLOOKUP(B27,'Факт продаж'!J:O,6,0),"-")</f>
        <v>-</v>
      </c>
      <c r="L27" s="44" t="e">
        <f>IF(AND(F27=0,J27&gt;0),5,IF(J27/F27&gt;5,5,IF(J27/F27=0,0.0000001,J27/F27)))</f>
        <v>#DIV/0!</v>
      </c>
      <c r="M27" s="5">
        <f>IFERROR(VLOOKUP(B27,'Факт продаж'!S:T,2,0),"нет продаж")</f>
        <v>8</v>
      </c>
      <c r="N27" s="48">
        <f>IFERROR(VLOOKUP(B27,'Факт продаж'!S:U,3,0),"нет продаж")</f>
        <v>8556</v>
      </c>
      <c r="O27" s="48">
        <f>IFERROR(VLOOKUP(B27,'Факт продаж'!S:W,5,0),"нет продаж")</f>
        <v>3440.4749241950431</v>
      </c>
      <c r="P27" s="7">
        <f>IFERROR(VLOOKUP(B27,'Факт продаж'!S:U,3,0)/SUM('План Антонова'!$C$17:$C$19),0)</f>
        <v>5.2115026944026313E-5</v>
      </c>
      <c r="Q27" s="44">
        <f>IFERROR(VLOOKUP(B27,'Факт продаж'!S:X,6,0),"-")</f>
        <v>1</v>
      </c>
      <c r="R27" s="44">
        <f>IF(AND(J27=0,P27&gt;0),5,IF(P27/J27&gt;5,5,IF(P27/J27=0,0.0000001,P27/J27)))</f>
        <v>5</v>
      </c>
      <c r="S27" s="16" t="str">
        <f>IFERROR(VLOOKUP(B27,'Факт продаж'!AB:AD,2,0),"нет продаж")</f>
        <v>нет продаж</v>
      </c>
      <c r="T27" s="16" t="str">
        <f>IFERROR(VLOOKUP(B27,'Факт продаж'!AB:AD,3,0),"нет продаж")</f>
        <v>нет продаж</v>
      </c>
      <c r="U27" s="16" t="str">
        <f>IFERROR(VLOOKUP(B27,'Факт продаж'!AB:AF,5,0),"нет продаж")</f>
        <v>нет продаж</v>
      </c>
      <c r="V27" s="7">
        <f>IFERROR(VLOOKUP(B27,'Факт продаж'!AB:AD,3,0)/SUM('План Антонова'!$C$20:$C$22),0)</f>
        <v>0</v>
      </c>
      <c r="W27" s="44" t="str">
        <f>IFERROR(VLOOKUP(B27,'Факт продаж'!AB:AG,6,0),"-")</f>
        <v>-</v>
      </c>
      <c r="X27" s="44">
        <f>IF(AND(P27=0,V27&gt;0),5,IF(V27/P27&gt;5,5,IF(V27/P27=0,0.0000001,V27/P27)))</f>
        <v>9.9999999999999995E-8</v>
      </c>
      <c r="Y27" s="44" t="str">
        <f>IFERROR(VLOOKUP(B27,'Факт продаж'!AB:AH,7,0),"-")</f>
        <v>-</v>
      </c>
      <c r="Z27" s="44" t="e">
        <f>IF(AND(F27=0,V27&gt;0),5,IF(V27/F27&gt;5,5,IF(V27/F27=0,0.0000001,V27/F27)))</f>
        <v>#DIV/0!</v>
      </c>
      <c r="AB27" s="10" t="str">
        <f>IFERROR(VLOOKUP(VALUE(IF(L27&lt;1,1,0)&amp;IF(J27&lt;'Факт продаж'!$M$24,0,1)),$AB$1:$AC$4,2,FALSE),"НЕТ ПРОДАЖ")</f>
        <v>НЕТ ПРОДАЖ</v>
      </c>
      <c r="AC27" s="10" t="str">
        <f>IFERROR(VLOOKUP(VALUE(IF(R27&lt;1,1,0)&amp;IF(P27&lt;'Факт продаж'!$V$24,0,1)),$AB$1:$AC$4,2,FALSE),"НЕТ ПРОДАЖ")</f>
        <v>Темная лошадка</v>
      </c>
      <c r="AD27" s="10" t="str">
        <f>IFERROR(VLOOKUP(VALUE(IF(X27&lt;1,1,0)&amp;IF(V27&lt;'Факт продаж'!$AE$24,0,1)),$AB$1:$AC$4,2,FALSE),"НЕТ ПРОДАЖ")</f>
        <v>Собака</v>
      </c>
      <c r="AE27" s="18" t="str">
        <f>IFERROR(VLOOKUP(VALUE(IF(Z27&lt;1,1,0)&amp;IF(V27&lt;'Факт продаж'!$AE$24,0,1)),$AB$1:$AC$4,2,FALSE),"НЕТ ПРОДАЖ")</f>
        <v>НЕТ ПРОДАЖ</v>
      </c>
      <c r="AF27" s="74" t="str">
        <f>VLOOKUP(B27,'ABC расчет'!B:G,6,0)</f>
        <v>C</v>
      </c>
      <c r="AG27" s="74" t="str">
        <f>VLOOKUP(B27,'ABC расчет'!K:P,6,0)</f>
        <v>C</v>
      </c>
      <c r="AH27" s="74" t="str">
        <f>VLOOKUP(B27,'ABC расчет'!T:Y,6,0)</f>
        <v>C</v>
      </c>
      <c r="AI27" s="74" t="str">
        <f>VLOOKUP(B27,'ABC расчет'!AC:AH,6,0)</f>
        <v>C</v>
      </c>
      <c r="AJ27" s="74"/>
      <c r="AK27" s="74"/>
      <c r="AL27" s="5"/>
    </row>
    <row r="28" spans="1:39" x14ac:dyDescent="0.3">
      <c r="A28" s="51" t="s">
        <v>260</v>
      </c>
      <c r="B28" s="21" t="s">
        <v>295</v>
      </c>
      <c r="C28" s="20" t="str">
        <f>IFERROR(VLOOKUP(B28,'Факт продаж'!A:B,2,0),"нет продаж")</f>
        <v>нет продаж</v>
      </c>
      <c r="D28" s="47" t="str">
        <f>IFERROR(VLOOKUP(B28,'Факт продаж'!A:C,3,0),"нет продаж")</f>
        <v>нет продаж</v>
      </c>
      <c r="E28" s="47" t="str">
        <f>IFERROR(VLOOKUP(B28,'Факт продаж'!A:E,5,0),"нет продаж")</f>
        <v>нет продаж</v>
      </c>
      <c r="F28" s="25">
        <f>IFERROR(VLOOKUP(B28,'Факт продаж'!A:C,3,0)/SUM('План Антонова'!$C$11:$C$13),0)</f>
        <v>0</v>
      </c>
      <c r="G28" s="5" t="str">
        <f>IFERROR(VLOOKUP(B28,'Факт продаж'!J:K,2,0),"нет продаж")</f>
        <v>нет продаж</v>
      </c>
      <c r="H28" s="48" t="str">
        <f>IFERROR(VLOOKUP(B28,'Факт продаж'!J:L,3,0),"нет продаж")</f>
        <v>нет продаж</v>
      </c>
      <c r="I28" s="48" t="str">
        <f>IFERROR(VLOOKUP(B28,'Факт продаж'!J:N,5,0),"нет продаж")</f>
        <v>нет продаж</v>
      </c>
      <c r="J28" s="7">
        <f>IFERROR(VLOOKUP(B28,'Факт продаж'!J:L,3,0)/SUM('План Антонова'!$C$14:$C$16),0)</f>
        <v>0</v>
      </c>
      <c r="K28" s="44" t="str">
        <f>IFERROR(VLOOKUP(B28,'Факт продаж'!J:O,6,0),"-")</f>
        <v>-</v>
      </c>
      <c r="L28" s="44" t="e">
        <f>IF(AND(F28=0,J28&gt;0),5,IF(J28/F28&gt;5,5,IF(J28/F28=0,0.0000001,J28/F28)))</f>
        <v>#DIV/0!</v>
      </c>
      <c r="M28" s="5">
        <f>IFERROR(VLOOKUP(B28,'Факт продаж'!S:T,2,0),"нет продаж")</f>
        <v>32</v>
      </c>
      <c r="N28" s="48">
        <f>IFERROR(VLOOKUP(B28,'Факт продаж'!S:U,3,0),"нет продаж")</f>
        <v>33600</v>
      </c>
      <c r="O28" s="48">
        <f>IFERROR(VLOOKUP(B28,'Факт продаж'!S:W,5,0),"нет продаж")</f>
        <v>11621.053624298558</v>
      </c>
      <c r="P28" s="7">
        <f>IFERROR(VLOOKUP(B28,'Факт продаж'!S:U,3,0)/SUM('План Антонова'!$C$17:$C$19),0)</f>
        <v>2.046592923468074E-4</v>
      </c>
      <c r="Q28" s="44">
        <f>IFERROR(VLOOKUP(B28,'Факт продаж'!S:X,6,0),"-")</f>
        <v>1</v>
      </c>
      <c r="R28" s="44">
        <f>IF(AND(J28=0,P28&gt;0),5,IF(P28/J28&gt;5,5,IF(P28/J28=0,0.0000001,P28/J28)))</f>
        <v>5</v>
      </c>
      <c r="S28" s="16" t="str">
        <f>IFERROR(VLOOKUP(B28,'Факт продаж'!AB:AD,2,0),"нет продаж")</f>
        <v>нет продаж</v>
      </c>
      <c r="T28" s="16" t="str">
        <f>IFERROR(VLOOKUP(B28,'Факт продаж'!AB:AD,3,0),"нет продаж")</f>
        <v>нет продаж</v>
      </c>
      <c r="U28" s="16" t="str">
        <f>IFERROR(VLOOKUP(B28,'Факт продаж'!AB:AF,5,0),"нет продаж")</f>
        <v>нет продаж</v>
      </c>
      <c r="V28" s="7">
        <f>IFERROR(VLOOKUP(B28,'Факт продаж'!AB:AD,3,0)/SUM('План Антонова'!$C$20:$C$22),0)</f>
        <v>0</v>
      </c>
      <c r="W28" s="44" t="str">
        <f>IFERROR(VLOOKUP(B28,'Факт продаж'!AB:AG,6,0),"-")</f>
        <v>-</v>
      </c>
      <c r="X28" s="44">
        <f>IF(AND(P28=0,V28&gt;0),5,IF(V28/P28&gt;5,5,IF(V28/P28=0,0.0000001,V28/P28)))</f>
        <v>9.9999999999999995E-8</v>
      </c>
      <c r="Y28" s="44" t="str">
        <f>IFERROR(VLOOKUP(B28,'Факт продаж'!AB:AH,7,0),"-")</f>
        <v>-</v>
      </c>
      <c r="Z28" s="44" t="e">
        <f>IF(AND(F28=0,V28&gt;0),5,IF(V28/F28&gt;5,5,IF(V28/F28=0,0.0000001,V28/F28)))</f>
        <v>#DIV/0!</v>
      </c>
      <c r="AB28" s="10" t="str">
        <f>IFERROR(VLOOKUP(VALUE(IF(L28&lt;1,1,0)&amp;IF(J28&lt;'Факт продаж'!$M$24,0,1)),$AB$1:$AC$4,2,FALSE),"НЕТ ПРОДАЖ")</f>
        <v>НЕТ ПРОДАЖ</v>
      </c>
      <c r="AC28" s="10" t="str">
        <f>IFERROR(VLOOKUP(VALUE(IF(R28&lt;1,1,0)&amp;IF(P28&lt;'Факт продаж'!$V$24,0,1)),$AB$1:$AC$4,2,FALSE),"НЕТ ПРОДАЖ")</f>
        <v>Темная лошадка</v>
      </c>
      <c r="AD28" s="10" t="str">
        <f>IFERROR(VLOOKUP(VALUE(IF(X28&lt;1,1,0)&amp;IF(V28&lt;'Факт продаж'!$AE$24,0,1)),$AB$1:$AC$4,2,FALSE),"НЕТ ПРОДАЖ")</f>
        <v>Собака</v>
      </c>
      <c r="AE28" s="18" t="str">
        <f>IFERROR(VLOOKUP(VALUE(IF(Z28&lt;1,1,0)&amp;IF(V28&lt;'Факт продаж'!$AE$24,0,1)),$AB$1:$AC$4,2,FALSE),"НЕТ ПРОДАЖ")</f>
        <v>НЕТ ПРОДАЖ</v>
      </c>
      <c r="AF28" s="74" t="str">
        <f>VLOOKUP(B28,'ABC расчет'!B:G,6,0)</f>
        <v>C</v>
      </c>
      <c r="AG28" s="74" t="str">
        <f>VLOOKUP(B28,'ABC расчет'!K:P,6,0)</f>
        <v>C</v>
      </c>
      <c r="AH28" s="74" t="str">
        <f>VLOOKUP(B28,'ABC расчет'!T:Y,6,0)</f>
        <v>C</v>
      </c>
      <c r="AI28" s="74" t="str">
        <f>VLOOKUP(B28,'ABC расчет'!AC:AH,6,0)</f>
        <v>C</v>
      </c>
      <c r="AJ28" s="74"/>
      <c r="AK28" s="74"/>
      <c r="AL28" s="5"/>
    </row>
    <row r="29" spans="1:39" x14ac:dyDescent="0.3">
      <c r="A29" s="51" t="s">
        <v>260</v>
      </c>
      <c r="B29" s="21" t="s">
        <v>283</v>
      </c>
      <c r="C29" s="20" t="str">
        <f>IFERROR(VLOOKUP(B29,'Факт продаж'!A:B,2,0),"нет продаж")</f>
        <v>нет продаж</v>
      </c>
      <c r="D29" s="47" t="str">
        <f>IFERROR(VLOOKUP(B29,'Факт продаж'!A:C,3,0),"нет продаж")</f>
        <v>нет продаж</v>
      </c>
      <c r="E29" s="47" t="str">
        <f>IFERROR(VLOOKUP(B29,'Факт продаж'!A:E,5,0),"нет продаж")</f>
        <v>нет продаж</v>
      </c>
      <c r="F29" s="25">
        <f>IFERROR(VLOOKUP(B29,'Факт продаж'!A:C,3,0)/SUM('План Антонова'!$C$11:$C$13),0)</f>
        <v>0</v>
      </c>
      <c r="G29" s="5" t="str">
        <f>IFERROR(VLOOKUP(B29,'Факт продаж'!J:K,2,0),"нет продаж")</f>
        <v>нет продаж</v>
      </c>
      <c r="H29" s="48" t="str">
        <f>IFERROR(VLOOKUP(B29,'Факт продаж'!J:L,3,0),"нет продаж")</f>
        <v>нет продаж</v>
      </c>
      <c r="I29" s="48" t="str">
        <f>IFERROR(VLOOKUP(B29,'Факт продаж'!J:N,5,0),"нет продаж")</f>
        <v>нет продаж</v>
      </c>
      <c r="J29" s="7">
        <f>IFERROR(VLOOKUP(B29,'Факт продаж'!J:L,3,0)/SUM('План Антонова'!$C$14:$C$16),0)</f>
        <v>0</v>
      </c>
      <c r="K29" s="44" t="str">
        <f>IFERROR(VLOOKUP(B29,'Факт продаж'!J:O,6,0),"-")</f>
        <v>-</v>
      </c>
      <c r="L29" s="44" t="e">
        <f>IF(AND(F29=0,J29&gt;0),5,IF(J29/F29&gt;5,5,IF(J29/F29=0,0.0000001,J29/F29)))</f>
        <v>#DIV/0!</v>
      </c>
      <c r="M29" s="5" t="str">
        <f>IFERROR(VLOOKUP(B29,'Факт продаж'!S:T,2,0),"нет продаж")</f>
        <v>нет продаж</v>
      </c>
      <c r="N29" s="48" t="str">
        <f>IFERROR(VLOOKUP(B29,'Факт продаж'!S:U,3,0),"нет продаж")</f>
        <v>нет продаж</v>
      </c>
      <c r="O29" s="48" t="str">
        <f>IFERROR(VLOOKUP(B29,'Факт продаж'!S:W,5,0),"нет продаж")</f>
        <v>нет продаж</v>
      </c>
      <c r="P29" s="7">
        <f>IFERROR(VLOOKUP(B29,'Факт продаж'!S:U,3,0)/SUM('План Антонова'!$C$17:$C$19),0)</f>
        <v>0</v>
      </c>
      <c r="Q29" s="44" t="str">
        <f>IFERROR(VLOOKUP(B29,'Факт продаж'!S:X,6,0),"-")</f>
        <v>-</v>
      </c>
      <c r="R29" s="44" t="e">
        <f>IF(AND(J29=0,P29&gt;0),5,IF(P29/J29&gt;5,5,IF(P29/J29=0,0.0000001,P29/J29)))</f>
        <v>#DIV/0!</v>
      </c>
      <c r="S29" s="16" t="str">
        <f>IFERROR(VLOOKUP(B29,'Факт продаж'!AB:AD,2,0),"нет продаж")</f>
        <v>нет продаж</v>
      </c>
      <c r="T29" s="16" t="str">
        <f>IFERROR(VLOOKUP(B29,'Факт продаж'!AB:AD,3,0),"нет продаж")</f>
        <v>нет продаж</v>
      </c>
      <c r="U29" s="16" t="str">
        <f>IFERROR(VLOOKUP(B29,'Факт продаж'!AB:AF,5,0),"нет продаж")</f>
        <v>нет продаж</v>
      </c>
      <c r="V29" s="7">
        <f>IFERROR(VLOOKUP(B29,'Факт продаж'!AB:AD,3,0)/SUM('План Антонова'!$C$20:$C$22),0)</f>
        <v>0</v>
      </c>
      <c r="W29" s="44" t="str">
        <f>IFERROR(VLOOKUP(B29,'Факт продаж'!AB:AG,6,0),"-")</f>
        <v>-</v>
      </c>
      <c r="X29" s="44" t="e">
        <f>IF(AND(P29=0,V29&gt;0),5,IF(V29/P29&gt;5,5,IF(V29/P29=0,0.0000001,V29/P29)))</f>
        <v>#DIV/0!</v>
      </c>
      <c r="Y29" s="44" t="str">
        <f>IFERROR(VLOOKUP(B29,'Факт продаж'!AB:AH,7,0),"-")</f>
        <v>-</v>
      </c>
      <c r="Z29" s="44" t="e">
        <f>IF(AND(F29=0,V29&gt;0),5,IF(V29/F29&gt;5,5,IF(V29/F29=0,0.0000001,V29/F29)))</f>
        <v>#DIV/0!</v>
      </c>
      <c r="AB29" s="10" t="str">
        <f>IFERROR(VLOOKUP(VALUE(IF(L29&lt;1,1,0)&amp;IF(J29&lt;'Факт продаж'!$M$24,0,1)),$AB$1:$AC$4,2,FALSE),"НЕТ ПРОДАЖ")</f>
        <v>НЕТ ПРОДАЖ</v>
      </c>
      <c r="AC29" s="10" t="str">
        <f>IFERROR(VLOOKUP(VALUE(IF(R29&lt;1,1,0)&amp;IF(P29&lt;'Факт продаж'!$V$24,0,1)),$AB$1:$AC$4,2,FALSE),"НЕТ ПРОДАЖ")</f>
        <v>НЕТ ПРОДАЖ</v>
      </c>
      <c r="AD29" s="10" t="str">
        <f>IFERROR(VLOOKUP(VALUE(IF(X29&lt;1,1,0)&amp;IF(V29&lt;'Факт продаж'!$AE$24,0,1)),$AB$1:$AC$4,2,FALSE),"НЕТ ПРОДАЖ")</f>
        <v>НЕТ ПРОДАЖ</v>
      </c>
      <c r="AE29" s="18" t="str">
        <f>IFERROR(VLOOKUP(VALUE(IF(Z29&lt;1,1,0)&amp;IF(V29&lt;'Факт продаж'!$AE$24,0,1)),$AB$1:$AC$4,2,FALSE),"НЕТ ПРОДАЖ")</f>
        <v>НЕТ ПРОДАЖ</v>
      </c>
      <c r="AF29" s="74" t="str">
        <f>VLOOKUP(B29,'ABC расчет'!B:G,6,0)</f>
        <v>C</v>
      </c>
      <c r="AG29" s="74" t="str">
        <f>VLOOKUP(B29,'ABC расчет'!K:P,6,0)</f>
        <v>C</v>
      </c>
      <c r="AH29" s="74" t="str">
        <f>VLOOKUP(B29,'ABC расчет'!T:Y,6,0)</f>
        <v>C</v>
      </c>
      <c r="AI29" s="74" t="str">
        <f>VLOOKUP(B29,'ABC расчет'!AC:AH,6,0)</f>
        <v>C</v>
      </c>
      <c r="AJ29" s="74"/>
      <c r="AK29" s="74"/>
      <c r="AL29" s="5"/>
    </row>
    <row r="30" spans="1:39" x14ac:dyDescent="0.3">
      <c r="A30" s="51" t="s">
        <v>260</v>
      </c>
      <c r="B30" s="21" t="s">
        <v>238</v>
      </c>
      <c r="C30" s="20" t="str">
        <f>IFERROR(VLOOKUP(B30,'Факт продаж'!A:B,2,0),"нет продаж")</f>
        <v>нет продаж</v>
      </c>
      <c r="D30" s="47" t="str">
        <f>IFERROR(VLOOKUP(B30,'Факт продаж'!A:C,3,0),"нет продаж")</f>
        <v>нет продаж</v>
      </c>
      <c r="E30" s="47" t="str">
        <f>IFERROR(VLOOKUP(B30,'Факт продаж'!A:E,5,0),"нет продаж")</f>
        <v>нет продаж</v>
      </c>
      <c r="F30" s="25">
        <f>IFERROR(VLOOKUP(B30,'Факт продаж'!A:C,3,0)/SUM('План Антонова'!$C$11:$C$13),0)</f>
        <v>0</v>
      </c>
      <c r="G30" s="5" t="str">
        <f>IFERROR(VLOOKUP(B30,'Факт продаж'!J:K,2,0),"нет продаж")</f>
        <v>нет продаж</v>
      </c>
      <c r="H30" s="48" t="str">
        <f>IFERROR(VLOOKUP(B30,'Факт продаж'!J:L,3,0),"нет продаж")</f>
        <v>нет продаж</v>
      </c>
      <c r="I30" s="48" t="str">
        <f>IFERROR(VLOOKUP(B30,'Факт продаж'!J:N,5,0),"нет продаж")</f>
        <v>нет продаж</v>
      </c>
      <c r="J30" s="7">
        <f>IFERROR(VLOOKUP(B30,'Факт продаж'!J:L,3,0)/SUM('План Антонова'!$C$14:$C$16),0)</f>
        <v>0</v>
      </c>
      <c r="K30" s="44" t="str">
        <f>IFERROR(VLOOKUP(B30,'Факт продаж'!J:O,6,0),"-")</f>
        <v>-</v>
      </c>
      <c r="L30" s="44" t="e">
        <f>IF(AND(F30=0,J30&gt;0),5,IF(J30/F30&gt;5,5,IF(J30/F30=0,0.0000001,J30/F30)))</f>
        <v>#DIV/0!</v>
      </c>
      <c r="M30" s="5">
        <f>IFERROR(VLOOKUP(B30,'Факт продаж'!S:T,2,0),"нет продаж")</f>
        <v>47</v>
      </c>
      <c r="N30" s="48">
        <f>IFERROR(VLOOKUP(B30,'Факт продаж'!S:U,3,0),"нет продаж")</f>
        <v>65410.239999999998</v>
      </c>
      <c r="O30" s="48">
        <f>IFERROR(VLOOKUP(B30,'Факт продаж'!S:W,5,0),"нет продаж")</f>
        <v>23127.442452603871</v>
      </c>
      <c r="P30" s="7">
        <f>IFERROR(VLOOKUP(B30,'Факт продаж'!S:U,3,0)/SUM('План Антонова'!$C$17:$C$19),0)</f>
        <v>3.9841706638794156E-4</v>
      </c>
      <c r="Q30" s="44">
        <f>IFERROR(VLOOKUP(B30,'Факт продаж'!S:X,6,0),"-")</f>
        <v>1</v>
      </c>
      <c r="R30" s="44">
        <f>IF(AND(J30=0,P30&gt;0),5,IF(P30/J30&gt;5,5,IF(P30/J30=0,0.0000001,P30/J30)))</f>
        <v>5</v>
      </c>
      <c r="S30" s="16" t="str">
        <f>IFERROR(VLOOKUP(B30,'Факт продаж'!AB:AD,2,0),"нет продаж")</f>
        <v>нет продаж</v>
      </c>
      <c r="T30" s="16" t="str">
        <f>IFERROR(VLOOKUP(B30,'Факт продаж'!AB:AD,3,0),"нет продаж")</f>
        <v>нет продаж</v>
      </c>
      <c r="U30" s="16" t="str">
        <f>IFERROR(VLOOKUP(B30,'Факт продаж'!AB:AF,5,0),"нет продаж")</f>
        <v>нет продаж</v>
      </c>
      <c r="V30" s="7">
        <f>IFERROR(VLOOKUP(B30,'Факт продаж'!AB:AD,3,0)/SUM('План Антонова'!$C$20:$C$22),0)</f>
        <v>0</v>
      </c>
      <c r="W30" s="44" t="str">
        <f>IFERROR(VLOOKUP(B30,'Факт продаж'!AB:AG,6,0),"-")</f>
        <v>-</v>
      </c>
      <c r="X30" s="44">
        <f>IF(AND(P30=0,V30&gt;0),5,IF(V30/P30&gt;5,5,IF(V30/P30=0,0.0000001,V30/P30)))</f>
        <v>9.9999999999999995E-8</v>
      </c>
      <c r="Y30" s="44" t="str">
        <f>IFERROR(VLOOKUP(B30,'Факт продаж'!AB:AH,7,0),"-")</f>
        <v>-</v>
      </c>
      <c r="Z30" s="44" t="e">
        <f>IF(AND(F30=0,V30&gt;0),5,IF(V30/F30&gt;5,5,IF(V30/F30=0,0.0000001,V30/F30)))</f>
        <v>#DIV/0!</v>
      </c>
      <c r="AB30" s="10" t="str">
        <f>IFERROR(VLOOKUP(VALUE(IF(L30&lt;1,1,0)&amp;IF(J30&lt;'Факт продаж'!$M$24,0,1)),$AB$1:$AC$4,2,FALSE),"НЕТ ПРОДАЖ")</f>
        <v>НЕТ ПРОДАЖ</v>
      </c>
      <c r="AC30" s="10" t="str">
        <f>IFERROR(VLOOKUP(VALUE(IF(R30&lt;1,1,0)&amp;IF(P30&lt;'Факт продаж'!$V$24,0,1)),$AB$1:$AC$4,2,FALSE),"НЕТ ПРОДАЖ")</f>
        <v>Темная лошадка</v>
      </c>
      <c r="AD30" s="10" t="str">
        <f>IFERROR(VLOOKUP(VALUE(IF(X30&lt;1,1,0)&amp;IF(V30&lt;'Факт продаж'!$AE$24,0,1)),$AB$1:$AC$4,2,FALSE),"НЕТ ПРОДАЖ")</f>
        <v>Собака</v>
      </c>
      <c r="AE30" s="18" t="str">
        <f>IFERROR(VLOOKUP(VALUE(IF(Z30&lt;1,1,0)&amp;IF(V30&lt;'Факт продаж'!$AE$24,0,1)),$AB$1:$AC$4,2,FALSE),"НЕТ ПРОДАЖ")</f>
        <v>НЕТ ПРОДАЖ</v>
      </c>
      <c r="AF30" s="74" t="str">
        <f>VLOOKUP(B30,'ABC расчет'!B:G,6,0)</f>
        <v>C</v>
      </c>
      <c r="AG30" s="74" t="str">
        <f>VLOOKUP(B30,'ABC расчет'!K:P,6,0)</f>
        <v>C</v>
      </c>
      <c r="AH30" s="74" t="str">
        <f>VLOOKUP(B30,'ABC расчет'!T:Y,6,0)</f>
        <v>B</v>
      </c>
      <c r="AI30" s="74" t="str">
        <f>VLOOKUP(B30,'ABC расчет'!AC:AH,6,0)</f>
        <v>C</v>
      </c>
      <c r="AJ30" s="74"/>
      <c r="AK30" s="74"/>
      <c r="AL30" s="5"/>
    </row>
    <row r="31" spans="1:39" x14ac:dyDescent="0.3">
      <c r="A31" s="51" t="s">
        <v>259</v>
      </c>
      <c r="B31" s="21" t="s">
        <v>51</v>
      </c>
      <c r="C31" s="20">
        <f>IFERROR(VLOOKUP(B31,'Факт продаж'!A:B,2,0),"нет продаж")</f>
        <v>58314</v>
      </c>
      <c r="D31" s="47">
        <f>IFERROR(VLOOKUP(B31,'Факт продаж'!A:C,3,0),"нет продаж")</f>
        <v>33211394.578999996</v>
      </c>
      <c r="E31" s="47">
        <f>IFERROR(VLOOKUP(B31,'Факт продаж'!A:E,5,0),"нет продаж")</f>
        <v>11142891.326808158</v>
      </c>
      <c r="F31" s="25">
        <f>IFERROR(VLOOKUP(B31,'Факт продаж'!A:C,3,0)/SUM('План Антонова'!$C$11:$C$13),0)</f>
        <v>0.25217763706762264</v>
      </c>
      <c r="G31" s="5">
        <f>IFERROR(VLOOKUP(B31,'Факт продаж'!J:K,2,0),"нет продаж")</f>
        <v>16128</v>
      </c>
      <c r="H31" s="48">
        <f>IFERROR(VLOOKUP(B31,'Факт продаж'!J:L,3,0),"нет продаж")</f>
        <v>11415961.578</v>
      </c>
      <c r="I31" s="48">
        <f>IFERROR(VLOOKUP(B31,'Факт продаж'!J:N,5,0),"нет продаж")</f>
        <v>5288821.0430809539</v>
      </c>
      <c r="J31" s="7">
        <f>IFERROR(VLOOKUP(B31,'Факт продаж'!J:L,3,0)/SUM('План Антонова'!$C$14:$C$16),0)</f>
        <v>7.8825619096214911E-2</v>
      </c>
      <c r="K31" s="44">
        <f>IFERROR(VLOOKUP(B31,'Факт продаж'!J:O,6,0),"-")</f>
        <v>-0.52536367016729058</v>
      </c>
      <c r="L31" s="44">
        <f>IF(AND(F31=0,J31&gt;0),5,IF(J31/F31&gt;5,5,IF(J31/F31=0,0.0000001,J31/F31)))</f>
        <v>0.31257973551031981</v>
      </c>
      <c r="M31" s="5">
        <f>IFERROR(VLOOKUP(B31,'Факт продаж'!S:T,2,0),"нет продаж")</f>
        <v>26424</v>
      </c>
      <c r="N31" s="48">
        <f>IFERROR(VLOOKUP(B31,'Факт продаж'!S:U,3,0),"нет продаж")</f>
        <v>18664231.252000004</v>
      </c>
      <c r="O31" s="48">
        <f>IFERROR(VLOOKUP(B31,'Факт продаж'!S:W,5,0),"нет продаж")</f>
        <v>8172665.4890044574</v>
      </c>
      <c r="P31" s="7">
        <f>IFERROR(VLOOKUP(B31,'Факт продаж'!S:U,3,0)/SUM('План Антонова'!$C$17:$C$19),0)</f>
        <v>0.11368477262593715</v>
      </c>
      <c r="Q31" s="44">
        <f>IFERROR(VLOOKUP(B31,'Факт продаж'!S:X,6,0),"-")</f>
        <v>0.54527170090133104</v>
      </c>
      <c r="R31" s="44">
        <f>IF(AND(J31=0,P31&gt;0),5,IF(P31/J31&gt;5,5,IF(P31/J31=0,0.0000001,P31/J31)))</f>
        <v>1.4422312685825278</v>
      </c>
      <c r="S31" s="16">
        <f>IFERROR(VLOOKUP(B31,'Факт продаж'!AB:AD,2,0),"нет продаж")</f>
        <v>23552</v>
      </c>
      <c r="T31" s="16">
        <f>IFERROR(VLOOKUP(B31,'Факт продаж'!AB:AD,3,0),"нет продаж")</f>
        <v>17523160.2936</v>
      </c>
      <c r="U31" s="16">
        <f>IFERROR(VLOOKUP(B31,'Факт продаж'!AB:AF,5,0),"нет продаж")</f>
        <v>7659630.8412746582</v>
      </c>
      <c r="V31" s="7">
        <f>IFERROR(VLOOKUP(B31,'Факт продаж'!AB:AD,3,0)/SUM('План Антонова'!$C$20:$C$22),0)</f>
        <v>0.11387771309974741</v>
      </c>
      <c r="W31" s="44">
        <f>IFERROR(VLOOKUP(B31,'Факт продаж'!AB:AG,6,0),"-")</f>
        <v>-6.2774458151999335E-2</v>
      </c>
      <c r="X31" s="44">
        <f>IF(AND(P31=0,V31&gt;0),5,IF(V31/P31&gt;5,5,IF(V31/P31=0,0.0000001,V31/P31)))</f>
        <v>1.0016971531837875</v>
      </c>
      <c r="Y31" s="44">
        <f>IFERROR(VLOOKUP(B31,'Факт продаж'!AB:AH,7,0),"-")</f>
        <v>-0.3125993409944946</v>
      </c>
      <c r="Z31" s="44">
        <f>IF(AND(F31=0,V31&gt;0),5,IF(V31/F31&gt;5,5,IF(V31/F31=0,0.0000001,V31/F31)))</f>
        <v>0.45157736595497783</v>
      </c>
      <c r="AB31" s="10" t="str">
        <f>IFERROR(VLOOKUP(VALUE(IF(L31&lt;1,1,0)&amp;IF(J31&lt;'Факт продаж'!$M$24,0,1)),$AB$1:$AC$4,2,FALSE),"НЕТ ПРОДАЖ")</f>
        <v>Корова</v>
      </c>
      <c r="AC31" s="10" t="str">
        <f>IFERROR(VLOOKUP(VALUE(IF(R31&lt;1,1,0)&amp;IF(P31&lt;'Факт продаж'!$V$24,0,1)),$AB$1:$AC$4,2,FALSE),"НЕТ ПРОДАЖ")</f>
        <v>Звезда</v>
      </c>
      <c r="AD31" s="10" t="str">
        <f>IFERROR(VLOOKUP(VALUE(IF(X31&lt;1,1,0)&amp;IF(V31&lt;'Факт продаж'!$AE$24,0,1)),$AB$1:$AC$4,2,FALSE),"НЕТ ПРОДАЖ")</f>
        <v>Звезда</v>
      </c>
      <c r="AE31" s="18" t="str">
        <f>IFERROR(VLOOKUP(VALUE(IF(Z31&lt;1,1,0)&amp;IF(V31&lt;'Факт продаж'!$AE$24,0,1)),$AB$1:$AC$4,2,FALSE),"НЕТ ПРОДАЖ")</f>
        <v>Корова</v>
      </c>
      <c r="AF31" s="74" t="str">
        <f>VLOOKUP(B31,'ABC расчет'!B:G,6,0)</f>
        <v>A</v>
      </c>
      <c r="AG31" s="74" t="str">
        <f>VLOOKUP(B31,'ABC расчет'!K:P,6,0)</f>
        <v>A</v>
      </c>
      <c r="AH31" s="74" t="str">
        <f>VLOOKUP(B31,'ABC расчет'!T:Y,6,0)</f>
        <v>A</v>
      </c>
      <c r="AI31" s="74" t="str">
        <f>VLOOKUP(B31,'ABC расчет'!AC:AH,6,0)</f>
        <v>A</v>
      </c>
      <c r="AJ31" s="74"/>
      <c r="AK31" s="74"/>
      <c r="AL31" s="5"/>
    </row>
    <row r="32" spans="1:39" x14ac:dyDescent="0.3">
      <c r="A32" s="51" t="s">
        <v>259</v>
      </c>
      <c r="B32" s="21" t="s">
        <v>81</v>
      </c>
      <c r="C32" s="20">
        <f>IFERROR(VLOOKUP(B32,'Факт продаж'!A:B,2,0),"нет продаж")</f>
        <v>785</v>
      </c>
      <c r="D32" s="47">
        <f>IFERROR(VLOOKUP(B32,'Факт продаж'!A:C,3,0),"нет продаж")</f>
        <v>1160120.8865999999</v>
      </c>
      <c r="E32" s="47">
        <f>IFERROR(VLOOKUP(B32,'Факт продаж'!A:E,5,0),"нет продаж")</f>
        <v>562386.0374813223</v>
      </c>
      <c r="F32" s="25">
        <f>IFERROR(VLOOKUP(B32,'Факт продаж'!A:C,3,0)/SUM('План Антонова'!$C$11:$C$13),0)</f>
        <v>8.8089207816816791E-3</v>
      </c>
      <c r="G32" s="5">
        <f>IFERROR(VLOOKUP(B32,'Факт продаж'!J:K,2,0),"нет продаж")</f>
        <v>2213</v>
      </c>
      <c r="H32" s="48">
        <f>IFERROR(VLOOKUP(B32,'Факт продаж'!J:L,3,0),"нет продаж")</f>
        <v>4340297.2</v>
      </c>
      <c r="I32" s="48">
        <f>IFERROR(VLOOKUP(B32,'Факт продаж'!J:N,5,0),"нет продаж")</f>
        <v>2065394.1804787468</v>
      </c>
      <c r="J32" s="7">
        <f>IFERROR(VLOOKUP(B32,'Факт продаж'!J:L,3,0)/SUM('План Антонова'!$C$14:$C$16),0)</f>
        <v>2.9969145526110508E-2</v>
      </c>
      <c r="K32" s="44">
        <f>IFERROR(VLOOKUP(B32,'Факт продаж'!J:O,6,0),"-")</f>
        <v>2.6725559363613143</v>
      </c>
      <c r="L32" s="44">
        <f>IF(AND(F32=0,J32&gt;0),5,IF(J32/F32&gt;5,5,IF(J32/F32=0,0.0000001,J32/F32)))</f>
        <v>3.4021358880229604</v>
      </c>
      <c r="M32" s="5">
        <f>IFERROR(VLOOKUP(B32,'Факт продаж'!S:T,2,0),"нет продаж")</f>
        <v>1850</v>
      </c>
      <c r="N32" s="48">
        <f>IFERROR(VLOOKUP(B32,'Факт продаж'!S:U,3,0),"нет продаж")</f>
        <v>3479076.149999999</v>
      </c>
      <c r="O32" s="48">
        <f>IFERROR(VLOOKUP(B32,'Факт продаж'!S:W,5,0),"нет продаж")</f>
        <v>1520770.0417655569</v>
      </c>
      <c r="P32" s="7">
        <f>IFERROR(VLOOKUP(B32,'Факт продаж'!S:U,3,0)/SUM('План Антонова'!$C$17:$C$19),0)</f>
        <v>2.1191228061894492E-2</v>
      </c>
      <c r="Q32" s="44">
        <f>IFERROR(VLOOKUP(B32,'Факт продаж'!S:X,6,0),"-")</f>
        <v>-0.26369016813388568</v>
      </c>
      <c r="R32" s="44">
        <f>IF(AND(J32=0,P32&gt;0),5,IF(P32/J32&gt;5,5,IF(P32/J32=0,0.0000001,P32/J32)))</f>
        <v>0.70710151023263956</v>
      </c>
      <c r="S32" s="16">
        <f>IFERROR(VLOOKUP(B32,'Факт продаж'!AB:AD,2,0),"нет продаж")</f>
        <v>2800</v>
      </c>
      <c r="T32" s="16">
        <f>IFERROR(VLOOKUP(B32,'Факт продаж'!AB:AD,3,0),"нет продаж")</f>
        <v>5565556.7999999989</v>
      </c>
      <c r="U32" s="16">
        <f>IFERROR(VLOOKUP(B32,'Факт продаж'!AB:AF,5,0),"нет продаж")</f>
        <v>2595520.3159436677</v>
      </c>
      <c r="V32" s="7">
        <f>IFERROR(VLOOKUP(B32,'Факт продаж'!AB:AD,3,0)/SUM('План Антонова'!$C$20:$C$22),0)</f>
        <v>3.6168868508395076E-2</v>
      </c>
      <c r="W32" s="44">
        <f>IFERROR(VLOOKUP(B32,'Факт продаж'!AB:AG,6,0),"-")</f>
        <v>0.70671452268376234</v>
      </c>
      <c r="X32" s="44">
        <f>IF(AND(P32=0,V32&gt;0),5,IF(V32/P32&gt;5,5,IF(V32/P32=0,0.0000001,V32/P32)))</f>
        <v>1.7067849207584616</v>
      </c>
      <c r="Y32" s="44">
        <f>IFERROR(VLOOKUP(B32,'Факт продаж'!AB:AH,7,0),"-")</f>
        <v>3.6151933777869951</v>
      </c>
      <c r="Z32" s="44">
        <f>IF(AND(F32=0,V32&gt;0),5,IF(V32/F32&gt;5,5,IF(V32/F32=0,0.0000001,V32/F32)))</f>
        <v>4.1059364029710581</v>
      </c>
      <c r="AB32" s="10" t="str">
        <f>IFERROR(VLOOKUP(VALUE(IF(L32&lt;1,1,0)&amp;IF(J32&lt;'Факт продаж'!$M$24,0,1)),$AB$1:$AC$4,2,FALSE),"НЕТ ПРОДАЖ")</f>
        <v>Звезда</v>
      </c>
      <c r="AC32" s="10" t="str">
        <f>IFERROR(VLOOKUP(VALUE(IF(R32&lt;1,1,0)&amp;IF(P32&lt;'Факт продаж'!$V$24,0,1)),$AB$1:$AC$4,2,FALSE),"НЕТ ПРОДАЖ")</f>
        <v>Корова</v>
      </c>
      <c r="AD32" s="10" t="str">
        <f>IFERROR(VLOOKUP(VALUE(IF(X32&lt;1,1,0)&amp;IF(V32&lt;'Факт продаж'!$AE$24,0,1)),$AB$1:$AC$4,2,FALSE),"НЕТ ПРОДАЖ")</f>
        <v>Звезда</v>
      </c>
      <c r="AE32" s="18" t="str">
        <f>IFERROR(VLOOKUP(VALUE(IF(Z32&lt;1,1,0)&amp;IF(V32&lt;'Факт продаж'!$AE$24,0,1)),$AB$1:$AC$4,2,FALSE),"НЕТ ПРОДАЖ")</f>
        <v>Звезда</v>
      </c>
      <c r="AF32" s="74" t="str">
        <f>VLOOKUP(B32,'ABC расчет'!B:G,6,0)</f>
        <v>B</v>
      </c>
      <c r="AG32" s="74" t="str">
        <f>VLOOKUP(B32,'ABC расчет'!K:P,6,0)</f>
        <v>A</v>
      </c>
      <c r="AH32" s="74" t="str">
        <f>VLOOKUP(B32,'ABC расчет'!T:Y,6,0)</f>
        <v>A</v>
      </c>
      <c r="AI32" s="74" t="str">
        <f>VLOOKUP(B32,'ABC расчет'!AC:AH,6,0)</f>
        <v>A</v>
      </c>
      <c r="AJ32" s="74"/>
      <c r="AK32" s="74"/>
      <c r="AL32" s="5"/>
    </row>
    <row r="33" spans="1:38" x14ac:dyDescent="0.3">
      <c r="A33" s="51" t="s">
        <v>251</v>
      </c>
      <c r="B33" s="21" t="s">
        <v>203</v>
      </c>
      <c r="C33" s="20">
        <f>IFERROR(VLOOKUP(B33,'Факт продаж'!A:B,2,0),"нет продаж")</f>
        <v>8</v>
      </c>
      <c r="D33" s="47">
        <f>IFERROR(VLOOKUP(B33,'Факт продаж'!A:C,3,0),"нет продаж")</f>
        <v>32340.920599999998</v>
      </c>
      <c r="E33" s="47">
        <f>IFERROR(VLOOKUP(B33,'Факт продаж'!A:E,5,0),"нет продаж")</f>
        <v>15388.982558291846</v>
      </c>
      <c r="F33" s="25">
        <f>IFERROR(VLOOKUP(B33,'Факт продаж'!A:C,3,0)/SUM('План Антонова'!$C$11:$C$13),0)</f>
        <v>2.4556803593717586E-4</v>
      </c>
      <c r="G33" s="5">
        <f>IFERROR(VLOOKUP(B33,'Факт продаж'!J:K,2,0),"нет продаж")</f>
        <v>2423</v>
      </c>
      <c r="H33" s="48">
        <f>IFERROR(VLOOKUP(B33,'Факт продаж'!J:L,3,0),"нет продаж")</f>
        <v>12103475.579999998</v>
      </c>
      <c r="I33" s="48">
        <f>IFERROR(VLOOKUP(B33,'Факт продаж'!J:N,5,0),"нет продаж")</f>
        <v>5599943.9967184905</v>
      </c>
      <c r="J33" s="7">
        <f>IFERROR(VLOOKUP(B33,'Факт продаж'!J:L,3,0)/SUM('План Антонова'!$C$14:$C$16),0)</f>
        <v>8.3572807186739359E-2</v>
      </c>
      <c r="K33" s="44">
        <f>IFERROR(VLOOKUP(B33,'Факт продаж'!J:O,6,0),"-")</f>
        <v>362.89306281337912</v>
      </c>
      <c r="L33" s="44">
        <f>IF(AND(F33=0,J33&gt;0),5,IF(J33/F33&gt;5,5,IF(J33/F33=0,0.0000001,J33/F33)))</f>
        <v>5</v>
      </c>
      <c r="M33" s="5">
        <f>IFERROR(VLOOKUP(B33,'Факт продаж'!S:T,2,0),"нет продаж")</f>
        <v>2329</v>
      </c>
      <c r="N33" s="48">
        <f>IFERROR(VLOOKUP(B33,'Факт продаж'!S:U,3,0),"нет продаж")</f>
        <v>12088900.400000002</v>
      </c>
      <c r="O33" s="48">
        <f>IFERROR(VLOOKUP(B33,'Факт продаж'!S:W,5,0),"нет продаж")</f>
        <v>4709634.7162936684</v>
      </c>
      <c r="P33" s="7">
        <f>IFERROR(VLOOKUP(B33,'Факт продаж'!S:U,3,0)/SUM('План Антонова'!$C$17:$C$19),0)</f>
        <v>7.3634101223661833E-2</v>
      </c>
      <c r="Q33" s="44">
        <f>IFERROR(VLOOKUP(B33,'Факт продаж'!S:X,6,0),"-")</f>
        <v>-0.15898539002292422</v>
      </c>
      <c r="R33" s="44">
        <f>IF(AND(J33=0,P33&gt;0),5,IF(P33/J33&gt;5,5,IF(P33/J33=0,0.0000001,P33/J33)))</f>
        <v>0.8810772750415099</v>
      </c>
      <c r="S33" s="16">
        <f>IFERROR(VLOOKUP(B33,'Факт продаж'!AB:AD,2,0),"нет продаж")</f>
        <v>1074</v>
      </c>
      <c r="T33" s="16">
        <f>IFERROR(VLOOKUP(B33,'Факт продаж'!AB:AD,3,0),"нет продаж")</f>
        <v>5744080.1567000002</v>
      </c>
      <c r="U33" s="16">
        <f>IFERROR(VLOOKUP(B33,'Факт продаж'!AB:AF,5,0),"нет продаж")</f>
        <v>2375375.5103218034</v>
      </c>
      <c r="V33" s="7">
        <f>IFERROR(VLOOKUP(B33,'Факт продаж'!AB:AD,3,0)/SUM('План Антонова'!$C$20:$C$22),0)</f>
        <v>3.7329037750430241E-2</v>
      </c>
      <c r="W33" s="44">
        <f>IFERROR(VLOOKUP(B33,'Факт продаж'!AB:AG,6,0),"-")</f>
        <v>-0.4956348733153666</v>
      </c>
      <c r="X33" s="44">
        <f>IF(AND(P33=0,V33&gt;0),5,IF(V33/P33&gt;5,5,IF(V33/P33=0,0.0000001,V33/P33)))</f>
        <v>0.50695312538743664</v>
      </c>
      <c r="Y33" s="44">
        <f>IFERROR(VLOOKUP(B33,'Факт продаж'!AB:AH,7,0),"-")</f>
        <v>153.35559182188499</v>
      </c>
      <c r="Z33" s="44">
        <f>IF(AND(F33=0,V33&gt;0),5,IF(V33/F33&gt;5,5,IF(V33/F33=0,0.0000001,V33/F33)))</f>
        <v>5</v>
      </c>
      <c r="AB33" s="10" t="str">
        <f>IFERROR(VLOOKUP(VALUE(IF(L33&lt;1,1,0)&amp;IF(J33&lt;'Факт продаж'!$M$24,0,1)),$AB$1:$AC$4,2,FALSE),"НЕТ ПРОДАЖ")</f>
        <v>Звезда</v>
      </c>
      <c r="AC33" s="10" t="str">
        <f>IFERROR(VLOOKUP(VALUE(IF(R33&lt;1,1,0)&amp;IF(P33&lt;'Факт продаж'!$V$24,0,1)),$AB$1:$AC$4,2,FALSE),"НЕТ ПРОДАЖ")</f>
        <v>Корова</v>
      </c>
      <c r="AD33" s="10" t="str">
        <f>IFERROR(VLOOKUP(VALUE(IF(X33&lt;1,1,0)&amp;IF(V33&lt;'Факт продаж'!$AE$24,0,1)),$AB$1:$AC$4,2,FALSE),"НЕТ ПРОДАЖ")</f>
        <v>Корова</v>
      </c>
      <c r="AE33" s="18" t="str">
        <f>IFERROR(VLOOKUP(VALUE(IF(Z33&lt;1,1,0)&amp;IF(V33&lt;'Факт продаж'!$AE$24,0,1)),$AB$1:$AC$4,2,FALSE),"НЕТ ПРОДАЖ")</f>
        <v>Звезда</v>
      </c>
      <c r="AF33" s="74" t="str">
        <f>VLOOKUP(B33,'ABC расчет'!B:G,6,0)</f>
        <v>C</v>
      </c>
      <c r="AG33" s="74" t="str">
        <f>VLOOKUP(B33,'ABC расчет'!K:P,6,0)</f>
        <v>A</v>
      </c>
      <c r="AH33" s="74" t="str">
        <f>VLOOKUP(B33,'ABC расчет'!T:Y,6,0)</f>
        <v>A</v>
      </c>
      <c r="AI33" s="74" t="str">
        <f>VLOOKUP(B33,'ABC расчет'!AC:AH,6,0)</f>
        <v>A</v>
      </c>
      <c r="AJ33" s="74" t="s">
        <v>452</v>
      </c>
      <c r="AK33" s="74"/>
      <c r="AL33" s="19"/>
    </row>
    <row r="34" spans="1:38" x14ac:dyDescent="0.3">
      <c r="A34" s="51" t="s">
        <v>251</v>
      </c>
      <c r="B34" s="21" t="s">
        <v>174</v>
      </c>
      <c r="C34" s="20">
        <f>IFERROR(VLOOKUP(B34,'Факт продаж'!A:B,2,0),"нет продаж")</f>
        <v>61</v>
      </c>
      <c r="D34" s="47">
        <f>IFERROR(VLOOKUP(B34,'Факт продаж'!A:C,3,0),"нет продаж")</f>
        <v>250167.27650000004</v>
      </c>
      <c r="E34" s="47">
        <f>IFERROR(VLOOKUP(B34,'Факт продаж'!A:E,5,0),"нет продаж")</f>
        <v>112450.41533394146</v>
      </c>
      <c r="F34" s="25">
        <f>IFERROR(VLOOKUP(B34,'Факт продаж'!A:C,3,0)/SUM('План Антонова'!$C$11:$C$13),0)</f>
        <v>1.8995466302792082E-3</v>
      </c>
      <c r="G34" s="5">
        <f>IFERROR(VLOOKUP(B34,'Факт продаж'!J:K,2,0),"нет продаж")</f>
        <v>954</v>
      </c>
      <c r="H34" s="48">
        <f>IFERROR(VLOOKUP(B34,'Факт продаж'!J:L,3,0),"нет продаж")</f>
        <v>4916371.1512999991</v>
      </c>
      <c r="I34" s="48">
        <f>IFERROR(VLOOKUP(B34,'Факт продаж'!J:N,5,0),"нет продаж")</f>
        <v>2330055.1019408535</v>
      </c>
      <c r="J34" s="7">
        <f>IFERROR(VLOOKUP(B34,'Факт продаж'!J:L,3,0)/SUM('План Антонова'!$C$14:$C$16),0)</f>
        <v>3.3946855642438753E-2</v>
      </c>
      <c r="K34" s="44">
        <f>IFERROR(VLOOKUP(B34,'Факт продаж'!J:O,6,0),"-")</f>
        <v>19.720733623093711</v>
      </c>
      <c r="L34" s="44">
        <f>IF(AND(F34=0,J34&gt;0),5,IF(J34/F34&gt;5,5,IF(J34/F34=0,0.0000001,J34/F34)))</f>
        <v>5</v>
      </c>
      <c r="M34" s="5">
        <f>IFERROR(VLOOKUP(B34,'Факт продаж'!S:T,2,0),"нет продаж")</f>
        <v>1172</v>
      </c>
      <c r="N34" s="48">
        <f>IFERROR(VLOOKUP(B34,'Факт продаж'!S:U,3,0),"нет продаж")</f>
        <v>6188129.2999999989</v>
      </c>
      <c r="O34" s="48">
        <f>IFERROR(VLOOKUP(B34,'Факт продаж'!S:W,5,0),"нет продаж")</f>
        <v>2519842.1186260264</v>
      </c>
      <c r="P34" s="7">
        <f>IFERROR(VLOOKUP(B34,'Факт продаж'!S:U,3,0)/SUM('План Антонова'!$C$17:$C$19),0)</f>
        <v>3.7692207246682874E-2</v>
      </c>
      <c r="Q34" s="44">
        <f>IFERROR(VLOOKUP(B34,'Факт продаж'!S:X,6,0),"-")</f>
        <v>8.1451728985759697E-2</v>
      </c>
      <c r="R34" s="44">
        <f>IF(AND(J34=0,P34&gt;0),5,IF(P34/J34&gt;5,5,IF(P34/J34=0,0.0000001,P34/J34)))</f>
        <v>1.1103298533358672</v>
      </c>
      <c r="S34" s="16">
        <f>IFERROR(VLOOKUP(B34,'Факт продаж'!AB:AD,2,0),"нет продаж")</f>
        <v>614</v>
      </c>
      <c r="T34" s="16">
        <f>IFERROR(VLOOKUP(B34,'Факт продаж'!AB:AD,3,0),"нет продаж")</f>
        <v>3500784.5649999999</v>
      </c>
      <c r="U34" s="16">
        <f>IFERROR(VLOOKUP(B34,'Факт продаж'!AB:AF,5,0),"нет продаж")</f>
        <v>1566355.7328283417</v>
      </c>
      <c r="V34" s="7">
        <f>IFERROR(VLOOKUP(B34,'Факт продаж'!AB:AD,3,0)/SUM('План Антонова'!$C$20:$C$22),0)</f>
        <v>2.275053892320425E-2</v>
      </c>
      <c r="W34" s="44">
        <f>IFERROR(VLOOKUP(B34,'Факт продаж'!AB:AG,6,0),"-")</f>
        <v>-0.37839132013460608</v>
      </c>
      <c r="X34" s="44">
        <f>IF(AND(P34=0,V34&gt;0),5,IF(V34/P34&gt;5,5,IF(V34/P34=0,0.0000001,V34/P34)))</f>
        <v>0.60358733502417594</v>
      </c>
      <c r="Y34" s="44">
        <f>IFERROR(VLOOKUP(B34,'Факт продаж'!AB:AH,7,0),"-")</f>
        <v>12.929301445234954</v>
      </c>
      <c r="Z34" s="44">
        <f>IF(AND(F34=0,V34&gt;0),5,IF(V34/F34&gt;5,5,IF(V34/F34=0,0.0000001,V34/F34)))</f>
        <v>5</v>
      </c>
      <c r="AB34" s="10" t="str">
        <f>IFERROR(VLOOKUP(VALUE(IF(L34&lt;1,1,0)&amp;IF(J34&lt;'Факт продаж'!$M$24,0,1)),$AB$1:$AC$4,2,FALSE),"НЕТ ПРОДАЖ")</f>
        <v>Звезда</v>
      </c>
      <c r="AC34" s="10" t="str">
        <f>IFERROR(VLOOKUP(VALUE(IF(R34&lt;1,1,0)&amp;IF(P34&lt;'Факт продаж'!$V$24,0,1)),$AB$1:$AC$4,2,FALSE),"НЕТ ПРОДАЖ")</f>
        <v>Звезда</v>
      </c>
      <c r="AD34" s="10" t="str">
        <f>IFERROR(VLOOKUP(VALUE(IF(X34&lt;1,1,0)&amp;IF(V34&lt;'Факт продаж'!$AE$24,0,1)),$AB$1:$AC$4,2,FALSE),"НЕТ ПРОДАЖ")</f>
        <v>Корова</v>
      </c>
      <c r="AE34" s="18" t="str">
        <f>IFERROR(VLOOKUP(VALUE(IF(Z34&lt;1,1,0)&amp;IF(V34&lt;'Факт продаж'!$AE$24,0,1)),$AB$1:$AC$4,2,FALSE),"НЕТ ПРОДАЖ")</f>
        <v>Звезда</v>
      </c>
      <c r="AF34" s="74" t="str">
        <f>VLOOKUP(B34,'ABC расчет'!B:G,6,0)</f>
        <v>B</v>
      </c>
      <c r="AG34" s="74" t="str">
        <f>VLOOKUP(B34,'ABC расчет'!K:P,6,0)</f>
        <v>A</v>
      </c>
      <c r="AH34" s="74" t="str">
        <f>VLOOKUP(B34,'ABC расчет'!T:Y,6,0)</f>
        <v>A</v>
      </c>
      <c r="AI34" s="74" t="str">
        <f>VLOOKUP(B34,'ABC расчет'!AC:AH,6,0)</f>
        <v>A</v>
      </c>
      <c r="AJ34" s="74" t="s">
        <v>452</v>
      </c>
      <c r="AK34" s="74"/>
      <c r="AL34" s="19"/>
    </row>
    <row r="35" spans="1:38" x14ac:dyDescent="0.3">
      <c r="A35" s="51" t="s">
        <v>251</v>
      </c>
      <c r="B35" s="21" t="s">
        <v>18</v>
      </c>
      <c r="C35" s="20">
        <f>IFERROR(VLOOKUP(B35,'Факт продаж'!A:B,2,0),"нет продаж")</f>
        <v>173</v>
      </c>
      <c r="D35" s="47">
        <f>IFERROR(VLOOKUP(B35,'Факт продаж'!A:C,3,0),"нет продаж")</f>
        <v>541713.01650000003</v>
      </c>
      <c r="E35" s="47">
        <f>IFERROR(VLOOKUP(B35,'Факт продаж'!A:E,5,0),"нет продаж")</f>
        <v>233417.76597585055</v>
      </c>
      <c r="F35" s="25">
        <f>IFERROR(VLOOKUP(B35,'Факт продаж'!A:C,3,0)/SUM('План Антонова'!$C$11:$C$13),0)</f>
        <v>4.113284317067584E-3</v>
      </c>
      <c r="G35" s="5">
        <f>IFERROR(VLOOKUP(B35,'Факт продаж'!J:K,2,0),"нет продаж")</f>
        <v>2219</v>
      </c>
      <c r="H35" s="48">
        <f>IFERROR(VLOOKUP(B35,'Факт продаж'!J:L,3,0),"нет продаж")</f>
        <v>7880495.9500000011</v>
      </c>
      <c r="I35" s="48">
        <f>IFERROR(VLOOKUP(B35,'Факт продаж'!J:N,5,0),"нет продаж")</f>
        <v>4059483.8671715278</v>
      </c>
      <c r="J35" s="7">
        <f>IFERROR(VLOOKUP(B35,'Факт продаж'!J:L,3,0)/SUM('План Антонова'!$C$14:$C$16),0)</f>
        <v>5.4413723084095367E-2</v>
      </c>
      <c r="K35" s="44">
        <f>IFERROR(VLOOKUP(B35,'Факт продаж'!J:O,6,0),"-")</f>
        <v>16.391494817029148</v>
      </c>
      <c r="L35" s="44">
        <f>IF(AND(F35=0,J35&gt;0),5,IF(J35/F35&gt;5,5,IF(J35/F35=0,0.0000001,J35/F35)))</f>
        <v>5</v>
      </c>
      <c r="M35" s="5">
        <f>IFERROR(VLOOKUP(B35,'Факт продаж'!S:T,2,0),"нет продаж")</f>
        <v>1229</v>
      </c>
      <c r="N35" s="48">
        <f>IFERROR(VLOOKUP(B35,'Факт продаж'!S:U,3,0),"нет продаж")</f>
        <v>4610369.7500000009</v>
      </c>
      <c r="O35" s="48">
        <f>IFERROR(VLOOKUP(B35,'Факт продаж'!S:W,5,0),"нет продаж")</f>
        <v>2259959.9508370552</v>
      </c>
      <c r="P35" s="7">
        <f>IFERROR(VLOOKUP(B35,'Факт продаж'!S:U,3,0)/SUM('План Антонова'!$C$17:$C$19),0)</f>
        <v>2.8081994359884749E-2</v>
      </c>
      <c r="Q35" s="44">
        <f>IFERROR(VLOOKUP(B35,'Факт продаж'!S:X,6,0),"-")</f>
        <v>-0.44328884538425395</v>
      </c>
      <c r="R35" s="44">
        <f>IF(AND(J35=0,P35&gt;0),5,IF(P35/J35&gt;5,5,IF(P35/J35=0,0.0000001,P35/J35)))</f>
        <v>0.51608294320321668</v>
      </c>
      <c r="S35" s="16">
        <f>IFERROR(VLOOKUP(B35,'Факт продаж'!AB:AD,2,0),"нет продаж")</f>
        <v>821</v>
      </c>
      <c r="T35" s="16">
        <f>IFERROR(VLOOKUP(B35,'Факт продаж'!AB:AD,3,0),"нет продаж")</f>
        <v>3134898.65</v>
      </c>
      <c r="U35" s="16">
        <f>IFERROR(VLOOKUP(B35,'Факт продаж'!AB:AF,5,0),"нет продаж")</f>
        <v>1516602.3165505463</v>
      </c>
      <c r="V35" s="7">
        <f>IFERROR(VLOOKUP(B35,'Факт продаж'!AB:AD,3,0)/SUM('План Антонова'!$C$20:$C$22),0)</f>
        <v>2.0372757144261875E-2</v>
      </c>
      <c r="W35" s="44">
        <f>IFERROR(VLOOKUP(B35,'Факт продаж'!AB:AG,6,0),"-")</f>
        <v>-0.32892513604552165</v>
      </c>
      <c r="X35" s="44">
        <f>IF(AND(P35=0,V35&gt;0),5,IF(V35/P35&gt;5,5,IF(V35/P35=0,0.0000001,V35/P35)))</f>
        <v>0.72547401310515347</v>
      </c>
      <c r="Y35" s="44">
        <f>IFERROR(VLOOKUP(B35,'Факт продаж'!AB:AH,7,0),"-")</f>
        <v>5.4973731121540013</v>
      </c>
      <c r="Z35" s="44">
        <f>IF(AND(F35=0,V35&gt;0),5,IF(V35/F35&gt;5,5,IF(V35/F35=0,0.0000001,V35/F35)))</f>
        <v>4.9529173219870897</v>
      </c>
      <c r="AB35" s="10" t="str">
        <f>IFERROR(VLOOKUP(VALUE(IF(L35&lt;1,1,0)&amp;IF(J35&lt;'Факт продаж'!$M$24,0,1)),$AB$1:$AC$4,2,FALSE),"НЕТ ПРОДАЖ")</f>
        <v>Звезда</v>
      </c>
      <c r="AC35" s="10" t="str">
        <f>IFERROR(VLOOKUP(VALUE(IF(R35&lt;1,1,0)&amp;IF(P35&lt;'Факт продаж'!$V$24,0,1)),$AB$1:$AC$4,2,FALSE),"НЕТ ПРОДАЖ")</f>
        <v>Корова</v>
      </c>
      <c r="AD35" s="10" t="str">
        <f>IFERROR(VLOOKUP(VALUE(IF(X35&lt;1,1,0)&amp;IF(V35&lt;'Факт продаж'!$AE$24,0,1)),$AB$1:$AC$4,2,FALSE),"НЕТ ПРОДАЖ")</f>
        <v>Корова</v>
      </c>
      <c r="AE35" s="18" t="str">
        <f>IFERROR(VLOOKUP(VALUE(IF(Z35&lt;1,1,0)&amp;IF(V35&lt;'Факт продаж'!$AE$24,0,1)),$AB$1:$AC$4,2,FALSE),"НЕТ ПРОДАЖ")</f>
        <v>Звезда</v>
      </c>
      <c r="AF35" s="74" t="str">
        <f>VLOOKUP(B35,'ABC расчет'!B:G,6,0)</f>
        <v>A</v>
      </c>
      <c r="AG35" s="74" t="str">
        <f>VLOOKUP(B35,'ABC расчет'!K:P,6,0)</f>
        <v>A</v>
      </c>
      <c r="AH35" s="74" t="str">
        <f>VLOOKUP(B35,'ABC расчет'!T:Y,6,0)</f>
        <v>A</v>
      </c>
      <c r="AI35" s="74" t="str">
        <f>VLOOKUP(B35,'ABC расчет'!AC:AH,6,0)</f>
        <v>A</v>
      </c>
      <c r="AJ35" s="74"/>
      <c r="AK35" s="74"/>
      <c r="AL35" s="19"/>
    </row>
    <row r="36" spans="1:38" x14ac:dyDescent="0.3">
      <c r="A36" s="51" t="s">
        <v>116</v>
      </c>
      <c r="B36" s="21" t="s">
        <v>7</v>
      </c>
      <c r="C36" s="20">
        <f>IFERROR(VLOOKUP(B36,'Факт продаж'!A:B,2,0),"нет продаж")</f>
        <v>10</v>
      </c>
      <c r="D36" s="47">
        <f>IFERROR(VLOOKUP(B36,'Факт продаж'!A:C,3,0),"нет продаж")</f>
        <v>15069.336800000001</v>
      </c>
      <c r="E36" s="47">
        <f>IFERROR(VLOOKUP(B36,'Факт продаж'!A:E,5,0),"нет продаж")</f>
        <v>6250.3160107184958</v>
      </c>
      <c r="F36" s="25">
        <f>IFERROR(VLOOKUP(B36,'Факт продаж'!A:C,3,0)/SUM('План Антонова'!$C$11:$C$13),0)</f>
        <v>1.1442307059285776E-4</v>
      </c>
      <c r="G36" s="5">
        <f>IFERROR(VLOOKUP(B36,'Факт продаж'!J:K,2,0),"нет продаж")</f>
        <v>3029</v>
      </c>
      <c r="H36" s="48">
        <f>IFERROR(VLOOKUP(B36,'Факт продаж'!J:L,3,0),"нет продаж")</f>
        <v>5214554.08</v>
      </c>
      <c r="I36" s="48">
        <f>IFERROR(VLOOKUP(B36,'Факт продаж'!J:N,5,0),"нет продаж")</f>
        <v>2134677.370026445</v>
      </c>
      <c r="J36" s="7">
        <f>IFERROR(VLOOKUP(B36,'Факт продаж'!J:L,3,0)/SUM('План Антонова'!$C$14:$C$16),0)</f>
        <v>3.6005767088321344E-2</v>
      </c>
      <c r="K36" s="44">
        <f>IFERROR(VLOOKUP(B36,'Факт продаж'!J:O,6,0),"-")</f>
        <v>340.53111080555692</v>
      </c>
      <c r="L36" s="44">
        <f>IF(AND(F36=0,J36&gt;0),5,IF(J36/F36&gt;5,5,IF(J36/F36=0,0.0000001,J36/F36)))</f>
        <v>5</v>
      </c>
      <c r="M36" s="5">
        <f>IFERROR(VLOOKUP(B36,'Факт продаж'!S:T,2,0),"нет продаж")</f>
        <v>2859</v>
      </c>
      <c r="N36" s="48">
        <f>IFERROR(VLOOKUP(B36,'Факт продаж'!S:U,3,0),"нет продаж")</f>
        <v>4988954.5999999996</v>
      </c>
      <c r="O36" s="48">
        <f>IFERROR(VLOOKUP(B36,'Факт продаж'!S:W,5,0),"нет продаж")</f>
        <v>1860334.8658762302</v>
      </c>
      <c r="P36" s="7">
        <f>IFERROR(VLOOKUP(B36,'Факт продаж'!S:U,3,0)/SUM('План Антонова'!$C$17:$C$19),0)</f>
        <v>3.0387973749593736E-2</v>
      </c>
      <c r="Q36" s="44">
        <f>IFERROR(VLOOKUP(B36,'Факт продаж'!S:X,6,0),"-")</f>
        <v>-0.12851708084899793</v>
      </c>
      <c r="R36" s="44">
        <f>IF(AND(J36=0,P36&gt;0),5,IF(P36/J36&gt;5,5,IF(P36/J36=0,0.0000001,P36/J36)))</f>
        <v>0.843975179727534</v>
      </c>
      <c r="S36" s="16">
        <f>IFERROR(VLOOKUP(B36,'Факт продаж'!AB:AD,2,0),"нет продаж")</f>
        <v>2218</v>
      </c>
      <c r="T36" s="16">
        <f>IFERROR(VLOOKUP(B36,'Факт продаж'!AB:AD,3,0),"нет продаж")</f>
        <v>3916741.34</v>
      </c>
      <c r="U36" s="16">
        <f>IFERROR(VLOOKUP(B36,'Факт продаж'!AB:AF,5,0),"нет продаж")</f>
        <v>1483325.7389574558</v>
      </c>
      <c r="V36" s="7">
        <f>IFERROR(VLOOKUP(B36,'Факт продаж'!AB:AD,3,0)/SUM('План Антонова'!$C$20:$C$22),0)</f>
        <v>2.5453716060871961E-2</v>
      </c>
      <c r="W36" s="44">
        <f>IFERROR(VLOOKUP(B36,'Факт продаж'!AB:AG,6,0),"-")</f>
        <v>-0.20265659362418098</v>
      </c>
      <c r="X36" s="44">
        <f>IF(AND(P36=0,V36&gt;0),5,IF(V36/P36&gt;5,5,IF(V36/P36=0,0.0000001,V36/P36)))</f>
        <v>0.83762465607672365</v>
      </c>
      <c r="Y36" s="44">
        <f>IFERROR(VLOOKUP(B36,'Факт продаж'!AB:AH,7,0),"-")</f>
        <v>236.32011892098595</v>
      </c>
      <c r="Z36" s="44">
        <f>IF(AND(F36=0,V36&gt;0),5,IF(V36/F36&gt;5,5,IF(V36/F36=0,0.0000001,V36/F36)))</f>
        <v>5</v>
      </c>
      <c r="AB36" s="10" t="str">
        <f>IFERROR(VLOOKUP(VALUE(IF(L36&lt;1,1,0)&amp;IF(J36&lt;'Факт продаж'!$M$24,0,1)),$AB$1:$AC$4,2,FALSE),"НЕТ ПРОДАЖ")</f>
        <v>Звезда</v>
      </c>
      <c r="AC36" s="10" t="str">
        <f>IFERROR(VLOOKUP(VALUE(IF(R36&lt;1,1,0)&amp;IF(P36&lt;'Факт продаж'!$V$24,0,1)),$AB$1:$AC$4,2,FALSE),"НЕТ ПРОДАЖ")</f>
        <v>Корова</v>
      </c>
      <c r="AD36" s="10" t="str">
        <f>IFERROR(VLOOKUP(VALUE(IF(X36&lt;1,1,0)&amp;IF(V36&lt;'Факт продаж'!$AE$24,0,1)),$AB$1:$AC$4,2,FALSE),"НЕТ ПРОДАЖ")</f>
        <v>Корова</v>
      </c>
      <c r="AE36" s="18" t="str">
        <f>IFERROR(VLOOKUP(VALUE(IF(Z36&lt;1,1,0)&amp;IF(V36&lt;'Факт продаж'!$AE$24,0,1)),$AB$1:$AC$4,2,FALSE),"НЕТ ПРОДАЖ")</f>
        <v>Звезда</v>
      </c>
      <c r="AF36" s="74" t="str">
        <f>VLOOKUP(B36,'ABC расчет'!B:G,6,0)</f>
        <v>C</v>
      </c>
      <c r="AG36" s="74" t="str">
        <f>VLOOKUP(B36,'ABC расчет'!K:P,6,0)</f>
        <v>A</v>
      </c>
      <c r="AH36" s="74" t="str">
        <f>VLOOKUP(B36,'ABC расчет'!T:Y,6,0)</f>
        <v>A</v>
      </c>
      <c r="AI36" s="74" t="str">
        <f>VLOOKUP(B36,'ABC расчет'!AC:AH,6,0)</f>
        <v>A</v>
      </c>
      <c r="AJ36" s="74" t="s">
        <v>452</v>
      </c>
      <c r="AK36" s="74"/>
      <c r="AL36" s="19"/>
    </row>
    <row r="37" spans="1:38" x14ac:dyDescent="0.3">
      <c r="A37" s="51" t="s">
        <v>116</v>
      </c>
      <c r="B37" s="21" t="s">
        <v>153</v>
      </c>
      <c r="C37" s="20">
        <f>IFERROR(VLOOKUP(B37,'Факт продаж'!A:B,2,0),"нет продаж")</f>
        <v>431</v>
      </c>
      <c r="D37" s="47">
        <f>IFERROR(VLOOKUP(B37,'Факт продаж'!A:C,3,0),"нет продаж")</f>
        <v>796455.75419999997</v>
      </c>
      <c r="E37" s="47">
        <f>IFERROR(VLOOKUP(B37,'Факт продаж'!A:E,5,0),"нет продаж")</f>
        <v>337919.56592761981</v>
      </c>
      <c r="F37" s="25">
        <f>IFERROR(VLOOKUP(B37,'Факт продаж'!A:C,3,0)/SUM('План Антонова'!$C$11:$C$13),0)</f>
        <v>6.047572908909591E-3</v>
      </c>
      <c r="G37" s="5">
        <f>IFERROR(VLOOKUP(B37,'Факт продаж'!J:K,2,0),"нет продаж")</f>
        <v>1369</v>
      </c>
      <c r="H37" s="48">
        <f>IFERROR(VLOOKUP(B37,'Факт продаж'!J:L,3,0),"нет продаж")</f>
        <v>2767314.17</v>
      </c>
      <c r="I37" s="48">
        <f>IFERROR(VLOOKUP(B37,'Факт продаж'!J:N,5,0),"нет продаж")</f>
        <v>1310939.9218268893</v>
      </c>
      <c r="J37" s="7">
        <f>IFERROR(VLOOKUP(B37,'Факт продаж'!J:L,3,0)/SUM('План Антонова'!$C$14:$C$16),0)</f>
        <v>1.9107917558548227E-2</v>
      </c>
      <c r="K37" s="44">
        <f>IFERROR(VLOOKUP(B37,'Факт продаж'!J:O,6,0),"-")</f>
        <v>2.8794436724261305</v>
      </c>
      <c r="L37" s="44">
        <f>IF(AND(F37=0,J37&gt;0),5,IF(J37/F37&gt;5,5,IF(J37/F37=0,0.0000001,J37/F37)))</f>
        <v>3.159601024470077</v>
      </c>
      <c r="M37" s="5">
        <f>IFERROR(VLOOKUP(B37,'Факт продаж'!S:T,2,0),"нет продаж")</f>
        <v>1840</v>
      </c>
      <c r="N37" s="48">
        <f>IFERROR(VLOOKUP(B37,'Факт продаж'!S:U,3,0),"нет продаж")</f>
        <v>3661447.4033000013</v>
      </c>
      <c r="O37" s="48">
        <f>IFERROR(VLOOKUP(B37,'Факт продаж'!S:W,5,0),"нет продаж")</f>
        <v>1459692.057957686</v>
      </c>
      <c r="P37" s="7">
        <f>IFERROR(VLOOKUP(B37,'Факт продаж'!S:U,3,0)/SUM('План Антонова'!$C$17:$C$19),0)</f>
        <v>2.2302060551322434E-2</v>
      </c>
      <c r="Q37" s="44">
        <f>IFERROR(VLOOKUP(B37,'Факт продаж'!S:X,6,0),"-")</f>
        <v>0.11346983462331361</v>
      </c>
      <c r="R37" s="44">
        <f>IF(AND(J37=0,P37&gt;0),5,IF(P37/J37&gt;5,5,IF(P37/J37=0,0.0000001,P37/J37)))</f>
        <v>1.1671633228993736</v>
      </c>
      <c r="S37" s="16">
        <f>IFERROR(VLOOKUP(B37,'Факт продаж'!AB:AD,2,0),"нет продаж")</f>
        <v>1568</v>
      </c>
      <c r="T37" s="16">
        <f>IFERROR(VLOOKUP(B37,'Факт продаж'!AB:AD,3,0),"нет продаж")</f>
        <v>3420547.9700000007</v>
      </c>
      <c r="U37" s="16">
        <f>IFERROR(VLOOKUP(B37,'Факт продаж'!AB:AF,5,0),"нет продаж")</f>
        <v>1479995.7252838691</v>
      </c>
      <c r="V37" s="7">
        <f>IFERROR(VLOOKUP(B37,'Факт продаж'!AB:AD,3,0)/SUM('План Антонова'!$C$20:$C$22),0)</f>
        <v>2.2229105586270857E-2</v>
      </c>
      <c r="W37" s="44">
        <f>IFERROR(VLOOKUP(B37,'Факт продаж'!AB:AG,6,0),"-")</f>
        <v>1.3909555248653449E-2</v>
      </c>
      <c r="X37" s="44">
        <f>IF(AND(P37=0,V37&gt;0),5,IF(V37/P37&gt;5,5,IF(V37/P37=0,0.0000001,V37/P37)))</f>
        <v>0.99672877916891622</v>
      </c>
      <c r="Y37" s="44">
        <f>IFERROR(VLOOKUP(B37,'Факт продаж'!AB:AH,7,0),"-")</f>
        <v>3.3797278243452604</v>
      </c>
      <c r="Z37" s="44">
        <f>IF(AND(F37=0,V37&gt;0),5,IF(V37/F37&gt;5,5,IF(V37/F37=0,0.0000001,V37/F37)))</f>
        <v>3.6757069193034138</v>
      </c>
      <c r="AB37" s="10" t="str">
        <f>IFERROR(VLOOKUP(VALUE(IF(L37&lt;1,1,0)&amp;IF(J37&lt;'Факт продаж'!$M$24,0,1)),$AB$1:$AC$4,2,FALSE),"НЕТ ПРОДАЖ")</f>
        <v>Звезда</v>
      </c>
      <c r="AC37" s="10" t="str">
        <f>IFERROR(VLOOKUP(VALUE(IF(R37&lt;1,1,0)&amp;IF(P37&lt;'Факт продаж'!$V$24,0,1)),$AB$1:$AC$4,2,FALSE),"НЕТ ПРОДАЖ")</f>
        <v>Звезда</v>
      </c>
      <c r="AD37" s="10" t="str">
        <f>IFERROR(VLOOKUP(VALUE(IF(X37&lt;1,1,0)&amp;IF(V37&lt;'Факт продаж'!$AE$24,0,1)),$AB$1:$AC$4,2,FALSE),"НЕТ ПРОДАЖ")</f>
        <v>Корова</v>
      </c>
      <c r="AE37" s="18" t="str">
        <f>IFERROR(VLOOKUP(VALUE(IF(Z37&lt;1,1,0)&amp;IF(V37&lt;'Факт продаж'!$AE$24,0,1)),$AB$1:$AC$4,2,FALSE),"НЕТ ПРОДАЖ")</f>
        <v>Звезда</v>
      </c>
      <c r="AF37" s="74" t="str">
        <f>VLOOKUP(B37,'ABC расчет'!B:G,6,0)</f>
        <v>A</v>
      </c>
      <c r="AG37" s="74" t="str">
        <f>VLOOKUP(B37,'ABC расчет'!K:P,6,0)</f>
        <v>A</v>
      </c>
      <c r="AH37" s="74" t="str">
        <f>VLOOKUP(B37,'ABC расчет'!T:Y,6,0)</f>
        <v>A</v>
      </c>
      <c r="AI37" s="74" t="str">
        <f>VLOOKUP(B37,'ABC расчет'!AC:AH,6,0)</f>
        <v>A</v>
      </c>
      <c r="AJ37" s="74" t="s">
        <v>452</v>
      </c>
      <c r="AK37" s="74"/>
      <c r="AL37" s="19"/>
    </row>
    <row r="38" spans="1:38" x14ac:dyDescent="0.3">
      <c r="A38" s="51" t="s">
        <v>116</v>
      </c>
      <c r="B38" s="21" t="s">
        <v>245</v>
      </c>
      <c r="C38" s="20">
        <f>IFERROR(VLOOKUP(B38,'Факт продаж'!A:B,2,0),"нет продаж")</f>
        <v>550</v>
      </c>
      <c r="D38" s="47">
        <f>IFERROR(VLOOKUP(B38,'Факт продаж'!A:C,3,0),"нет продаж")</f>
        <v>1096549.0989999999</v>
      </c>
      <c r="E38" s="47">
        <f>IFERROR(VLOOKUP(B38,'Факт продаж'!A:E,5,0),"нет продаж")</f>
        <v>320642.45759680826</v>
      </c>
      <c r="F38" s="25">
        <f>IFERROR(VLOOKUP(B38,'Факт продаж'!A:C,3,0)/SUM('План Антонова'!$C$11:$C$13),0)</f>
        <v>8.3262134643783091E-3</v>
      </c>
      <c r="G38" s="5">
        <f>IFERROR(VLOOKUP(B38,'Факт продаж'!J:K,2,0),"нет продаж")</f>
        <v>422</v>
      </c>
      <c r="H38" s="48">
        <f>IFERROR(VLOOKUP(B38,'Факт продаж'!J:L,3,0),"нет продаж")</f>
        <v>1065223.1500000001</v>
      </c>
      <c r="I38" s="48">
        <f>IFERROR(VLOOKUP(B38,'Факт продаж'!J:N,5,0),"нет продаж")</f>
        <v>430956.45789304108</v>
      </c>
      <c r="J38" s="7">
        <f>IFERROR(VLOOKUP(B38,'Факт продаж'!J:L,3,0)/SUM('План Антонова'!$C$14:$C$16),0)</f>
        <v>7.3552169653570828E-3</v>
      </c>
      <c r="K38" s="44">
        <f>IFERROR(VLOOKUP(B38,'Факт продаж'!J:O,6,0),"-")</f>
        <v>0.3440405276426215</v>
      </c>
      <c r="L38" s="44">
        <f>IF(AND(F38=0,J38&gt;0),5,IF(J38/F38&gt;5,5,IF(J38/F38=0,0.0000001,J38/F38)))</f>
        <v>0.88338078249189744</v>
      </c>
      <c r="M38" s="5">
        <f>IFERROR(VLOOKUP(B38,'Факт продаж'!S:T,2,0),"нет продаж")</f>
        <v>485</v>
      </c>
      <c r="N38" s="48">
        <f>IFERROR(VLOOKUP(B38,'Факт продаж'!S:U,3,0),"нет продаж")</f>
        <v>1293251.7549999999</v>
      </c>
      <c r="O38" s="48">
        <f>IFERROR(VLOOKUP(B38,'Факт продаж'!S:W,5,0),"нет продаж")</f>
        <v>533612.22933631123</v>
      </c>
      <c r="P38" s="7">
        <f>IFERROR(VLOOKUP(B38,'Факт продаж'!S:U,3,0)/SUM('План Антонова'!$C$17:$C$19),0)</f>
        <v>7.8772615775168676E-3</v>
      </c>
      <c r="Q38" s="44">
        <f>IFERROR(VLOOKUP(B38,'Факт продаж'!S:X,6,0),"-")</f>
        <v>0.23820450897790746</v>
      </c>
      <c r="R38" s="44">
        <f>IF(AND(J38=0,P38&gt;0),5,IF(P38/J38&gt;5,5,IF(P38/J38=0,0.0000001,P38/J38)))</f>
        <v>1.0709760996335804</v>
      </c>
      <c r="S38" s="16">
        <f>IFERROR(VLOOKUP(B38,'Факт продаж'!AB:AD,2,0),"нет продаж")</f>
        <v>1434</v>
      </c>
      <c r="T38" s="16">
        <f>IFERROR(VLOOKUP(B38,'Факт продаж'!AB:AD,3,0),"нет продаж")</f>
        <v>3747192.1633000001</v>
      </c>
      <c r="U38" s="16">
        <f>IFERROR(VLOOKUP(B38,'Факт продаж'!AB:AF,5,0),"нет продаж")</f>
        <v>1416147.7199447942</v>
      </c>
      <c r="V38" s="7">
        <f>IFERROR(VLOOKUP(B38,'Факт продаж'!AB:AD,3,0)/SUM('План Антонова'!$C$20:$C$22),0)</f>
        <v>2.4351867297461815E-2</v>
      </c>
      <c r="W38" s="44">
        <f>IFERROR(VLOOKUP(B38,'Факт продаж'!AB:AG,6,0),"-")</f>
        <v>1.6538891766145438</v>
      </c>
      <c r="X38" s="44">
        <f>IF(AND(P38=0,V38&gt;0),5,IF(V38/P38&gt;5,5,IF(V38/P38=0,0.0000001,V38/P38)))</f>
        <v>3.0914128035263495</v>
      </c>
      <c r="Y38" s="44">
        <f>IFERROR(VLOOKUP(B38,'Факт продаж'!AB:AH,7,0),"-")</f>
        <v>3.4165945163928617</v>
      </c>
      <c r="Z38" s="44">
        <f>IF(AND(F38=0,V38&gt;0),5,IF(V38/F38&gt;5,5,IF(V38/F38=0,0.0000001,V38/F38)))</f>
        <v>2.9247229129598216</v>
      </c>
      <c r="AB38" s="10" t="str">
        <f>IFERROR(VLOOKUP(VALUE(IF(L38&lt;1,1,0)&amp;IF(J38&lt;'Факт продаж'!$M$24,0,1)),$AB$1:$AC$4,2,FALSE),"НЕТ ПРОДАЖ")</f>
        <v>Корова</v>
      </c>
      <c r="AC38" s="10" t="str">
        <f>IFERROR(VLOOKUP(VALUE(IF(R38&lt;1,1,0)&amp;IF(P38&lt;'Факт продаж'!$V$24,0,1)),$AB$1:$AC$4,2,FALSE),"НЕТ ПРОДАЖ")</f>
        <v>Звезда</v>
      </c>
      <c r="AD38" s="10" t="str">
        <f>IFERROR(VLOOKUP(VALUE(IF(X38&lt;1,1,0)&amp;IF(V38&lt;'Факт продаж'!$AE$24,0,1)),$AB$1:$AC$4,2,FALSE),"НЕТ ПРОДАЖ")</f>
        <v>Звезда</v>
      </c>
      <c r="AE38" s="18" t="str">
        <f>IFERROR(VLOOKUP(VALUE(IF(Z38&lt;1,1,0)&amp;IF(V38&lt;'Факт продаж'!$AE$24,0,1)),$AB$1:$AC$4,2,FALSE),"НЕТ ПРОДАЖ")</f>
        <v>Звезда</v>
      </c>
      <c r="AF38" s="74" t="str">
        <f>VLOOKUP(B38,'ABC расчет'!B:G,6,0)</f>
        <v>A</v>
      </c>
      <c r="AG38" s="74" t="str">
        <f>VLOOKUP(B38,'ABC расчет'!K:P,6,0)</f>
        <v>A</v>
      </c>
      <c r="AH38" s="74" t="str">
        <f>VLOOKUP(B38,'ABC расчет'!T:Y,6,0)</f>
        <v>A</v>
      </c>
      <c r="AI38" s="74" t="str">
        <f>VLOOKUP(B38,'ABC расчет'!AC:AH,6,0)</f>
        <v>A</v>
      </c>
      <c r="AJ38" s="74" t="s">
        <v>452</v>
      </c>
      <c r="AK38" s="74"/>
      <c r="AL38" s="19"/>
    </row>
    <row r="39" spans="1:38" x14ac:dyDescent="0.3">
      <c r="A39" s="51" t="s">
        <v>259</v>
      </c>
      <c r="B39" s="21" t="s">
        <v>99</v>
      </c>
      <c r="C39" s="20">
        <f>IFERROR(VLOOKUP(B39,'Факт продаж'!A:B,2,0),"нет продаж")</f>
        <v>34</v>
      </c>
      <c r="D39" s="47">
        <f>IFERROR(VLOOKUP(B39,'Факт продаж'!A:C,3,0),"нет продаж")</f>
        <v>17950.150199999996</v>
      </c>
      <c r="E39" s="47">
        <f>IFERROR(VLOOKUP(B39,'Факт продаж'!A:E,5,0),"нет продаж")</f>
        <v>8658.2005472228975</v>
      </c>
      <c r="F39" s="25">
        <f>IFERROR(VLOOKUP(B39,'Факт продаж'!A:C,3,0)/SUM('План Антонова'!$C$11:$C$13),0)</f>
        <v>1.3629739189895864E-4</v>
      </c>
      <c r="G39" s="5">
        <f>IFERROR(VLOOKUP(B39,'Факт продаж'!J:K,2,0),"нет продаж")</f>
        <v>4694</v>
      </c>
      <c r="H39" s="48">
        <f>IFERROR(VLOOKUP(B39,'Факт продаж'!J:L,3,0),"нет продаж")</f>
        <v>3162364.3000000003</v>
      </c>
      <c r="I39" s="48">
        <f>IFERROR(VLOOKUP(B39,'Факт продаж'!J:N,5,0),"нет продаж")</f>
        <v>1596204.1973712505</v>
      </c>
      <c r="J39" s="7">
        <f>IFERROR(VLOOKUP(B39,'Факт продаж'!J:L,3,0)/SUM('План Антонова'!$C$14:$C$16),0)</f>
        <v>2.1835683490355588E-2</v>
      </c>
      <c r="K39" s="44">
        <f>IFERROR(VLOOKUP(B39,'Факт продаж'!J:O,6,0),"-")</f>
        <v>183.35749884347854</v>
      </c>
      <c r="L39" s="44">
        <f>IF(AND(F39=0,J39&gt;0),5,IF(J39/F39&gt;5,5,IF(J39/F39=0,0.0000001,J39/F39)))</f>
        <v>5</v>
      </c>
      <c r="M39" s="5">
        <f>IFERROR(VLOOKUP(B39,'Факт продаж'!S:T,2,0),"нет продаж")</f>
        <v>5569</v>
      </c>
      <c r="N39" s="48">
        <f>IFERROR(VLOOKUP(B39,'Факт продаж'!S:U,3,0),"нет продаж")</f>
        <v>3557262.6400000006</v>
      </c>
      <c r="O39" s="48">
        <f>IFERROR(VLOOKUP(B39,'Факт продаж'!S:W,5,0),"нет продаж")</f>
        <v>1613369.3800269449</v>
      </c>
      <c r="P39" s="7">
        <f>IFERROR(VLOOKUP(B39,'Факт продаж'!S:U,3,0)/SUM('План Антонова'!$C$17:$C$19),0)</f>
        <v>2.1667465910539762E-2</v>
      </c>
      <c r="Q39" s="44">
        <f>IFERROR(VLOOKUP(B39,'Факт продаж'!S:X,6,0),"-")</f>
        <v>1.0753751107761333E-2</v>
      </c>
      <c r="R39" s="44">
        <f>IF(AND(J39=0,P39&gt;0),5,IF(P39/J39&gt;5,5,IF(P39/J39=0,0.0000001,P39/J39)))</f>
        <v>0.9922962072659588</v>
      </c>
      <c r="S39" s="16">
        <f>IFERROR(VLOOKUP(B39,'Факт продаж'!AB:AD,2,0),"нет продаж")</f>
        <v>4245</v>
      </c>
      <c r="T39" s="16">
        <f>IFERROR(VLOOKUP(B39,'Факт продаж'!AB:AD,3,0),"нет продаж")</f>
        <v>2859336.35</v>
      </c>
      <c r="U39" s="16">
        <f>IFERROR(VLOOKUP(B39,'Факт продаж'!AB:AF,5,0),"нет продаж")</f>
        <v>1313437.6401255678</v>
      </c>
      <c r="V39" s="7">
        <f>IFERROR(VLOOKUP(B39,'Факт продаж'!AB:AD,3,0)/SUM('План Антонова'!$C$20:$C$22),0)</f>
        <v>1.8581961191093108E-2</v>
      </c>
      <c r="W39" s="44">
        <f>IFERROR(VLOOKUP(B39,'Факт продаж'!AB:AG,6,0),"-")</f>
        <v>-0.18590394959421375</v>
      </c>
      <c r="X39" s="44">
        <f>IF(AND(P39=0,V39&gt;0),5,IF(V39/P39&gt;5,5,IF(V39/P39=0,0.0000001,V39/P39)))</f>
        <v>0.85759734284636557</v>
      </c>
      <c r="Y39" s="44">
        <f>IFERROR(VLOOKUP(B39,'Факт продаж'!AB:AH,7,0),"-")</f>
        <v>150.69868530555701</v>
      </c>
      <c r="Z39" s="44">
        <f>IF(AND(F39=0,V39&gt;0),5,IF(V39/F39&gt;5,5,IF(V39/F39=0,0.0000001,V39/F39)))</f>
        <v>5</v>
      </c>
      <c r="AB39" s="10" t="str">
        <f>IFERROR(VLOOKUP(VALUE(IF(L39&lt;1,1,0)&amp;IF(J39&lt;'Факт продаж'!$M$24,0,1)),$AB$1:$AC$4,2,FALSE),"НЕТ ПРОДАЖ")</f>
        <v>Звезда</v>
      </c>
      <c r="AC39" s="10" t="str">
        <f>IFERROR(VLOOKUP(VALUE(IF(R39&lt;1,1,0)&amp;IF(P39&lt;'Факт продаж'!$V$24,0,1)),$AB$1:$AC$4,2,FALSE),"НЕТ ПРОДАЖ")</f>
        <v>Корова</v>
      </c>
      <c r="AD39" s="10" t="str">
        <f>IFERROR(VLOOKUP(VALUE(IF(X39&lt;1,1,0)&amp;IF(V39&lt;'Факт продаж'!$AE$24,0,1)),$AB$1:$AC$4,2,FALSE),"НЕТ ПРОДАЖ")</f>
        <v>Корова</v>
      </c>
      <c r="AE39" s="18" t="str">
        <f>IFERROR(VLOOKUP(VALUE(IF(Z39&lt;1,1,0)&amp;IF(V39&lt;'Факт продаж'!$AE$24,0,1)),$AB$1:$AC$4,2,FALSE),"НЕТ ПРОДАЖ")</f>
        <v>Звезда</v>
      </c>
      <c r="AF39" s="74" t="str">
        <f>VLOOKUP(B39,'ABC расчет'!B:G,6,0)</f>
        <v>C</v>
      </c>
      <c r="AG39" s="74" t="str">
        <f>VLOOKUP(B39,'ABC расчет'!K:P,6,0)</f>
        <v>A</v>
      </c>
      <c r="AH39" s="74" t="str">
        <f>VLOOKUP(B39,'ABC расчет'!T:Y,6,0)</f>
        <v>A</v>
      </c>
      <c r="AI39" s="74" t="str">
        <f>VLOOKUP(B39,'ABC расчет'!AC:AH,6,0)</f>
        <v>A</v>
      </c>
      <c r="AJ39" s="74"/>
      <c r="AK39" s="74"/>
      <c r="AL39" s="5"/>
    </row>
    <row r="40" spans="1:38" x14ac:dyDescent="0.3">
      <c r="A40" s="51" t="s">
        <v>259</v>
      </c>
      <c r="B40" s="21" t="s">
        <v>32</v>
      </c>
      <c r="C40" s="20">
        <f>IFERROR(VLOOKUP(B40,'Факт продаж'!A:B,2,0),"нет продаж")</f>
        <v>205</v>
      </c>
      <c r="D40" s="47">
        <f>IFERROR(VLOOKUP(B40,'Факт продаж'!A:C,3,0),"нет продаж")</f>
        <v>119001.0414</v>
      </c>
      <c r="E40" s="47">
        <f>IFERROR(VLOOKUP(B40,'Факт продаж'!A:E,5,0),"нет продаж")</f>
        <v>45805.292400213111</v>
      </c>
      <c r="F40" s="25">
        <f>IFERROR(VLOOKUP(B40,'Факт продаж'!A:C,3,0)/SUM('План Антонова'!$C$11:$C$13),0)</f>
        <v>9.0358751293791422E-4</v>
      </c>
      <c r="G40" s="5">
        <f>IFERROR(VLOOKUP(B40,'Факт продаж'!J:K,2,0),"нет продаж")</f>
        <v>2069</v>
      </c>
      <c r="H40" s="48">
        <f>IFERROR(VLOOKUP(B40,'Факт продаж'!J:L,3,0),"нет продаж")</f>
        <v>1826940.35</v>
      </c>
      <c r="I40" s="48">
        <f>IFERROR(VLOOKUP(B40,'Факт продаж'!J:N,5,0),"нет продаж")</f>
        <v>876174.87367564999</v>
      </c>
      <c r="J40" s="7">
        <f>IFERROR(VLOOKUP(B40,'Факт продаж'!J:L,3,0)/SUM('План Антонова'!$C$14:$C$16),0)</f>
        <v>1.2614767766749536E-2</v>
      </c>
      <c r="K40" s="44">
        <f>IFERROR(VLOOKUP(B40,'Факт продаж'!J:O,6,0),"-")</f>
        <v>18.128245400559294</v>
      </c>
      <c r="L40" s="44">
        <f>IF(AND(F40=0,J40&gt;0),5,IF(J40/F40&gt;5,5,IF(J40/F40=0,0.0000001,J40/F40)))</f>
        <v>5</v>
      </c>
      <c r="M40" s="5">
        <f>IFERROR(VLOOKUP(B40,'Факт продаж'!S:T,2,0),"нет продаж")</f>
        <v>2112</v>
      </c>
      <c r="N40" s="48">
        <f>IFERROR(VLOOKUP(B40,'Факт продаж'!S:U,3,0),"нет продаж")</f>
        <v>2027871.56</v>
      </c>
      <c r="O40" s="48">
        <f>IFERROR(VLOOKUP(B40,'Факт продаж'!S:W,5,0),"нет продаж")</f>
        <v>958623.54827261565</v>
      </c>
      <c r="P40" s="7">
        <f>IFERROR(VLOOKUP(B40,'Факт продаж'!S:U,3,0)/SUM('План Антонова'!$C$17:$C$19),0)</f>
        <v>1.2351867810708822E-2</v>
      </c>
      <c r="Q40" s="44">
        <f>IFERROR(VLOOKUP(B40,'Факт продаж'!S:X,6,0),"-")</f>
        <v>9.4100706461809791E-2</v>
      </c>
      <c r="R40" s="44">
        <f>IF(AND(J40=0,P40&gt;0),5,IF(P40/J40&gt;5,5,IF(P40/J40=0,0.0000001,P40/J40)))</f>
        <v>0.97915935030261314</v>
      </c>
      <c r="S40" s="16">
        <f>IFERROR(VLOOKUP(B40,'Факт продаж'!AB:AD,2,0),"нет продаж")</f>
        <v>3105</v>
      </c>
      <c r="T40" s="16">
        <f>IFERROR(VLOOKUP(B40,'Факт продаж'!AB:AD,3,0),"нет продаж")</f>
        <v>2568570.75</v>
      </c>
      <c r="U40" s="16">
        <f>IFERROR(VLOOKUP(B40,'Факт продаж'!AB:AF,5,0),"нет продаж")</f>
        <v>1217757.3936785941</v>
      </c>
      <c r="V40" s="7">
        <f>IFERROR(VLOOKUP(B40,'Факт продаж'!AB:AD,3,0)/SUM('План Антонова'!$C$20:$C$22),0)</f>
        <v>1.6692363594467269E-2</v>
      </c>
      <c r="W40" s="44">
        <f>IFERROR(VLOOKUP(B40,'Факт продаж'!AB:AG,6,0),"-")</f>
        <v>0.27031867292736833</v>
      </c>
      <c r="X40" s="44">
        <f>IF(AND(P40=0,V40&gt;0),5,IF(V40/P40&gt;5,5,IF(V40/P40=0,0.0000001,V40/P40)))</f>
        <v>1.3514040022348137</v>
      </c>
      <c r="Y40" s="44">
        <f>IFERROR(VLOOKUP(B40,'Факт продаж'!AB:AH,7,0),"-")</f>
        <v>25.585517303081957</v>
      </c>
      <c r="Z40" s="44">
        <f>IF(AND(F40=0,V40&gt;0),5,IF(V40/F40&gt;5,5,IF(V40/F40=0,0.0000001,V40/F40)))</f>
        <v>5</v>
      </c>
      <c r="AB40" s="10" t="str">
        <f>IFERROR(VLOOKUP(VALUE(IF(L40&lt;1,1,0)&amp;IF(J40&lt;'Факт продаж'!$M$24,0,1)),$AB$1:$AC$4,2,FALSE),"НЕТ ПРОДАЖ")</f>
        <v>Звезда</v>
      </c>
      <c r="AC40" s="10" t="str">
        <f>IFERROR(VLOOKUP(VALUE(IF(R40&lt;1,1,0)&amp;IF(P40&lt;'Факт продаж'!$V$24,0,1)),$AB$1:$AC$4,2,FALSE),"НЕТ ПРОДАЖ")</f>
        <v>Корова</v>
      </c>
      <c r="AD40" s="10" t="str">
        <f>IFERROR(VLOOKUP(VALUE(IF(X40&lt;1,1,0)&amp;IF(V40&lt;'Факт продаж'!$AE$24,0,1)),$AB$1:$AC$4,2,FALSE),"НЕТ ПРОДАЖ")</f>
        <v>Звезда</v>
      </c>
      <c r="AE40" s="18" t="str">
        <f>IFERROR(VLOOKUP(VALUE(IF(Z40&lt;1,1,0)&amp;IF(V40&lt;'Факт продаж'!$AE$24,0,1)),$AB$1:$AC$4,2,FALSE),"НЕТ ПРОДАЖ")</f>
        <v>Звезда</v>
      </c>
      <c r="AF40" s="74" t="str">
        <f>VLOOKUP(B40,'ABC расчет'!B:G,6,0)</f>
        <v>C</v>
      </c>
      <c r="AG40" s="74" t="str">
        <f>VLOOKUP(B40,'ABC расчет'!K:P,6,0)</f>
        <v>A</v>
      </c>
      <c r="AH40" s="74" t="str">
        <f>VLOOKUP(B40,'ABC расчет'!T:Y,6,0)</f>
        <v>B</v>
      </c>
      <c r="AI40" s="74" t="str">
        <f>VLOOKUP(B40,'ABC расчет'!AC:AH,6,0)</f>
        <v>A</v>
      </c>
      <c r="AJ40" s="74"/>
      <c r="AK40" s="74"/>
      <c r="AL40" s="19"/>
    </row>
    <row r="41" spans="1:38" x14ac:dyDescent="0.3">
      <c r="A41" s="51" t="s">
        <v>116</v>
      </c>
      <c r="B41" s="21" t="s">
        <v>14</v>
      </c>
      <c r="C41" s="20">
        <f>IFERROR(VLOOKUP(B41,'Факт продаж'!A:B,2,0),"нет продаж")</f>
        <v>70</v>
      </c>
      <c r="D41" s="47">
        <f>IFERROR(VLOOKUP(B41,'Факт продаж'!A:C,3,0),"нет продаж")</f>
        <v>120233.8906</v>
      </c>
      <c r="E41" s="47">
        <f>IFERROR(VLOOKUP(B41,'Факт продаж'!A:E,5,0),"нет продаж")</f>
        <v>56980.36695223274</v>
      </c>
      <c r="F41" s="25">
        <f>IFERROR(VLOOKUP(B41,'Факт продаж'!A:C,3,0)/SUM('План Антонова'!$C$11:$C$13),0)</f>
        <v>9.1294866750723461E-4</v>
      </c>
      <c r="G41" s="5">
        <f>IFERROR(VLOOKUP(B41,'Факт продаж'!J:K,2,0),"нет продаж")</f>
        <v>865</v>
      </c>
      <c r="H41" s="48">
        <f>IFERROR(VLOOKUP(B41,'Факт продаж'!J:L,3,0),"нет продаж")</f>
        <v>1645151.4599999997</v>
      </c>
      <c r="I41" s="48">
        <f>IFERROR(VLOOKUP(B41,'Факт продаж'!J:N,5,0),"нет продаж")</f>
        <v>707699.69142228318</v>
      </c>
      <c r="J41" s="7">
        <f>IFERROR(VLOOKUP(B41,'Факт продаж'!J:L,3,0)/SUM('План Антонова'!$C$14:$C$16),0)</f>
        <v>1.1359540889788184E-2</v>
      </c>
      <c r="K41" s="44">
        <f>IFERROR(VLOOKUP(B41,'Факт продаж'!J:O,6,0),"-")</f>
        <v>11.420062019178562</v>
      </c>
      <c r="L41" s="44">
        <f>IF(AND(F41=0,J41&gt;0),5,IF(J41/F41&gt;5,5,IF(J41/F41=0,0.0000001,J41/F41)))</f>
        <v>5</v>
      </c>
      <c r="M41" s="5">
        <f>IFERROR(VLOOKUP(B41,'Факт продаж'!S:T,2,0),"нет продаж")</f>
        <v>1545</v>
      </c>
      <c r="N41" s="48">
        <f>IFERROR(VLOOKUP(B41,'Факт продаж'!S:U,3,0),"нет продаж")</f>
        <v>3011351.5799999991</v>
      </c>
      <c r="O41" s="48">
        <f>IFERROR(VLOOKUP(B41,'Факт продаж'!S:W,5,0),"нет продаж")</f>
        <v>1265452.5397461457</v>
      </c>
      <c r="P41" s="7">
        <f>IFERROR(VLOOKUP(B41,'Факт продаж'!S:U,3,0)/SUM('План Антонова'!$C$17:$C$19),0)</f>
        <v>1.8342294147923818E-2</v>
      </c>
      <c r="Q41" s="44">
        <f>IFERROR(VLOOKUP(B41,'Факт продаж'!S:X,6,0),"-")</f>
        <v>0.78812080192225542</v>
      </c>
      <c r="R41" s="44">
        <f>IF(AND(J41=0,P41&gt;0),5,IF(P41/J41&gt;5,5,IF(P41/J41=0,0.0000001,P41/J41)))</f>
        <v>1.6147038270193539</v>
      </c>
      <c r="S41" s="16">
        <f>IFERROR(VLOOKUP(B41,'Факт продаж'!AB:AD,2,0),"нет продаж")</f>
        <v>1393</v>
      </c>
      <c r="T41" s="16">
        <f>IFERROR(VLOOKUP(B41,'Факт продаж'!AB:AD,3,0),"нет продаж")</f>
        <v>2729452.9170000004</v>
      </c>
      <c r="U41" s="16">
        <f>IFERROR(VLOOKUP(B41,'Факт продаж'!AB:AF,5,0),"нет продаж")</f>
        <v>1189745.6737485328</v>
      </c>
      <c r="V41" s="7">
        <f>IFERROR(VLOOKUP(B41,'Факт продаж'!AB:AD,3,0)/SUM('План Антонова'!$C$20:$C$22),0)</f>
        <v>1.7737888086027335E-2</v>
      </c>
      <c r="W41" s="44">
        <f>IFERROR(VLOOKUP(B41,'Факт продаж'!AB:AG,6,0),"-")</f>
        <v>-5.9825922837690948E-2</v>
      </c>
      <c r="X41" s="44">
        <f>IF(AND(P41=0,V41&gt;0),5,IF(V41/P41&gt;5,5,IF(V41/P41=0,0.0000001,V41/P41)))</f>
        <v>0.96704850238349838</v>
      </c>
      <c r="Y41" s="44">
        <f>IFERROR(VLOOKUP(B41,'Факт продаж'!AB:AH,7,0),"-")</f>
        <v>19.879922987261725</v>
      </c>
      <c r="Z41" s="44">
        <f>IF(AND(F41=0,V41&gt;0),5,IF(V41/F41&gt;5,5,IF(V41/F41=0,0.0000001,V41/F41)))</f>
        <v>5</v>
      </c>
      <c r="AB41" s="10" t="str">
        <f>IFERROR(VLOOKUP(VALUE(IF(L41&lt;1,1,0)&amp;IF(J41&lt;'Факт продаж'!$M$24,0,1)),$AB$1:$AC$4,2,FALSE),"НЕТ ПРОДАЖ")</f>
        <v>Звезда</v>
      </c>
      <c r="AC41" s="10" t="str">
        <f>IFERROR(VLOOKUP(VALUE(IF(R41&lt;1,1,0)&amp;IF(P41&lt;'Факт продаж'!$V$24,0,1)),$AB$1:$AC$4,2,FALSE),"НЕТ ПРОДАЖ")</f>
        <v>Звезда</v>
      </c>
      <c r="AD41" s="10" t="str">
        <f>IFERROR(VLOOKUP(VALUE(IF(X41&lt;1,1,0)&amp;IF(V41&lt;'Факт продаж'!$AE$24,0,1)),$AB$1:$AC$4,2,FALSE),"НЕТ ПРОДАЖ")</f>
        <v>Корова</v>
      </c>
      <c r="AE41" s="18" t="str">
        <f>IFERROR(VLOOKUP(VALUE(IF(Z41&lt;1,1,0)&amp;IF(V41&lt;'Факт продаж'!$AE$24,0,1)),$AB$1:$AC$4,2,FALSE),"НЕТ ПРОДАЖ")</f>
        <v>Звезда</v>
      </c>
      <c r="AF41" s="74" t="str">
        <f>VLOOKUP(B41,'ABC расчет'!B:G,6,0)</f>
        <v>B</v>
      </c>
      <c r="AG41" s="74" t="str">
        <f>VLOOKUP(B41,'ABC расчет'!K:P,6,0)</f>
        <v>A</v>
      </c>
      <c r="AH41" s="74" t="str">
        <f>VLOOKUP(B41,'ABC расчет'!T:Y,6,0)</f>
        <v>A</v>
      </c>
      <c r="AI41" s="74" t="str">
        <f>VLOOKUP(B41,'ABC расчет'!AC:AH,6,0)</f>
        <v>A</v>
      </c>
      <c r="AJ41" s="74" t="s">
        <v>452</v>
      </c>
      <c r="AK41" s="74"/>
      <c r="AL41" s="19"/>
    </row>
    <row r="42" spans="1:38" ht="15" customHeight="1" x14ac:dyDescent="0.3">
      <c r="A42" s="51" t="s">
        <v>252</v>
      </c>
      <c r="B42" s="21" t="s">
        <v>177</v>
      </c>
      <c r="C42" s="20">
        <f>IFERROR(VLOOKUP(B42,'Факт продаж'!A:B,2,0),"нет продаж")</f>
        <v>342</v>
      </c>
      <c r="D42" s="47">
        <f>IFERROR(VLOOKUP(B42,'Факт продаж'!A:C,3,0),"нет продаж")</f>
        <v>449754.67320000002</v>
      </c>
      <c r="E42" s="47">
        <f>IFERROR(VLOOKUP(B42,'Факт продаж'!A:E,5,0),"нет продаж")</f>
        <v>197991.06485850154</v>
      </c>
      <c r="F42" s="25">
        <f>IFERROR(VLOOKUP(B42,'Факт продаж'!A:C,3,0)/SUM('План Антонова'!$C$11:$C$13),0)</f>
        <v>3.4150348753922114E-3</v>
      </c>
      <c r="G42" s="5">
        <f>IFERROR(VLOOKUP(B42,'Факт продаж'!J:K,2,0),"нет продаж")</f>
        <v>1574</v>
      </c>
      <c r="H42" s="48">
        <f>IFERROR(VLOOKUP(B42,'Факт продаж'!J:L,3,0),"нет продаж")</f>
        <v>2846342.7199999997</v>
      </c>
      <c r="I42" s="48">
        <f>IFERROR(VLOOKUP(B42,'Факт продаж'!J:N,5,0),"нет продаж")</f>
        <v>1179630.1918656267</v>
      </c>
      <c r="J42" s="7">
        <f>IFERROR(VLOOKUP(B42,'Факт продаж'!J:L,3,0)/SUM('План Антонова'!$C$14:$C$16),0)</f>
        <v>1.9653598650540612E-2</v>
      </c>
      <c r="K42" s="44">
        <f>IFERROR(VLOOKUP(B42,'Факт продаж'!J:O,6,0),"-")</f>
        <v>4.9579971081456335</v>
      </c>
      <c r="L42" s="44">
        <f>IF(AND(F42=0,J42&gt;0),5,IF(J42/F42&gt;5,5,IF(J42/F42=0,0.0000001,J42/F42)))</f>
        <v>5</v>
      </c>
      <c r="M42" s="5">
        <f>IFERROR(VLOOKUP(B42,'Факт продаж'!S:T,2,0),"нет продаж")</f>
        <v>1537</v>
      </c>
      <c r="N42" s="48">
        <f>IFERROR(VLOOKUP(B42,'Факт продаж'!S:U,3,0),"нет продаж")</f>
        <v>2920717.6199999996</v>
      </c>
      <c r="O42" s="48">
        <f>IFERROR(VLOOKUP(B42,'Факт продаж'!S:W,5,0),"нет продаж")</f>
        <v>994112.91516924859</v>
      </c>
      <c r="P42" s="7">
        <f>IFERROR(VLOOKUP(B42,'Факт продаж'!S:U,3,0)/SUM('План Антонова'!$C$17:$C$19),0)</f>
        <v>1.7790238132561056E-2</v>
      </c>
      <c r="Q42" s="44">
        <f>IFERROR(VLOOKUP(B42,'Факт продаж'!S:X,6,0),"-")</f>
        <v>-0.15726731816093653</v>
      </c>
      <c r="R42" s="44">
        <f>IF(AND(J42=0,P42&gt;0),5,IF(P42/J42&gt;5,5,IF(P42/J42=0,0.0000001,P42/J42)))</f>
        <v>0.90518985600999335</v>
      </c>
      <c r="S42" s="16">
        <f>IFERROR(VLOOKUP(B42,'Факт продаж'!AB:AD,2,0),"нет продаж")</f>
        <v>1535</v>
      </c>
      <c r="T42" s="16">
        <f>IFERROR(VLOOKUP(B42,'Факт продаж'!AB:AD,3,0),"нет продаж")</f>
        <v>2986525.1</v>
      </c>
      <c r="U42" s="16">
        <f>IFERROR(VLOOKUP(B42,'Факт продаж'!AB:AF,5,0),"нет продаж")</f>
        <v>1112020.9847705706</v>
      </c>
      <c r="V42" s="7">
        <f>IFERROR(VLOOKUP(B42,'Факт продаж'!AB:AD,3,0)/SUM('План Антонова'!$C$20:$C$22),0)</f>
        <v>1.9408522367235833E-2</v>
      </c>
      <c r="W42" s="44">
        <f>IFERROR(VLOOKUP(B42,'Факт продаж'!AB:AG,6,0),"-")</f>
        <v>0.11860631503942187</v>
      </c>
      <c r="X42" s="44">
        <f>IF(AND(P42=0,V42&gt;0),5,IF(V42/P42&gt;5,5,IF(V42/P42=0,0.0000001,V42/P42)))</f>
        <v>1.0909647314789379</v>
      </c>
      <c r="Y42" s="44">
        <f>IFERROR(VLOOKUP(B42,'Факт продаж'!AB:AH,7,0),"-")</f>
        <v>4.6165210564693906</v>
      </c>
      <c r="Z42" s="44">
        <f>IF(AND(F42=0,V42&gt;0),5,IF(V42/F42&gt;5,5,IF(V42/F42=0,0.0000001,V42/F42)))</f>
        <v>5</v>
      </c>
      <c r="AB42" s="10" t="str">
        <f>IFERROR(VLOOKUP(VALUE(IF(L42&lt;1,1,0)&amp;IF(J42&lt;'Факт продаж'!$M$24,0,1)),$AB$1:$AC$4,2,FALSE),"НЕТ ПРОДАЖ")</f>
        <v>Звезда</v>
      </c>
      <c r="AC42" s="10" t="str">
        <f>IFERROR(VLOOKUP(VALUE(IF(R42&lt;1,1,0)&amp;IF(P42&lt;'Факт продаж'!$V$24,0,1)),$AB$1:$AC$4,2,FALSE),"НЕТ ПРОДАЖ")</f>
        <v>Корова</v>
      </c>
      <c r="AD42" s="10" t="str">
        <f>IFERROR(VLOOKUP(VALUE(IF(X42&lt;1,1,0)&amp;IF(V42&lt;'Факт продаж'!$AE$24,0,1)),$AB$1:$AC$4,2,FALSE),"НЕТ ПРОДАЖ")</f>
        <v>Звезда</v>
      </c>
      <c r="AE42" s="18" t="str">
        <f>IFERROR(VLOOKUP(VALUE(IF(Z42&lt;1,1,0)&amp;IF(V42&lt;'Факт продаж'!$AE$24,0,1)),$AB$1:$AC$4,2,FALSE),"НЕТ ПРОДАЖ")</f>
        <v>Звезда</v>
      </c>
      <c r="AF42" s="74" t="str">
        <f>VLOOKUP(B42,'ABC расчет'!B:G,6,0)</f>
        <v>A</v>
      </c>
      <c r="AG42" s="74" t="str">
        <f>VLOOKUP(B42,'ABC расчет'!K:P,6,0)</f>
        <v>A</v>
      </c>
      <c r="AH42" s="74" t="str">
        <f>VLOOKUP(B42,'ABC расчет'!T:Y,6,0)</f>
        <v>A</v>
      </c>
      <c r="AI42" s="74" t="str">
        <f>VLOOKUP(B42,'ABC расчет'!AC:AH,6,0)</f>
        <v>A</v>
      </c>
      <c r="AJ42" s="74" t="s">
        <v>452</v>
      </c>
      <c r="AK42" s="74"/>
      <c r="AL42" s="19"/>
    </row>
    <row r="43" spans="1:38" x14ac:dyDescent="0.3">
      <c r="A43" s="51" t="s">
        <v>259</v>
      </c>
      <c r="B43" s="21" t="s">
        <v>89</v>
      </c>
      <c r="C43" s="20">
        <f>IFERROR(VLOOKUP(B43,'Факт продаж'!A:B,2,0),"нет продаж")</f>
        <v>294</v>
      </c>
      <c r="D43" s="47">
        <f>IFERROR(VLOOKUP(B43,'Факт продаж'!A:C,3,0),"нет продаж")</f>
        <v>310236.70990000002</v>
      </c>
      <c r="E43" s="47">
        <f>IFERROR(VLOOKUP(B43,'Факт продаж'!A:E,5,0),"нет продаж")</f>
        <v>173625.50746981095</v>
      </c>
      <c r="F43" s="25">
        <f>IFERROR(VLOOKUP(B43,'Факт продаж'!A:C,3,0)/SUM('План Антонова'!$C$11:$C$13),0)</f>
        <v>2.3556602011432668E-3</v>
      </c>
      <c r="G43" s="5">
        <f>IFERROR(VLOOKUP(B43,'Факт продаж'!J:K,2,0),"нет продаж")</f>
        <v>1395</v>
      </c>
      <c r="H43" s="48">
        <f>IFERROR(VLOOKUP(B43,'Факт продаж'!J:L,3,0),"нет продаж")</f>
        <v>1584040.0100000002</v>
      </c>
      <c r="I43" s="48">
        <f>IFERROR(VLOOKUP(B43,'Факт продаж'!J:N,5,0),"нет продаж")</f>
        <v>759921.56428153079</v>
      </c>
      <c r="J43" s="7">
        <f>IFERROR(VLOOKUP(B43,'Факт продаж'!J:L,3,0)/SUM('План Антонова'!$C$14:$C$16),0)</f>
        <v>1.0937574869036975E-2</v>
      </c>
      <c r="K43" s="44">
        <f>IFERROR(VLOOKUP(B43,'Факт продаж'!J:O,6,0),"-")</f>
        <v>3.3767852739820601</v>
      </c>
      <c r="L43" s="44">
        <f>IF(AND(F43=0,J43&gt;0),5,IF(J43/F43&gt;5,5,IF(J43/F43=0,0.0000001,J43/F43)))</f>
        <v>4.6431038159615161</v>
      </c>
      <c r="M43" s="5">
        <f>IFERROR(VLOOKUP(B43,'Факт продаж'!S:T,2,0),"нет продаж")</f>
        <v>1361</v>
      </c>
      <c r="N43" s="48">
        <f>IFERROR(VLOOKUP(B43,'Факт продаж'!S:U,3,0),"нет продаж")</f>
        <v>1590186.1500000001</v>
      </c>
      <c r="O43" s="48">
        <f>IFERROR(VLOOKUP(B43,'Факт продаж'!S:W,5,0),"нет продаж")</f>
        <v>775622.70436341956</v>
      </c>
      <c r="P43" s="7">
        <f>IFERROR(VLOOKUP(B43,'Факт продаж'!S:U,3,0)/SUM('План Антонова'!$C$17:$C$19),0)</f>
        <v>9.6859039332944687E-3</v>
      </c>
      <c r="Q43" s="44">
        <f>IFERROR(VLOOKUP(B43,'Факт продаж'!S:X,6,0),"-")</f>
        <v>2.0661527215290132E-2</v>
      </c>
      <c r="R43" s="44">
        <f>IF(AND(J43=0,P43&gt;0),5,IF(P43/J43&gt;5,5,IF(P43/J43=0,0.0000001,P43/J43)))</f>
        <v>0.88556229779182194</v>
      </c>
      <c r="S43" s="16">
        <f>IFERROR(VLOOKUP(B43,'Факт продаж'!AB:AD,2,0),"нет продаж")</f>
        <v>2082</v>
      </c>
      <c r="T43" s="16">
        <f>IFERROR(VLOOKUP(B43,'Факт продаж'!AB:AD,3,0),"нет продаж")</f>
        <v>2351483.9733000007</v>
      </c>
      <c r="U43" s="16">
        <f>IFERROR(VLOOKUP(B43,'Факт продаж'!AB:AF,5,0),"нет продаж")</f>
        <v>1067778.9111692153</v>
      </c>
      <c r="V43" s="7">
        <f>IFERROR(VLOOKUP(B43,'Факт продаж'!AB:AD,3,0)/SUM('План Антонова'!$C$20:$C$22),0)</f>
        <v>1.5281582362053361E-2</v>
      </c>
      <c r="W43" s="44">
        <f>IFERROR(VLOOKUP(B43,'Факт продаж'!AB:AG,6,0),"-")</f>
        <v>0.37667309783766378</v>
      </c>
      <c r="X43" s="44">
        <f>IF(AND(P43=0,V43&gt;0),5,IF(V43/P43&gt;5,5,IF(V43/P43=0,0.0000001,V43/P43)))</f>
        <v>1.5777135998142853</v>
      </c>
      <c r="Y43" s="44">
        <f>IFERROR(VLOOKUP(B43,'Факт продаж'!AB:AH,7,0),"-")</f>
        <v>5.14989656030163</v>
      </c>
      <c r="Z43" s="44">
        <f>IF(AND(F43=0,V43&gt;0),5,IF(V43/F43&gt;5,5,IF(V43/F43=0,0.0000001,V43/F43)))</f>
        <v>5</v>
      </c>
      <c r="AB43" s="10" t="str">
        <f>IFERROR(VLOOKUP(VALUE(IF(L43&lt;1,1,0)&amp;IF(J43&lt;'Факт продаж'!$M$24,0,1)),$AB$1:$AC$4,2,FALSE),"НЕТ ПРОДАЖ")</f>
        <v>Звезда</v>
      </c>
      <c r="AC43" s="10" t="str">
        <f>IFERROR(VLOOKUP(VALUE(IF(R43&lt;1,1,0)&amp;IF(P43&lt;'Факт продаж'!$V$24,0,1)),$AB$1:$AC$4,2,FALSE),"НЕТ ПРОДАЖ")</f>
        <v>Корова</v>
      </c>
      <c r="AD43" s="10" t="str">
        <f>IFERROR(VLOOKUP(VALUE(IF(X43&lt;1,1,0)&amp;IF(V43&lt;'Факт продаж'!$AE$24,0,1)),$AB$1:$AC$4,2,FALSE),"НЕТ ПРОДАЖ")</f>
        <v>Звезда</v>
      </c>
      <c r="AE43" s="18" t="str">
        <f>IFERROR(VLOOKUP(VALUE(IF(Z43&lt;1,1,0)&amp;IF(V43&lt;'Факт продаж'!$AE$24,0,1)),$AB$1:$AC$4,2,FALSE),"НЕТ ПРОДАЖ")</f>
        <v>Звезда</v>
      </c>
      <c r="AF43" s="74" t="str">
        <f>VLOOKUP(B43,'ABC расчет'!B:G,6,0)</f>
        <v>C</v>
      </c>
      <c r="AG43" s="74" t="str">
        <f>VLOOKUP(B43,'ABC расчет'!K:P,6,0)</f>
        <v>B</v>
      </c>
      <c r="AH43" s="74" t="str">
        <f>VLOOKUP(B43,'ABC расчет'!T:Y,6,0)</f>
        <v>B</v>
      </c>
      <c r="AI43" s="74" t="str">
        <f>VLOOKUP(B43,'ABC расчет'!AC:AH,6,0)</f>
        <v>B</v>
      </c>
      <c r="AJ43" s="74"/>
      <c r="AK43" s="74"/>
      <c r="AL43" s="5"/>
    </row>
    <row r="44" spans="1:38" x14ac:dyDescent="0.3">
      <c r="A44" s="51" t="s">
        <v>251</v>
      </c>
      <c r="B44" s="21" t="s">
        <v>11</v>
      </c>
      <c r="C44" s="20">
        <f>IFERROR(VLOOKUP(B44,'Факт продаж'!A:B,2,0),"нет продаж")</f>
        <v>175</v>
      </c>
      <c r="D44" s="47">
        <f>IFERROR(VLOOKUP(B44,'Факт продаж'!A:C,3,0),"нет продаж")</f>
        <v>725708.4791</v>
      </c>
      <c r="E44" s="47">
        <f>IFERROR(VLOOKUP(B44,'Факт продаж'!A:E,5,0),"нет продаж")</f>
        <v>400858.71507511334</v>
      </c>
      <c r="F44" s="25">
        <f>IFERROR(VLOOKUP(B44,'Факт продаж'!A:C,3,0)/SUM('План Антонова'!$C$11:$C$13),0)</f>
        <v>5.5103813549309431E-3</v>
      </c>
      <c r="G44" s="5">
        <f>IFERROR(VLOOKUP(B44,'Факт продаж'!J:K,2,0),"нет продаж")</f>
        <v>278</v>
      </c>
      <c r="H44" s="48">
        <f>IFERROR(VLOOKUP(B44,'Факт продаж'!J:L,3,0),"нет продаж")</f>
        <v>1453913.7999999998</v>
      </c>
      <c r="I44" s="48">
        <f>IFERROR(VLOOKUP(B44,'Факт продаж'!J:N,5,0),"нет продаж")</f>
        <v>623946.8775159464</v>
      </c>
      <c r="J44" s="7">
        <f>IFERROR(VLOOKUP(B44,'Факт продаж'!J:L,3,0)/SUM('План Антонова'!$C$14:$C$16),0)</f>
        <v>1.0039071576623905E-2</v>
      </c>
      <c r="K44" s="44">
        <f>IFERROR(VLOOKUP(B44,'Факт продаж'!J:O,6,0),"-")</f>
        <v>0.55652566365940315</v>
      </c>
      <c r="L44" s="44">
        <f>IF(AND(F44=0,J44&gt;0),5,IF(J44/F44&gt;5,5,IF(J44/F44=0,0.0000001,J44/F44)))</f>
        <v>1.8218469702900837</v>
      </c>
      <c r="M44" s="5">
        <f>IFERROR(VLOOKUP(B44,'Факт продаж'!S:T,2,0),"нет продаж")</f>
        <v>474</v>
      </c>
      <c r="N44" s="48">
        <f>IFERROR(VLOOKUP(B44,'Факт продаж'!S:U,3,0),"нет продаж")</f>
        <v>2363565.4999999991</v>
      </c>
      <c r="O44" s="48">
        <f>IFERROR(VLOOKUP(B44,'Факт продаж'!S:W,5,0),"нет продаж")</f>
        <v>997420.85055435135</v>
      </c>
      <c r="P44" s="7">
        <f>IFERROR(VLOOKUP(B44,'Факт продаж'!S:U,3,0)/SUM('План Антонова'!$C$17:$C$19),0)</f>
        <v>1.4396596507301424E-2</v>
      </c>
      <c r="Q44" s="44">
        <f>IFERROR(VLOOKUP(B44,'Факт продаж'!S:X,6,0),"-")</f>
        <v>0.59856693974537922</v>
      </c>
      <c r="R44" s="44">
        <f>IF(AND(J44=0,P44&gt;0),5,IF(P44/J44&gt;5,5,IF(P44/J44=0,0.0000001,P44/J44)))</f>
        <v>1.4340565656314341</v>
      </c>
      <c r="S44" s="16">
        <f>IFERROR(VLOOKUP(B44,'Факт продаж'!AB:AD,2,0),"нет продаж")</f>
        <v>350</v>
      </c>
      <c r="T44" s="16">
        <f>IFERROR(VLOOKUP(B44,'Факт продаж'!AB:AD,3,0),"нет продаж")</f>
        <v>2130112.2949999999</v>
      </c>
      <c r="U44" s="16">
        <f>IFERROR(VLOOKUP(B44,'Факт продаж'!AB:AF,5,0),"нет продаж")</f>
        <v>1036381.0308559657</v>
      </c>
      <c r="V44" s="7">
        <f>IFERROR(VLOOKUP(B44,'Факт продаж'!AB:AD,3,0)/SUM('План Антонова'!$C$20:$C$22),0)</f>
        <v>1.38429548515201E-2</v>
      </c>
      <c r="W44" s="44">
        <f>IFERROR(VLOOKUP(B44,'Факт продаж'!AB:AG,6,0),"-")</f>
        <v>3.90609242627733E-2</v>
      </c>
      <c r="X44" s="44">
        <f>IF(AND(P44=0,V44&gt;0),5,IF(V44/P44&gt;5,5,IF(V44/P44=0,0.0000001,V44/P44)))</f>
        <v>0.96154357347581865</v>
      </c>
      <c r="Y44" s="44">
        <f>IFERROR(VLOOKUP(B44,'Факт продаж'!AB:AH,7,0),"-")</f>
        <v>1.5854022673843264</v>
      </c>
      <c r="Z44" s="44">
        <f>IF(AND(F44=0,V44&gt;0),5,IF(V44/F44&gt;5,5,IF(V44/F44=0,0.0000001,V44/F44)))</f>
        <v>2.5121591338016538</v>
      </c>
      <c r="AB44" s="10" t="str">
        <f>IFERROR(VLOOKUP(VALUE(IF(L44&lt;1,1,0)&amp;IF(J44&lt;'Факт продаж'!$M$24,0,1)),$AB$1:$AC$4,2,FALSE),"НЕТ ПРОДАЖ")</f>
        <v>Звезда</v>
      </c>
      <c r="AC44" s="10" t="str">
        <f>IFERROR(VLOOKUP(VALUE(IF(R44&lt;1,1,0)&amp;IF(P44&lt;'Факт продаж'!$V$24,0,1)),$AB$1:$AC$4,2,FALSE),"НЕТ ПРОДАЖ")</f>
        <v>Звезда</v>
      </c>
      <c r="AD44" s="10" t="str">
        <f>IFERROR(VLOOKUP(VALUE(IF(X44&lt;1,1,0)&amp;IF(V44&lt;'Факт продаж'!$AE$24,0,1)),$AB$1:$AC$4,2,FALSE),"НЕТ ПРОДАЖ")</f>
        <v>Корова</v>
      </c>
      <c r="AE44" s="18" t="str">
        <f>IFERROR(VLOOKUP(VALUE(IF(Z44&lt;1,1,0)&amp;IF(V44&lt;'Факт продаж'!$AE$24,0,1)),$AB$1:$AC$4,2,FALSE),"НЕТ ПРОДАЖ")</f>
        <v>Звезда</v>
      </c>
      <c r="AF44" s="74" t="str">
        <f>VLOOKUP(B44,'ABC расчет'!B:G,6,0)</f>
        <v>A</v>
      </c>
      <c r="AG44" s="74" t="str">
        <f>VLOOKUP(B44,'ABC расчет'!K:P,6,0)</f>
        <v>A</v>
      </c>
      <c r="AH44" s="74" t="str">
        <f>VLOOKUP(B44,'ABC расчет'!T:Y,6,0)</f>
        <v>A</v>
      </c>
      <c r="AI44" s="74" t="str">
        <f>VLOOKUP(B44,'ABC расчет'!AC:AH,6,0)</f>
        <v>A</v>
      </c>
      <c r="AJ44" s="74"/>
      <c r="AK44" s="74"/>
      <c r="AL44" s="19"/>
    </row>
    <row r="45" spans="1:38" ht="15" customHeight="1" x14ac:dyDescent="0.3">
      <c r="A45" s="51" t="s">
        <v>116</v>
      </c>
      <c r="B45" s="21" t="s">
        <v>198</v>
      </c>
      <c r="C45" s="20">
        <f>IFERROR(VLOOKUP(B45,'Факт продаж'!A:B,2,0),"нет продаж")</f>
        <v>112</v>
      </c>
      <c r="D45" s="47">
        <f>IFERROR(VLOOKUP(B45,'Факт продаж'!A:C,3,0),"нет продаж")</f>
        <v>186479.64359999998</v>
      </c>
      <c r="E45" s="47">
        <f>IFERROR(VLOOKUP(B45,'Факт продаж'!A:E,5,0),"нет продаж")</f>
        <v>81569.816705918784</v>
      </c>
      <c r="F45" s="25">
        <f>IFERROR(VLOOKUP(B45,'Факт продаж'!A:C,3,0)/SUM('План Антонова'!$C$11:$C$13),0)</f>
        <v>1.415959687341632E-3</v>
      </c>
      <c r="G45" s="5">
        <f>IFERROR(VLOOKUP(B45,'Факт продаж'!J:K,2,0),"нет продаж")</f>
        <v>744</v>
      </c>
      <c r="H45" s="48">
        <f>IFERROR(VLOOKUP(B45,'Факт продаж'!J:L,3,0),"нет продаж")</f>
        <v>1808074.96</v>
      </c>
      <c r="I45" s="48">
        <f>IFERROR(VLOOKUP(B45,'Факт продаж'!J:N,5,0),"нет продаж")</f>
        <v>844152.3329129729</v>
      </c>
      <c r="J45" s="7">
        <f>IFERROR(VLOOKUP(B45,'Факт продаж'!J:L,3,0)/SUM('План Антонова'!$C$14:$C$16),0)</f>
        <v>1.2484504885600099E-2</v>
      </c>
      <c r="K45" s="44">
        <f>IFERROR(VLOOKUP(B45,'Факт продаж'!J:O,6,0),"-")</f>
        <v>9.3488320435531929</v>
      </c>
      <c r="L45" s="44">
        <f>IF(AND(F45=0,J45&gt;0),5,IF(J45/F45&gt;5,5,IF(J45/F45=0,0.0000001,J45/F45)))</f>
        <v>5</v>
      </c>
      <c r="M45" s="5">
        <f>IFERROR(VLOOKUP(B45,'Факт продаж'!S:T,2,0),"нет продаж")</f>
        <v>999</v>
      </c>
      <c r="N45" s="48">
        <f>IFERROR(VLOOKUP(B45,'Факт продаж'!S:U,3,0),"нет продаж")</f>
        <v>2273770.25</v>
      </c>
      <c r="O45" s="48">
        <f>IFERROR(VLOOKUP(B45,'Факт продаж'!S:W,5,0),"нет продаж")</f>
        <v>960884.8730602049</v>
      </c>
      <c r="P45" s="7">
        <f>IFERROR(VLOOKUP(B45,'Факт продаж'!S:U,3,0)/SUM('План Антонова'!$C$17:$C$19),0)</f>
        <v>1.3849649116792363E-2</v>
      </c>
      <c r="Q45" s="44">
        <f>IFERROR(VLOOKUP(B45,'Факт продаж'!S:X,6,0),"-")</f>
        <v>0.13828373813102579</v>
      </c>
      <c r="R45" s="44">
        <f>IF(AND(J45=0,P45&gt;0),5,IF(P45/J45&gt;5,5,IF(P45/J45=0,0.0000001,P45/J45)))</f>
        <v>1.109347086144109</v>
      </c>
      <c r="S45" s="16">
        <f>IFERROR(VLOOKUP(B45,'Факт продаж'!AB:AD,2,0),"нет продаж")</f>
        <v>947</v>
      </c>
      <c r="T45" s="16">
        <f>IFERROR(VLOOKUP(B45,'Факт продаж'!AB:AD,3,0),"нет продаж")</f>
        <v>2134168.4</v>
      </c>
      <c r="U45" s="16">
        <f>IFERROR(VLOOKUP(B45,'Факт продаж'!AB:AF,5,0),"нет продаж")</f>
        <v>868272.03655471012</v>
      </c>
      <c r="V45" s="7">
        <f>IFERROR(VLOOKUP(B45,'Факт продаж'!AB:AD,3,0)/SUM('План Антонова'!$C$20:$C$22),0)</f>
        <v>1.3869314249810895E-2</v>
      </c>
      <c r="W45" s="44">
        <f>IFERROR(VLOOKUP(B45,'Факт продаж'!AB:AG,6,0),"-")</f>
        <v>-9.6382864484632291E-2</v>
      </c>
      <c r="X45" s="44">
        <f>IF(AND(P45=0,V45&gt;0),5,IF(V45/P45&gt;5,5,IF(V45/P45=0,0.0000001,V45/P45)))</f>
        <v>1.0014199011724194</v>
      </c>
      <c r="Y45" s="44">
        <f>IFERROR(VLOOKUP(B45,'Факт продаж'!AB:AH,7,0),"-")</f>
        <v>9.6445260222303215</v>
      </c>
      <c r="Z45" s="44">
        <f>IF(AND(F45=0,V45&gt;0),5,IF(V45/F45&gt;5,5,IF(V45/F45=0,0.0000001,V45/F45)))</f>
        <v>5</v>
      </c>
      <c r="AB45" s="10" t="str">
        <f>IFERROR(VLOOKUP(VALUE(IF(L45&lt;1,1,0)&amp;IF(J45&lt;'Факт продаж'!$M$24,0,1)),$AB$1:$AC$4,2,FALSE),"НЕТ ПРОДАЖ")</f>
        <v>Звезда</v>
      </c>
      <c r="AC45" s="10" t="str">
        <f>IFERROR(VLOOKUP(VALUE(IF(R45&lt;1,1,0)&amp;IF(P45&lt;'Факт продаж'!$V$24,0,1)),$AB$1:$AC$4,2,FALSE),"НЕТ ПРОДАЖ")</f>
        <v>Звезда</v>
      </c>
      <c r="AD45" s="10" t="str">
        <f>IFERROR(VLOOKUP(VALUE(IF(X45&lt;1,1,0)&amp;IF(V45&lt;'Факт продаж'!$AE$24,0,1)),$AB$1:$AC$4,2,FALSE),"НЕТ ПРОДАЖ")</f>
        <v>Звезда</v>
      </c>
      <c r="AE45" s="18" t="str">
        <f>IFERROR(VLOOKUP(VALUE(IF(Z45&lt;1,1,0)&amp;IF(V45&lt;'Факт продаж'!$AE$24,0,1)),$AB$1:$AC$4,2,FALSE),"НЕТ ПРОДАЖ")</f>
        <v>Звезда</v>
      </c>
      <c r="AF45" s="74" t="str">
        <f>VLOOKUP(B45,'ABC расчет'!B:G,6,0)</f>
        <v>B</v>
      </c>
      <c r="AG45" s="74" t="str">
        <f>VLOOKUP(B45,'ABC расчет'!K:P,6,0)</f>
        <v>A</v>
      </c>
      <c r="AH45" s="74" t="str">
        <f>VLOOKUP(B45,'ABC расчет'!T:Y,6,0)</f>
        <v>A</v>
      </c>
      <c r="AI45" s="74" t="str">
        <f>VLOOKUP(B45,'ABC расчет'!AC:AH,6,0)</f>
        <v>A</v>
      </c>
      <c r="AJ45" s="74" t="s">
        <v>452</v>
      </c>
      <c r="AK45" s="74"/>
      <c r="AL45" s="19"/>
    </row>
    <row r="46" spans="1:38" x14ac:dyDescent="0.3">
      <c r="A46" s="51" t="s">
        <v>357</v>
      </c>
      <c r="B46" s="20" t="s">
        <v>188</v>
      </c>
      <c r="C46" s="20" t="str">
        <f>IFERROR(VLOOKUP(B46,'Факт продаж'!A:B,2,0),"нет продаж")</f>
        <v>нет продаж</v>
      </c>
      <c r="D46" s="47" t="str">
        <f>IFERROR(VLOOKUP(B46,'Факт продаж'!A:C,3,0),"нет продаж")</f>
        <v>нет продаж</v>
      </c>
      <c r="E46" s="47" t="str">
        <f>IFERROR(VLOOKUP(B46,'Факт продаж'!A:E,5,0),"нет продаж")</f>
        <v>нет продаж</v>
      </c>
      <c r="F46" s="25">
        <f>IFERROR(VLOOKUP(B46,'Факт продаж'!A:C,3,0)/SUM('План Антонова'!$C$11:$C$13),0)</f>
        <v>0</v>
      </c>
      <c r="G46" s="5">
        <f>IFERROR(VLOOKUP(B46,'Факт продаж'!J:K,2,0),"нет продаж")</f>
        <v>472</v>
      </c>
      <c r="H46" s="48">
        <f>IFERROR(VLOOKUP(B46,'Факт продаж'!J:L,3,0),"нет продаж")</f>
        <v>720263.85</v>
      </c>
      <c r="I46" s="48">
        <f>IFERROR(VLOOKUP(B46,'Факт продаж'!J:N,5,0),"нет продаж")</f>
        <v>332301.33175159222</v>
      </c>
      <c r="J46" s="7">
        <f>IFERROR(VLOOKUP(B46,'Факт продаж'!J:L,3,0)/SUM('План Антонова'!$C$14:$C$16),0)</f>
        <v>4.9733212135442311E-3</v>
      </c>
      <c r="K46" s="44">
        <f>IFERROR(VLOOKUP(B46,'Факт продаж'!J:O,6,0),"-")</f>
        <v>1</v>
      </c>
      <c r="L46" s="44">
        <f>IF(AND(F46=0,J46&gt;0),5,IF(J46/F46&gt;5,5,IF(J46/F46=0,0.0000001,J46/F46)))</f>
        <v>5</v>
      </c>
      <c r="M46" s="5">
        <f>IFERROR(VLOOKUP(B46,'Факт продаж'!S:T,2,0),"нет продаж")</f>
        <v>1261</v>
      </c>
      <c r="N46" s="48">
        <f>IFERROR(VLOOKUP(B46,'Факт продаж'!S:U,3,0),"нет продаж")</f>
        <v>1817241.8500000013</v>
      </c>
      <c r="O46" s="48">
        <f>IFERROR(VLOOKUP(B46,'Факт продаж'!S:W,5,0),"нет продаж")</f>
        <v>761525.34849541192</v>
      </c>
      <c r="P46" s="7">
        <f>IFERROR(VLOOKUP(B46,'Факт продаж'!S:U,3,0)/SUM('План Антонова'!$C$17:$C$19),0)</f>
        <v>1.1068911638214387E-2</v>
      </c>
      <c r="Q46" s="44">
        <f>IFERROR(VLOOKUP(B46,'Факт продаж'!S:X,6,0),"-")</f>
        <v>1.2916710699934266</v>
      </c>
      <c r="R46" s="44">
        <f>IF(AND(J46=0,P46&gt;0),5,IF(P46/J46&gt;5,5,IF(P46/J46=0,0.0000001,P46/J46)))</f>
        <v>2.2256578979997435</v>
      </c>
      <c r="S46" s="16">
        <f>IFERROR(VLOOKUP(B46,'Факт продаж'!AB:AD,2,0),"нет продаж")</f>
        <v>1717</v>
      </c>
      <c r="T46" s="16">
        <f>IFERROR(VLOOKUP(B46,'Факт продаж'!AB:AD,3,0),"нет продаж")</f>
        <v>2809770.41</v>
      </c>
      <c r="U46" s="16">
        <f>IFERROR(VLOOKUP(B46,'Факт продаж'!AB:AF,5,0),"нет продаж")</f>
        <v>857147.60134478286</v>
      </c>
      <c r="V46" s="7">
        <f>IFERROR(VLOOKUP(B46,'Факт продаж'!AB:AD,3,0)/SUM('План Антонова'!$C$20:$C$22),0)</f>
        <v>1.82598471545685E-2</v>
      </c>
      <c r="W46" s="44">
        <f>IFERROR(VLOOKUP(B46,'Факт продаж'!AB:AG,6,0),"-")</f>
        <v>0.12556673660081996</v>
      </c>
      <c r="X46" s="44">
        <f>IF(AND(P46=0,V46&gt;0),5,IF(V46/P46&gt;5,5,IF(V46/P46=0,0.0000001,V46/P46)))</f>
        <v>1.6496515422101734</v>
      </c>
      <c r="Y46" s="44">
        <f>IFERROR(VLOOKUP(B46,'Факт продаж'!AB:AH,7,0),"-")</f>
        <v>1</v>
      </c>
      <c r="Z46" s="44">
        <f>IF(AND(F46=0,V46&gt;0),5,IF(V46/F46&gt;5,5,IF(V46/F46=0,0.0000001,V46/F46)))</f>
        <v>5</v>
      </c>
      <c r="AB46" s="10" t="str">
        <f>IFERROR(VLOOKUP(VALUE(IF(L46&lt;1,1,0)&amp;IF(J46&lt;'Факт продаж'!$M$24,0,1)),$AB$1:$AC$4,2,FALSE),"НЕТ ПРОДАЖ")</f>
        <v>Звезда</v>
      </c>
      <c r="AC46" s="10" t="str">
        <f>IFERROR(VLOOKUP(VALUE(IF(R46&lt;1,1,0)&amp;IF(P46&lt;'Факт продаж'!$V$24,0,1)),$AB$1:$AC$4,2,FALSE),"НЕТ ПРОДАЖ")</f>
        <v>Звезда</v>
      </c>
      <c r="AD46" s="10" t="str">
        <f>IFERROR(VLOOKUP(VALUE(IF(X46&lt;1,1,0)&amp;IF(V46&lt;'Факт продаж'!$AE$24,0,1)),$AB$1:$AC$4,2,FALSE),"НЕТ ПРОДАЖ")</f>
        <v>Звезда</v>
      </c>
      <c r="AE46" s="18" t="str">
        <f>IFERROR(VLOOKUP(VALUE(IF(Z46&lt;1,1,0)&amp;IF(V46&lt;'Факт продаж'!$AE$24,0,1)),$AB$1:$AC$4,2,FALSE),"НЕТ ПРОДАЖ")</f>
        <v>Звезда</v>
      </c>
      <c r="AF46" s="74" t="str">
        <f>VLOOKUP(B46,'ABC расчет'!B:G,6,0)</f>
        <v>A</v>
      </c>
      <c r="AG46" s="74" t="str">
        <f>VLOOKUP(B46,'ABC расчет'!K:P,6,0)</f>
        <v>A</v>
      </c>
      <c r="AH46" s="74" t="str">
        <f>VLOOKUP(B46,'ABC расчет'!T:Y,6,0)</f>
        <v>A</v>
      </c>
      <c r="AI46" s="74" t="str">
        <f>VLOOKUP(B46,'ABC расчет'!AC:AH,6,0)</f>
        <v>A</v>
      </c>
      <c r="AJ46" s="74"/>
      <c r="AK46" s="74"/>
      <c r="AL46" s="19"/>
    </row>
    <row r="47" spans="1:38" x14ac:dyDescent="0.3">
      <c r="A47" s="51" t="s">
        <v>251</v>
      </c>
      <c r="B47" s="21" t="s">
        <v>186</v>
      </c>
      <c r="C47" s="20">
        <f>IFERROR(VLOOKUP(B47,'Факт продаж'!A:B,2,0),"нет продаж")</f>
        <v>181</v>
      </c>
      <c r="D47" s="47">
        <f>IFERROR(VLOOKUP(B47,'Факт продаж'!A:C,3,0),"нет продаж")</f>
        <v>525021.34080000001</v>
      </c>
      <c r="E47" s="47">
        <f>IFERROR(VLOOKUP(B47,'Факт продаж'!A:E,5,0),"нет продаж")</f>
        <v>190891.92453317432</v>
      </c>
      <c r="F47" s="25">
        <f>IFERROR(VLOOKUP(B47,'Факт продаж'!A:C,3,0)/SUM('План Антонова'!$C$11:$C$13),0)</f>
        <v>3.9865426553552926E-3</v>
      </c>
      <c r="G47" s="5">
        <f>IFERROR(VLOOKUP(B47,'Факт продаж'!J:K,2,0),"нет продаж")</f>
        <v>874</v>
      </c>
      <c r="H47" s="48">
        <f>IFERROR(VLOOKUP(B47,'Факт продаж'!J:L,3,0),"нет продаж")</f>
        <v>3239244.0466</v>
      </c>
      <c r="I47" s="48">
        <f>IFERROR(VLOOKUP(B47,'Факт продаж'!J:N,5,0),"нет продаж")</f>
        <v>1211909.4537732461</v>
      </c>
      <c r="J47" s="7">
        <f>IFERROR(VLOOKUP(B47,'Факт продаж'!J:L,3,0)/SUM('План Антонова'!$C$14:$C$16),0)</f>
        <v>2.2366527395207517E-2</v>
      </c>
      <c r="K47" s="44">
        <f>IFERROR(VLOOKUP(B47,'Факт продаж'!J:O,6,0),"-")</f>
        <v>5.3486680054013149</v>
      </c>
      <c r="L47" s="44">
        <f>IF(AND(F47=0,J47&gt;0),5,IF(J47/F47&gt;5,5,IF(J47/F47=0,0.0000001,J47/F47)))</f>
        <v>5</v>
      </c>
      <c r="M47" s="5">
        <f>IFERROR(VLOOKUP(B47,'Факт продаж'!S:T,2,0),"нет продаж")</f>
        <v>766</v>
      </c>
      <c r="N47" s="48">
        <f>IFERROR(VLOOKUP(B47,'Факт продаж'!S:U,3,0),"нет продаж")</f>
        <v>3015084.87</v>
      </c>
      <c r="O47" s="48">
        <f>IFERROR(VLOOKUP(B47,'Факт продаж'!S:W,5,0),"нет продаж")</f>
        <v>996852.6349227305</v>
      </c>
      <c r="P47" s="7">
        <f>IFERROR(VLOOKUP(B47,'Факт продаж'!S:U,3,0)/SUM('План Антонова'!$C$17:$C$19),0)</f>
        <v>1.8365033805350175E-2</v>
      </c>
      <c r="Q47" s="44">
        <f>IFERROR(VLOOKUP(B47,'Факт продаж'!S:X,6,0),"-")</f>
        <v>-0.17745287668228205</v>
      </c>
      <c r="R47" s="44">
        <f>IF(AND(J47=0,P47&gt;0),5,IF(P47/J47&gt;5,5,IF(P47/J47=0,0.0000001,P47/J47)))</f>
        <v>0.82109455262533315</v>
      </c>
      <c r="S47" s="16">
        <f>IFERROR(VLOOKUP(B47,'Факт продаж'!AB:AD,2,0),"нет продаж")</f>
        <v>560</v>
      </c>
      <c r="T47" s="16">
        <f>IFERROR(VLOOKUP(B47,'Факт продаж'!AB:AD,3,0),"нет продаж")</f>
        <v>2235986.65</v>
      </c>
      <c r="U47" s="16">
        <f>IFERROR(VLOOKUP(B47,'Факт продаж'!AB:AF,5,0),"нет продаж")</f>
        <v>822153.66137991566</v>
      </c>
      <c r="V47" s="7">
        <f>IFERROR(VLOOKUP(B47,'Факт продаж'!AB:AD,3,0)/SUM('План Антонова'!$C$20:$C$22),0)</f>
        <v>1.4531000228113173E-2</v>
      </c>
      <c r="W47" s="44">
        <f>IFERROR(VLOOKUP(B47,'Факт продаж'!AB:AG,6,0),"-")</f>
        <v>-0.17525055100682596</v>
      </c>
      <c r="X47" s="44">
        <f>IF(AND(P47=0,V47&gt;0),5,IF(V47/P47&gt;5,5,IF(V47/P47=0,0.0000001,V47/P47)))</f>
        <v>0.79123188022011393</v>
      </c>
      <c r="Y47" s="44">
        <f>IFERROR(VLOOKUP(B47,'Факт продаж'!AB:AH,7,0),"-")</f>
        <v>3.3069064518600788</v>
      </c>
      <c r="Z47" s="44">
        <f>IF(AND(F47=0,V47&gt;0),5,IF(V47/F47&gt;5,5,IF(V47/F47=0,0.0000001,V47/F47)))</f>
        <v>3.6450131064302198</v>
      </c>
      <c r="AB47" s="10" t="str">
        <f>IFERROR(VLOOKUP(VALUE(IF(L47&lt;1,1,0)&amp;IF(J47&lt;'Факт продаж'!$M$24,0,1)),$AB$1:$AC$4,2,FALSE),"НЕТ ПРОДАЖ")</f>
        <v>Звезда</v>
      </c>
      <c r="AC47" s="10" t="str">
        <f>IFERROR(VLOOKUP(VALUE(IF(R47&lt;1,1,0)&amp;IF(P47&lt;'Факт продаж'!$V$24,0,1)),$AB$1:$AC$4,2,FALSE),"НЕТ ПРОДАЖ")</f>
        <v>Корова</v>
      </c>
      <c r="AD47" s="10" t="str">
        <f>IFERROR(VLOOKUP(VALUE(IF(X47&lt;1,1,0)&amp;IF(V47&lt;'Факт продаж'!$AE$24,0,1)),$AB$1:$AC$4,2,FALSE),"НЕТ ПРОДАЖ")</f>
        <v>Корова</v>
      </c>
      <c r="AE47" s="18" t="str">
        <f>IFERROR(VLOOKUP(VALUE(IF(Z47&lt;1,1,0)&amp;IF(V47&lt;'Факт продаж'!$AE$24,0,1)),$AB$1:$AC$4,2,FALSE),"НЕТ ПРОДАЖ")</f>
        <v>Звезда</v>
      </c>
      <c r="AF47" s="74" t="str">
        <f>VLOOKUP(B47,'ABC расчет'!B:G,6,0)</f>
        <v>A</v>
      </c>
      <c r="AG47" s="74" t="str">
        <f>VLOOKUP(B47,'ABC расчет'!K:P,6,0)</f>
        <v>A</v>
      </c>
      <c r="AH47" s="74" t="str">
        <f>VLOOKUP(B47,'ABC расчет'!T:Y,6,0)</f>
        <v>A</v>
      </c>
      <c r="AI47" s="74" t="str">
        <f>VLOOKUP(B47,'ABC расчет'!AC:AH,6,0)</f>
        <v>A</v>
      </c>
      <c r="AJ47" s="74" t="s">
        <v>452</v>
      </c>
      <c r="AK47" s="74"/>
      <c r="AL47" s="19"/>
    </row>
    <row r="48" spans="1:38" x14ac:dyDescent="0.3">
      <c r="A48" s="51" t="s">
        <v>116</v>
      </c>
      <c r="B48" s="21" t="s">
        <v>76</v>
      </c>
      <c r="C48" s="20">
        <f>IFERROR(VLOOKUP(B48,'Факт продаж'!A:B,2,0),"нет продаж")</f>
        <v>783</v>
      </c>
      <c r="D48" s="47">
        <f>IFERROR(VLOOKUP(B48,'Факт продаж'!A:C,3,0),"нет продаж")</f>
        <v>916268.18090000004</v>
      </c>
      <c r="E48" s="47">
        <f>IFERROR(VLOOKUP(B48,'Факт продаж'!A:E,5,0),"нет продаж")</f>
        <v>327904.70501482149</v>
      </c>
      <c r="F48" s="25">
        <f>IFERROR(VLOOKUP(B48,'Факт продаж'!A:C,3,0)/SUM('План Антонова'!$C$11:$C$13),0)</f>
        <v>6.9573213563791378E-3</v>
      </c>
      <c r="G48" s="5">
        <f>IFERROR(VLOOKUP(B48,'Факт продаж'!J:K,2,0),"нет продаж")</f>
        <v>316</v>
      </c>
      <c r="H48" s="48">
        <f>IFERROR(VLOOKUP(B48,'Факт продаж'!J:L,3,0),"нет продаж")</f>
        <v>519873.7</v>
      </c>
      <c r="I48" s="48">
        <f>IFERROR(VLOOKUP(B48,'Факт продаж'!J:N,5,0),"нет продаж")</f>
        <v>236045.19477547638</v>
      </c>
      <c r="J48" s="7">
        <f>IFERROR(VLOOKUP(B48,'Факт продаж'!J:L,3,0)/SUM('План Антонова'!$C$14:$C$16),0)</f>
        <v>3.5896552361662044E-3</v>
      </c>
      <c r="K48" s="44">
        <f>IFERROR(VLOOKUP(B48,'Факт продаж'!J:O,6,0),"-")</f>
        <v>-0.28014087274286903</v>
      </c>
      <c r="L48" s="44">
        <f>IF(AND(F48=0,J48&gt;0),5,IF(J48/F48&gt;5,5,IF(J48/F48=0,0.0000001,J48/F48)))</f>
        <v>0.51595363391901761</v>
      </c>
      <c r="M48" s="5">
        <f>IFERROR(VLOOKUP(B48,'Факт продаж'!S:T,2,0),"нет продаж")</f>
        <v>490</v>
      </c>
      <c r="N48" s="48">
        <f>IFERROR(VLOOKUP(B48,'Факт продаж'!S:U,3,0),"нет продаж")</f>
        <v>814034.05000000016</v>
      </c>
      <c r="O48" s="48">
        <f>IFERROR(VLOOKUP(B48,'Факт продаж'!S:W,5,0),"нет продаж")</f>
        <v>380530.85671768163</v>
      </c>
      <c r="P48" s="7">
        <f>IFERROR(VLOOKUP(B48,'Факт продаж'!S:U,3,0)/SUM('План Антонова'!$C$17:$C$19),0)</f>
        <v>4.9583223993811213E-3</v>
      </c>
      <c r="Q48" s="44">
        <f>IFERROR(VLOOKUP(B48,'Факт продаж'!S:X,6,0),"-")</f>
        <v>0.61211016000405527</v>
      </c>
      <c r="R48" s="44">
        <f>IF(AND(J48=0,P48&gt;0),5,IF(P48/J48&gt;5,5,IF(P48/J48=0,0.0000001,P48/J48)))</f>
        <v>1.3812809512806221</v>
      </c>
      <c r="S48" s="16">
        <f>IFERROR(VLOOKUP(B48,'Факт продаж'!AB:AD,2,0),"нет продаж")</f>
        <v>935</v>
      </c>
      <c r="T48" s="16">
        <f>IFERROR(VLOOKUP(B48,'Факт продаж'!AB:AD,3,0),"нет продаж")</f>
        <v>1581229.5000000005</v>
      </c>
      <c r="U48" s="16">
        <f>IFERROR(VLOOKUP(B48,'Факт продаж'!AB:AF,5,0),"нет продаж")</f>
        <v>739746.66917685955</v>
      </c>
      <c r="V48" s="7">
        <f>IFERROR(VLOOKUP(B48,'Факт продаж'!AB:AD,3,0)/SUM('План Антонова'!$C$20:$C$22),0)</f>
        <v>1.0275931757105655E-2</v>
      </c>
      <c r="W48" s="44">
        <f>IFERROR(VLOOKUP(B48,'Факт продаж'!AB:AG,6,0),"-")</f>
        <v>0.94398602930033215</v>
      </c>
      <c r="X48" s="44">
        <f>IF(AND(P48=0,V48&gt;0),5,IF(V48/P48&gt;5,5,IF(V48/P48=0,0.0000001,V48/P48)))</f>
        <v>2.0724613950856154</v>
      </c>
      <c r="Y48" s="44">
        <f>IFERROR(VLOOKUP(B48,'Факт продаж'!AB:AH,7,0),"-")</f>
        <v>1.2559806488394929</v>
      </c>
      <c r="Z48" s="44">
        <f>IF(AND(F48=0,V48&gt;0),5,IF(V48/F48&gt;5,5,IF(V48/F48=0,0.0000001,V48/F48)))</f>
        <v>1.4769954168760218</v>
      </c>
      <c r="AB48" s="10" t="str">
        <f>IFERROR(VLOOKUP(VALUE(IF(L48&lt;1,1,0)&amp;IF(J48&lt;'Факт продаж'!$M$24,0,1)),$AB$1:$AC$4,2,FALSE),"НЕТ ПРОДАЖ")</f>
        <v>Корова</v>
      </c>
      <c r="AC48" s="10" t="str">
        <f>IFERROR(VLOOKUP(VALUE(IF(R48&lt;1,1,0)&amp;IF(P48&lt;'Факт продаж'!$V$24,0,1)),$AB$1:$AC$4,2,FALSE),"НЕТ ПРОДАЖ")</f>
        <v>Звезда</v>
      </c>
      <c r="AD48" s="10" t="str">
        <f>IFERROR(VLOOKUP(VALUE(IF(X48&lt;1,1,0)&amp;IF(V48&lt;'Факт продаж'!$AE$24,0,1)),$AB$1:$AC$4,2,FALSE),"НЕТ ПРОДАЖ")</f>
        <v>Звезда</v>
      </c>
      <c r="AE48" s="18" t="str">
        <f>IFERROR(VLOOKUP(VALUE(IF(Z48&lt;1,1,0)&amp;IF(V48&lt;'Факт продаж'!$AE$24,0,1)),$AB$1:$AC$4,2,FALSE),"НЕТ ПРОДАЖ")</f>
        <v>Звезда</v>
      </c>
      <c r="AF48" s="74" t="str">
        <f>VLOOKUP(B48,'ABC расчет'!B:G,6,0)</f>
        <v>A</v>
      </c>
      <c r="AG48" s="74" t="str">
        <f>VLOOKUP(B48,'ABC расчет'!K:P,6,0)</f>
        <v>B</v>
      </c>
      <c r="AH48" s="74" t="str">
        <f>VLOOKUP(B48,'ABC расчет'!T:Y,6,0)</f>
        <v>A</v>
      </c>
      <c r="AI48" s="74" t="str">
        <f>VLOOKUP(B48,'ABC расчет'!AC:AH,6,0)</f>
        <v>A</v>
      </c>
      <c r="AJ48" s="74"/>
      <c r="AK48" s="74"/>
      <c r="AL48" s="19"/>
    </row>
    <row r="49" spans="1:38" x14ac:dyDescent="0.3">
      <c r="A49" s="51" t="s">
        <v>116</v>
      </c>
      <c r="B49" s="21" t="s">
        <v>82</v>
      </c>
      <c r="C49" s="20">
        <f>IFERROR(VLOOKUP(B49,'Факт продаж'!A:B,2,0),"нет продаж")</f>
        <v>2</v>
      </c>
      <c r="D49" s="47">
        <f>IFERROR(VLOOKUP(B49,'Факт продаж'!A:C,3,0),"нет продаж")</f>
        <v>4923.3993</v>
      </c>
      <c r="E49" s="47">
        <f>IFERROR(VLOOKUP(B49,'Факт продаж'!A:E,5,0),"нет продаж")</f>
        <v>2359.2047681839485</v>
      </c>
      <c r="F49" s="25">
        <f>IFERROR(VLOOKUP(B49,'Факт продаж'!A:C,3,0)/SUM('План Антонова'!$C$11:$C$13),0)</f>
        <v>3.7383892412619406E-5</v>
      </c>
      <c r="G49" s="5">
        <f>IFERROR(VLOOKUP(B49,'Факт продаж'!J:K,2,0),"нет продаж")</f>
        <v>461</v>
      </c>
      <c r="H49" s="48">
        <f>IFERROR(VLOOKUP(B49,'Факт продаж'!J:L,3,0),"нет продаж")</f>
        <v>1280554.69</v>
      </c>
      <c r="I49" s="48">
        <f>IFERROR(VLOOKUP(B49,'Факт продаж'!J:N,5,0),"нет продаж")</f>
        <v>573760.21173164598</v>
      </c>
      <c r="J49" s="7">
        <f>IFERROR(VLOOKUP(B49,'Факт продаж'!J:L,3,0)/SUM('План Антонова'!$C$14:$C$16),0)</f>
        <v>8.8420511523389055E-3</v>
      </c>
      <c r="K49" s="44">
        <f>IFERROR(VLOOKUP(B49,'Факт продаж'!J:O,6,0),"-")</f>
        <v>242.20068332742093</v>
      </c>
      <c r="L49" s="44">
        <f>IF(AND(F49=0,J49&gt;0),5,IF(J49/F49&gt;5,5,IF(J49/F49=0,0.0000001,J49/F49)))</f>
        <v>5</v>
      </c>
      <c r="M49" s="5">
        <f>IFERROR(VLOOKUP(B49,'Факт продаж'!S:T,2,0),"нет продаж")</f>
        <v>717</v>
      </c>
      <c r="N49" s="48">
        <f>IFERROR(VLOOKUP(B49,'Факт продаж'!S:U,3,0),"нет продаж")</f>
        <v>1963688.2899999996</v>
      </c>
      <c r="O49" s="48">
        <f>IFERROR(VLOOKUP(B49,'Факт продаж'!S:W,5,0),"нет продаж")</f>
        <v>813674.84725037217</v>
      </c>
      <c r="P49" s="7">
        <f>IFERROR(VLOOKUP(B49,'Факт продаж'!S:U,3,0)/SUM('План Антонова'!$C$17:$C$19),0)</f>
        <v>1.1960924280390245E-2</v>
      </c>
      <c r="Q49" s="44">
        <f>IFERROR(VLOOKUP(B49,'Факт продаж'!S:X,6,0),"-")</f>
        <v>0.41814442795649431</v>
      </c>
      <c r="R49" s="44">
        <f>IF(AND(J49=0,P49&gt;0),5,IF(P49/J49&gt;5,5,IF(P49/J49=0,0.0000001,P49/J49)))</f>
        <v>1.3527318576104745</v>
      </c>
      <c r="S49" s="16">
        <f>IFERROR(VLOOKUP(B49,'Факт продаж'!AB:AD,2,0),"нет продаж")</f>
        <v>550</v>
      </c>
      <c r="T49" s="16">
        <f>IFERROR(VLOOKUP(B49,'Факт продаж'!AB:AD,3,0),"нет продаж")</f>
        <v>1559975.19</v>
      </c>
      <c r="U49" s="16">
        <f>IFERROR(VLOOKUP(B49,'Факт продаж'!AB:AF,5,0),"нет продаж")</f>
        <v>666581.75921106641</v>
      </c>
      <c r="V49" s="7">
        <f>IFERROR(VLOOKUP(B49,'Факт продаж'!AB:AD,3,0)/SUM('План Антонова'!$C$20:$C$22),0)</f>
        <v>1.0137806431778513E-2</v>
      </c>
      <c r="W49" s="44">
        <f>IFERROR(VLOOKUP(B49,'Факт продаж'!AB:AG,6,0),"-")</f>
        <v>-0.18077625053345714</v>
      </c>
      <c r="X49" s="44">
        <f>IF(AND(P49=0,V49&gt;0),5,IF(V49/P49&gt;5,5,IF(V49/P49=0,0.0000001,V49/P49)))</f>
        <v>0.84757717665676502</v>
      </c>
      <c r="Y49" s="44">
        <f>IFERROR(VLOOKUP(B49,'Факт продаж'!AB:AH,7,0),"-")</f>
        <v>281.54510511361116</v>
      </c>
      <c r="Z49" s="44">
        <f>IF(AND(F49=0,V49&gt;0),5,IF(V49/F49&gt;5,5,IF(V49/F49=0,0.0000001,V49/F49)))</f>
        <v>5</v>
      </c>
      <c r="AB49" s="10" t="str">
        <f>IFERROR(VLOOKUP(VALUE(IF(L49&lt;1,1,0)&amp;IF(J49&lt;'Факт продаж'!$M$24,0,1)),$AB$1:$AC$4,2,FALSE),"НЕТ ПРОДАЖ")</f>
        <v>Звезда</v>
      </c>
      <c r="AC49" s="10" t="str">
        <f>IFERROR(VLOOKUP(VALUE(IF(R49&lt;1,1,0)&amp;IF(P49&lt;'Факт продаж'!$V$24,0,1)),$AB$1:$AC$4,2,FALSE),"НЕТ ПРОДАЖ")</f>
        <v>Звезда</v>
      </c>
      <c r="AD49" s="10" t="str">
        <f>IFERROR(VLOOKUP(VALUE(IF(X49&lt;1,1,0)&amp;IF(V49&lt;'Факт продаж'!$AE$24,0,1)),$AB$1:$AC$4,2,FALSE),"НЕТ ПРОДАЖ")</f>
        <v>Корова</v>
      </c>
      <c r="AE49" s="18" t="str">
        <f>IFERROR(VLOOKUP(VALUE(IF(Z49&lt;1,1,0)&amp;IF(V49&lt;'Факт продаж'!$AE$24,0,1)),$AB$1:$AC$4,2,FALSE),"НЕТ ПРОДАЖ")</f>
        <v>Звезда</v>
      </c>
      <c r="AF49" s="74" t="str">
        <f>VLOOKUP(B49,'ABC расчет'!B:G,6,0)</f>
        <v>C</v>
      </c>
      <c r="AG49" s="74" t="str">
        <f>VLOOKUP(B49,'ABC расчет'!K:P,6,0)</f>
        <v>A</v>
      </c>
      <c r="AH49" s="74" t="str">
        <f>VLOOKUP(B49,'ABC расчет'!T:Y,6,0)</f>
        <v>A</v>
      </c>
      <c r="AI49" s="74" t="str">
        <f>VLOOKUP(B49,'ABC расчет'!AC:AH,6,0)</f>
        <v>A</v>
      </c>
      <c r="AJ49" s="74"/>
      <c r="AK49" s="74"/>
      <c r="AL49" s="19"/>
    </row>
    <row r="50" spans="1:38" x14ac:dyDescent="0.3">
      <c r="A50" s="51" t="s">
        <v>252</v>
      </c>
      <c r="B50" s="21" t="s">
        <v>54</v>
      </c>
      <c r="C50" s="20">
        <f>IFERROR(VLOOKUP(B50,'Факт продаж'!A:B,2,0),"нет продаж")</f>
        <v>614</v>
      </c>
      <c r="D50" s="47">
        <f>IFERROR(VLOOKUP(B50,'Факт продаж'!A:C,3,0),"нет продаж")</f>
        <v>317577.58250000002</v>
      </c>
      <c r="E50" s="47">
        <f>IFERROR(VLOOKUP(B50,'Факт продаж'!A:E,5,0),"нет продаж")</f>
        <v>135483.961687242</v>
      </c>
      <c r="F50" s="25">
        <f>IFERROR(VLOOKUP(B50,'Факт продаж'!A:C,3,0)/SUM('План Антонова'!$C$11:$C$13),0)</f>
        <v>2.4114002244018202E-3</v>
      </c>
      <c r="G50" s="5">
        <f>IFERROR(VLOOKUP(B50,'Факт продаж'!J:K,2,0),"нет продаж")</f>
        <v>2566</v>
      </c>
      <c r="H50" s="48">
        <f>IFERROR(VLOOKUP(B50,'Факт продаж'!J:L,3,0),"нет продаж")</f>
        <v>1393994.3</v>
      </c>
      <c r="I50" s="48">
        <f>IFERROR(VLOOKUP(B50,'Факт продаж'!J:N,5,0),"нет продаж")</f>
        <v>458315.52779297193</v>
      </c>
      <c r="J50" s="7">
        <f>IFERROR(VLOOKUP(B50,'Факт продаж'!J:L,3,0)/SUM('План Антонова'!$C$14:$C$16),0)</f>
        <v>9.6253358040247899E-3</v>
      </c>
      <c r="K50" s="44">
        <f>IFERROR(VLOOKUP(B50,'Факт продаж'!J:O,6,0),"-")</f>
        <v>2.3828028209786969</v>
      </c>
      <c r="L50" s="44">
        <f>IF(AND(F50=0,J50&gt;0),5,IF(J50/F50&gt;5,5,IF(J50/F50=0,0.0000001,J50/F50)))</f>
        <v>3.9915961301747336</v>
      </c>
      <c r="M50" s="5">
        <f>IFERROR(VLOOKUP(B50,'Факт продаж'!S:T,2,0),"нет продаж")</f>
        <v>3233</v>
      </c>
      <c r="N50" s="48">
        <f>IFERROR(VLOOKUP(B50,'Факт продаж'!S:U,3,0),"нет продаж")</f>
        <v>1771134.2</v>
      </c>
      <c r="O50" s="48">
        <f>IFERROR(VLOOKUP(B50,'Факт продаж'!S:W,5,0),"нет продаж")</f>
        <v>568008.4118284178</v>
      </c>
      <c r="P50" s="7">
        <f>IFERROR(VLOOKUP(B50,'Факт продаж'!S:U,3,0)/SUM('План Антонова'!$C$17:$C$19),0)</f>
        <v>1.0788067619738955E-2</v>
      </c>
      <c r="Q50" s="44">
        <f>IFERROR(VLOOKUP(B50,'Факт продаж'!S:X,6,0),"-")</f>
        <v>0.23933922676299946</v>
      </c>
      <c r="R50" s="44">
        <f>IF(AND(J50=0,P50&gt;0),5,IF(P50/J50&gt;5,5,IF(P50/J50=0,0.0000001,P50/J50)))</f>
        <v>1.1207990910018926</v>
      </c>
      <c r="S50" s="16">
        <f>IFERROR(VLOOKUP(B50,'Факт продаж'!AB:AD,2,0),"нет продаж")</f>
        <v>3796</v>
      </c>
      <c r="T50" s="16">
        <f>IFERROR(VLOOKUP(B50,'Факт продаж'!AB:AD,3,0),"нет продаж")</f>
        <v>2126404.5499999998</v>
      </c>
      <c r="U50" s="16">
        <f>IFERROR(VLOOKUP(B50,'Факт продаж'!AB:AF,5,0),"нет продаж")</f>
        <v>663921.90259101498</v>
      </c>
      <c r="V50" s="7">
        <f>IFERROR(VLOOKUP(B50,'Факт продаж'!AB:AD,3,0)/SUM('План Антонова'!$C$20:$C$22),0)</f>
        <v>1.3818859339393143E-2</v>
      </c>
      <c r="W50" s="44">
        <f>IFERROR(VLOOKUP(B50,'Факт продаж'!AB:AG,6,0),"-")</f>
        <v>0.16885927878048834</v>
      </c>
      <c r="X50" s="44">
        <f>IF(AND(P50=0,V50&gt;0),5,IF(V50/P50&gt;5,5,IF(V50/P50=0,0.0000001,V50/P50)))</f>
        <v>1.280939258677684</v>
      </c>
      <c r="Y50" s="44">
        <f>IFERROR(VLOOKUP(B50,'Факт продаж'!AB:AH,7,0),"-")</f>
        <v>3.9003726664241318</v>
      </c>
      <c r="Z50" s="44">
        <f>IF(AND(F50=0,V50&gt;0),5,IF(V50/F50&gt;5,5,IF(V50/F50=0,0.0000001,V50/F50)))</f>
        <v>5</v>
      </c>
      <c r="AB50" s="10" t="str">
        <f>IFERROR(VLOOKUP(VALUE(IF(L50&lt;1,1,0)&amp;IF(J50&lt;'Факт продаж'!$M$24,0,1)),$AB$1:$AC$4,2,FALSE),"НЕТ ПРОДАЖ")</f>
        <v>Звезда</v>
      </c>
      <c r="AC50" s="10" t="str">
        <f>IFERROR(VLOOKUP(VALUE(IF(R50&lt;1,1,0)&amp;IF(P50&lt;'Факт продаж'!$V$24,0,1)),$AB$1:$AC$4,2,FALSE),"НЕТ ПРОДАЖ")</f>
        <v>Звезда</v>
      </c>
      <c r="AD50" s="10" t="str">
        <f>IFERROR(VLOOKUP(VALUE(IF(X50&lt;1,1,0)&amp;IF(V50&lt;'Факт продаж'!$AE$24,0,1)),$AB$1:$AC$4,2,FALSE),"НЕТ ПРОДАЖ")</f>
        <v>Звезда</v>
      </c>
      <c r="AE50" s="18" t="str">
        <f>IFERROR(VLOOKUP(VALUE(IF(Z50&lt;1,1,0)&amp;IF(V50&lt;'Факт продаж'!$AE$24,0,1)),$AB$1:$AC$4,2,FALSE),"НЕТ ПРОДАЖ")</f>
        <v>Звезда</v>
      </c>
      <c r="AF50" s="74" t="str">
        <f>VLOOKUP(B50,'ABC расчет'!B:G,6,0)</f>
        <v>A</v>
      </c>
      <c r="AG50" s="74" t="str">
        <f>VLOOKUP(B50,'ABC расчет'!K:P,6,0)</f>
        <v>A</v>
      </c>
      <c r="AH50" s="74" t="str">
        <f>VLOOKUP(B50,'ABC расчет'!T:Y,6,0)</f>
        <v>A</v>
      </c>
      <c r="AI50" s="74" t="str">
        <f>VLOOKUP(B50,'ABC расчет'!AC:AH,6,0)</f>
        <v>A</v>
      </c>
      <c r="AJ50" s="74"/>
      <c r="AK50" s="74"/>
      <c r="AL50" s="19"/>
    </row>
    <row r="51" spans="1:38" x14ac:dyDescent="0.3">
      <c r="A51" s="51" t="s">
        <v>252</v>
      </c>
      <c r="B51" s="21" t="s">
        <v>92</v>
      </c>
      <c r="C51" s="20">
        <f>IFERROR(VLOOKUP(B51,'Факт продаж'!A:B,2,0),"нет продаж")</f>
        <v>428</v>
      </c>
      <c r="D51" s="47">
        <f>IFERROR(VLOOKUP(B51,'Факт продаж'!A:C,3,0),"нет продаж")</f>
        <v>136076.88290000003</v>
      </c>
      <c r="E51" s="47">
        <f>IFERROR(VLOOKUP(B51,'Факт продаж'!A:E,5,0),"нет продаж")</f>
        <v>52789.886161891336</v>
      </c>
      <c r="F51" s="25">
        <f>IFERROR(VLOOKUP(B51,'Факт продаж'!A:C,3,0)/SUM('План Антонова'!$C$11:$C$13),0)</f>
        <v>1.0332461862636675E-3</v>
      </c>
      <c r="G51" s="5">
        <f>IFERROR(VLOOKUP(B51,'Факт продаж'!J:K,2,0),"нет продаж")</f>
        <v>3580</v>
      </c>
      <c r="H51" s="48">
        <f>IFERROR(VLOOKUP(B51,'Факт продаж'!J:L,3,0),"нет продаж")</f>
        <v>1304067.68</v>
      </c>
      <c r="I51" s="48">
        <f>IFERROR(VLOOKUP(B51,'Факт продаж'!J:N,5,0),"нет продаж")</f>
        <v>620170.08879746799</v>
      </c>
      <c r="J51" s="7">
        <f>IFERROR(VLOOKUP(B51,'Факт продаж'!J:L,3,0)/SUM('План Антонова'!$C$14:$C$16),0)</f>
        <v>9.0044050618969841E-3</v>
      </c>
      <c r="K51" s="44">
        <f>IFERROR(VLOOKUP(B51,'Факт продаж'!J:O,6,0),"-")</f>
        <v>10.747895930208779</v>
      </c>
      <c r="L51" s="44">
        <f>IF(AND(F51=0,J51&gt;0),5,IF(J51/F51&gt;5,5,IF(J51/F51=0,0.0000001,J51/F51)))</f>
        <v>5</v>
      </c>
      <c r="M51" s="5">
        <f>IFERROR(VLOOKUP(B51,'Факт продаж'!S:T,2,0),"нет продаж")</f>
        <v>2538</v>
      </c>
      <c r="N51" s="48">
        <f>IFERROR(VLOOKUP(B51,'Факт продаж'!S:U,3,0),"нет продаж")</f>
        <v>1012891.9899999994</v>
      </c>
      <c r="O51" s="48">
        <f>IFERROR(VLOOKUP(B51,'Факт продаж'!S:W,5,0),"нет продаж")</f>
        <v>495487.46018008218</v>
      </c>
      <c r="P51" s="7">
        <f>IFERROR(VLOOKUP(B51,'Факт продаж'!S:U,3,0)/SUM('План Антонова'!$C$17:$C$19),0)</f>
        <v>6.1695761278913516E-3</v>
      </c>
      <c r="Q51" s="44">
        <f>IFERROR(VLOOKUP(B51,'Факт продаж'!S:X,6,0),"-")</f>
        <v>-0.20104585962723531</v>
      </c>
      <c r="R51" s="44">
        <f>IF(AND(J51=0,P51&gt;0),5,IF(P51/J51&gt;5,5,IF(P51/J51=0,0.0000001,P51/J51)))</f>
        <v>0.68517309977518814</v>
      </c>
      <c r="S51" s="16">
        <f>IFERROR(VLOOKUP(B51,'Факт продаж'!AB:AD,2,0),"нет продаж")</f>
        <v>3336</v>
      </c>
      <c r="T51" s="16">
        <f>IFERROR(VLOOKUP(B51,'Факт продаж'!AB:AD,3,0),"нет продаж")</f>
        <v>1386535.1500000004</v>
      </c>
      <c r="U51" s="16">
        <f>IFERROR(VLOOKUP(B51,'Факт продаж'!AB:AF,5,0),"нет продаж")</f>
        <v>640505.29133003391</v>
      </c>
      <c r="V51" s="7">
        <f>IFERROR(VLOOKUP(B51,'Факт продаж'!AB:AD,3,0)/SUM('План Антонова'!$C$20:$C$22),0)</f>
        <v>9.0106721258541231E-3</v>
      </c>
      <c r="W51" s="44">
        <f>IFERROR(VLOOKUP(B51,'Факт продаж'!AB:AG,6,0),"-")</f>
        <v>0.29267709640370265</v>
      </c>
      <c r="X51" s="44">
        <f>IF(AND(P51=0,V51&gt;0),5,IF(V51/P51&gt;5,5,IF(V51/P51=0,0.0000001,V51/P51)))</f>
        <v>1.4605010034836552</v>
      </c>
      <c r="Y51" s="44">
        <f>IFERROR(VLOOKUP(B51,'Факт продаж'!AB:AH,7,0),"-")</f>
        <v>11.13310612881015</v>
      </c>
      <c r="Z51" s="44">
        <f>IF(AND(F51=0,V51&gt;0),5,IF(V51/F51&gt;5,5,IF(V51/F51=0,0.0000001,V51/F51)))</f>
        <v>5</v>
      </c>
      <c r="AB51" s="10" t="str">
        <f>IFERROR(VLOOKUP(VALUE(IF(L51&lt;1,1,0)&amp;IF(J51&lt;'Факт продаж'!$M$24,0,1)),$AB$1:$AC$4,2,FALSE),"НЕТ ПРОДАЖ")</f>
        <v>Звезда</v>
      </c>
      <c r="AC51" s="10" t="str">
        <f>IFERROR(VLOOKUP(VALUE(IF(R51&lt;1,1,0)&amp;IF(P51&lt;'Факт продаж'!$V$24,0,1)),$AB$1:$AC$4,2,FALSE),"НЕТ ПРОДАЖ")</f>
        <v>Корова</v>
      </c>
      <c r="AD51" s="10" t="str">
        <f>IFERROR(VLOOKUP(VALUE(IF(X51&lt;1,1,0)&amp;IF(V51&lt;'Факт продаж'!$AE$24,0,1)),$AB$1:$AC$4,2,FALSE),"НЕТ ПРОДАЖ")</f>
        <v>Звезда</v>
      </c>
      <c r="AE51" s="18" t="str">
        <f>IFERROR(VLOOKUP(VALUE(IF(Z51&lt;1,1,0)&amp;IF(V51&lt;'Факт продаж'!$AE$24,0,1)),$AB$1:$AC$4,2,FALSE),"НЕТ ПРОДАЖ")</f>
        <v>Звезда</v>
      </c>
      <c r="AF51" s="74" t="str">
        <f>VLOOKUP(B51,'ABC расчет'!B:G,6,0)</f>
        <v>A</v>
      </c>
      <c r="AG51" s="74" t="str">
        <f>VLOOKUP(B51,'ABC расчет'!K:P,6,0)</f>
        <v>A</v>
      </c>
      <c r="AH51" s="74" t="str">
        <f>VLOOKUP(B51,'ABC расчет'!T:Y,6,0)</f>
        <v>A</v>
      </c>
      <c r="AI51" s="74" t="str">
        <f>VLOOKUP(B51,'ABC расчет'!AC:AH,6,0)</f>
        <v>A</v>
      </c>
      <c r="AJ51" s="74"/>
      <c r="AK51" s="74"/>
      <c r="AL51" s="19"/>
    </row>
    <row r="52" spans="1:38" x14ac:dyDescent="0.3">
      <c r="A52" s="51" t="s">
        <v>250</v>
      </c>
      <c r="B52" s="21" t="s">
        <v>164</v>
      </c>
      <c r="C52" s="20">
        <f>IFERROR(VLOOKUP(B52,'Факт продаж'!A:B,2,0),"нет продаж")</f>
        <v>162</v>
      </c>
      <c r="D52" s="47">
        <f>IFERROR(VLOOKUP(B52,'Факт продаж'!A:C,3,0),"нет продаж")</f>
        <v>467913.75909999997</v>
      </c>
      <c r="E52" s="47">
        <f>IFERROR(VLOOKUP(B52,'Факт продаж'!A:E,5,0),"нет продаж")</f>
        <v>108065.56703941</v>
      </c>
      <c r="F52" s="25">
        <f>IFERROR(VLOOKUP(B52,'Факт продаж'!A:C,3,0)/SUM('План Антонова'!$C$11:$C$13),0)</f>
        <v>3.5529187381934902E-3</v>
      </c>
      <c r="G52" s="5">
        <f>IFERROR(VLOOKUP(B52,'Факт продаж'!J:K,2,0),"нет продаж")</f>
        <v>341</v>
      </c>
      <c r="H52" s="48">
        <f>IFERROR(VLOOKUP(B52,'Факт продаж'!J:L,3,0),"нет продаж")</f>
        <v>1352925.05</v>
      </c>
      <c r="I52" s="48">
        <f>IFERROR(VLOOKUP(B52,'Факт продаж'!J:N,5,0),"нет продаж")</f>
        <v>541662.72452854703</v>
      </c>
      <c r="J52" s="7">
        <f>IFERROR(VLOOKUP(B52,'Факт продаж'!J:L,3,0)/SUM('План Антонова'!$C$14:$C$16),0)</f>
        <v>9.3417583729912164E-3</v>
      </c>
      <c r="K52" s="44">
        <f>IFERROR(VLOOKUP(B52,'Факт продаж'!J:O,6,0),"-")</f>
        <v>4.012352587119727</v>
      </c>
      <c r="L52" s="44">
        <f>IF(AND(F52=0,J52&gt;0),5,IF(J52/F52&gt;5,5,IF(J52/F52=0,0.0000001,J52/F52)))</f>
        <v>2.6293194585534225</v>
      </c>
      <c r="M52" s="5">
        <f>IFERROR(VLOOKUP(B52,'Факт продаж'!S:T,2,0),"нет продаж")</f>
        <v>245</v>
      </c>
      <c r="N52" s="48">
        <f>IFERROR(VLOOKUP(B52,'Факт продаж'!S:U,3,0),"нет продаж")</f>
        <v>1034041.5800000001</v>
      </c>
      <c r="O52" s="48">
        <f>IFERROR(VLOOKUP(B52,'Факт продаж'!S:W,5,0),"нет продаж")</f>
        <v>421255.03487638099</v>
      </c>
      <c r="P52" s="7">
        <f>IFERROR(VLOOKUP(B52,'Факт продаж'!S:U,3,0)/SUM('План Антонова'!$C$17:$C$19),0)</f>
        <v>6.2983993458325793E-3</v>
      </c>
      <c r="Q52" s="44">
        <f>IFERROR(VLOOKUP(B52,'Факт продаж'!S:X,6,0),"-")</f>
        <v>-0.22229273715847186</v>
      </c>
      <c r="R52" s="44">
        <f>IF(AND(J52=0,P52&gt;0),5,IF(P52/J52&gt;5,5,IF(P52/J52=0,0.0000001,P52/J52)))</f>
        <v>0.67421989462309773</v>
      </c>
      <c r="S52" s="16">
        <f>IFERROR(VLOOKUP(B52,'Факт продаж'!AB:AD,2,0),"нет продаж")</f>
        <v>316</v>
      </c>
      <c r="T52" s="16">
        <f>IFERROR(VLOOKUP(B52,'Факт продаж'!AB:AD,3,0),"нет продаж")</f>
        <v>1356730.05</v>
      </c>
      <c r="U52" s="16">
        <f>IFERROR(VLOOKUP(B52,'Факт продаж'!AB:AF,5,0),"нет продаж")</f>
        <v>636057.72264365782</v>
      </c>
      <c r="V52" s="7">
        <f>IFERROR(VLOOKUP(B52,'Факт продаж'!AB:AD,3,0)/SUM('План Антонова'!$C$20:$C$22),0)</f>
        <v>8.8169778053182914E-3</v>
      </c>
      <c r="W52" s="44">
        <f>IFERROR(VLOOKUP(B52,'Факт продаж'!AB:AG,6,0),"-")</f>
        <v>0.50991126510882312</v>
      </c>
      <c r="X52" s="44">
        <f>IF(AND(P52=0,V52&gt;0),5,IF(V52/P52&gt;5,5,IF(V52/P52=0,0.0000001,V52/P52)))</f>
        <v>1.3998759559684262</v>
      </c>
      <c r="Y52" s="44">
        <f>IFERROR(VLOOKUP(B52,'Факт продаж'!AB:AH,7,0),"-")</f>
        <v>4.8858500452016917</v>
      </c>
      <c r="Z52" s="44">
        <f>IF(AND(F52=0,V52&gt;0),5,IF(V52/F52&gt;5,5,IF(V52/F52=0,0.0000001,V52/F52)))</f>
        <v>2.4816153858338326</v>
      </c>
      <c r="AB52" s="10" t="str">
        <f>IFERROR(VLOOKUP(VALUE(IF(L52&lt;1,1,0)&amp;IF(J52&lt;'Факт продаж'!$M$24,0,1)),$AB$1:$AC$4,2,FALSE),"НЕТ ПРОДАЖ")</f>
        <v>Звезда</v>
      </c>
      <c r="AC52" s="10" t="str">
        <f>IFERROR(VLOOKUP(VALUE(IF(R52&lt;1,1,0)&amp;IF(P52&lt;'Факт продаж'!$V$24,0,1)),$AB$1:$AC$4,2,FALSE),"НЕТ ПРОДАЖ")</f>
        <v>Корова</v>
      </c>
      <c r="AD52" s="10" t="str">
        <f>IFERROR(VLOOKUP(VALUE(IF(X52&lt;1,1,0)&amp;IF(V52&lt;'Факт продаж'!$AE$24,0,1)),$AB$1:$AC$4,2,FALSE),"НЕТ ПРОДАЖ")</f>
        <v>Звезда</v>
      </c>
      <c r="AE52" s="18" t="str">
        <f>IFERROR(VLOOKUP(VALUE(IF(Z52&lt;1,1,0)&amp;IF(V52&lt;'Факт продаж'!$AE$24,0,1)),$AB$1:$AC$4,2,FALSE),"НЕТ ПРОДАЖ")</f>
        <v>Звезда</v>
      </c>
      <c r="AF52" s="74" t="str">
        <f>VLOOKUP(B52,'ABC расчет'!B:G,6,0)</f>
        <v>A</v>
      </c>
      <c r="AG52" s="74" t="str">
        <f>VLOOKUP(B52,'ABC расчет'!K:P,6,0)</f>
        <v>A</v>
      </c>
      <c r="AH52" s="74" t="str">
        <f>VLOOKUP(B52,'ABC расчет'!T:Y,6,0)</f>
        <v>A</v>
      </c>
      <c r="AI52" s="74" t="str">
        <f>VLOOKUP(B52,'ABC расчет'!AC:AH,6,0)</f>
        <v>A</v>
      </c>
      <c r="AJ52" s="74"/>
      <c r="AK52" s="74"/>
      <c r="AL52" s="19"/>
    </row>
    <row r="53" spans="1:38" x14ac:dyDescent="0.3">
      <c r="A53" s="51" t="s">
        <v>259</v>
      </c>
      <c r="B53" s="21" t="s">
        <v>91</v>
      </c>
      <c r="C53" s="20">
        <f>IFERROR(VLOOKUP(B53,'Факт продаж'!A:B,2,0),"нет продаж")</f>
        <v>359</v>
      </c>
      <c r="D53" s="47">
        <f>IFERROR(VLOOKUP(B53,'Факт продаж'!A:C,3,0),"нет продаж")</f>
        <v>603712.92960000003</v>
      </c>
      <c r="E53" s="47">
        <f>IFERROR(VLOOKUP(B53,'Факт продаж'!A:E,5,0),"нет продаж")</f>
        <v>288008.45770645514</v>
      </c>
      <c r="F53" s="25">
        <f>IFERROR(VLOOKUP(B53,'Факт продаж'!A:C,3,0)/SUM('План Антонова'!$C$11:$C$13),0)</f>
        <v>4.5840562247863332E-3</v>
      </c>
      <c r="G53" s="5">
        <f>IFERROR(VLOOKUP(B53,'Факт продаж'!J:K,2,0),"нет продаж")</f>
        <v>662</v>
      </c>
      <c r="H53" s="48">
        <f>IFERROR(VLOOKUP(B53,'Факт продаж'!J:L,3,0),"нет продаж")</f>
        <v>1439290.2500000002</v>
      </c>
      <c r="I53" s="48">
        <f>IFERROR(VLOOKUP(B53,'Факт продаж'!J:N,5,0),"нет продаж")</f>
        <v>682750.65359239676</v>
      </c>
      <c r="J53" s="7">
        <f>IFERROR(VLOOKUP(B53,'Факт продаж'!J:L,3,0)/SUM('План Антонова'!$C$14:$C$16),0)</f>
        <v>9.9380980077958675E-3</v>
      </c>
      <c r="K53" s="44">
        <f>IFERROR(VLOOKUP(B53,'Факт продаж'!J:O,6,0),"-")</f>
        <v>1.3705923743679498</v>
      </c>
      <c r="L53" s="44">
        <f>IF(AND(F53=0,J53&gt;0),5,IF(J53/F53&gt;5,5,IF(J53/F53=0,0.0000001,J53/F53)))</f>
        <v>2.1679703564846853</v>
      </c>
      <c r="M53" s="5">
        <f>IFERROR(VLOOKUP(B53,'Факт продаж'!S:T,2,0),"нет продаж")</f>
        <v>346</v>
      </c>
      <c r="N53" s="48">
        <f>IFERROR(VLOOKUP(B53,'Факт продаж'!S:U,3,0),"нет продаж")</f>
        <v>781166.04999999993</v>
      </c>
      <c r="O53" s="48">
        <f>IFERROR(VLOOKUP(B53,'Факт продаж'!S:W,5,0),"нет продаж")</f>
        <v>363617.35947069858</v>
      </c>
      <c r="P53" s="7">
        <f>IFERROR(VLOOKUP(B53,'Факт продаж'!S:U,3,0)/SUM('План Антонова'!$C$17:$C$19),0)</f>
        <v>4.7581217559032963E-3</v>
      </c>
      <c r="Q53" s="44">
        <f>IFERROR(VLOOKUP(B53,'Факт продаж'!S:X,6,0),"-")</f>
        <v>-0.46742290533524888</v>
      </c>
      <c r="R53" s="44">
        <f>IF(AND(J53=0,P53&gt;0),5,IF(P53/J53&gt;5,5,IF(P53/J53=0,0.0000001,P53/J53)))</f>
        <v>0.478775893754602</v>
      </c>
      <c r="S53" s="16">
        <f>IFERROR(VLOOKUP(B53,'Факт продаж'!AB:AD,2,0),"нет продаж")</f>
        <v>583</v>
      </c>
      <c r="T53" s="16">
        <f>IFERROR(VLOOKUP(B53,'Факт продаж'!AB:AD,3,0),"нет продаж")</f>
        <v>1355705.1400000001</v>
      </c>
      <c r="U53" s="16">
        <f>IFERROR(VLOOKUP(B53,'Факт продаж'!AB:AF,5,0),"нет продаж")</f>
        <v>635269.87573555694</v>
      </c>
      <c r="V53" s="7">
        <f>IFERROR(VLOOKUP(B53,'Факт продаж'!AB:AD,3,0)/SUM('План Антонова'!$C$20:$C$22),0)</f>
        <v>8.8103172255497159E-3</v>
      </c>
      <c r="W53" s="44">
        <f>IFERROR(VLOOKUP(B53,'Факт продаж'!AB:AG,6,0),"-")</f>
        <v>0.74708346339759668</v>
      </c>
      <c r="X53" s="44">
        <f>IF(AND(P53=0,V53&gt;0),5,IF(V53/P53&gt;5,5,IF(V53/P53=0,0.0000001,V53/P53)))</f>
        <v>1.8516376161704879</v>
      </c>
      <c r="Y53" s="44">
        <f>IFERROR(VLOOKUP(B53,'Факт продаж'!AB:AH,7,0),"-")</f>
        <v>1.2057334037844076</v>
      </c>
      <c r="Z53" s="44">
        <f>IF(AND(F53=0,V53&gt;0),5,IF(V53/F53&gt;5,5,IF(V53/F53=0,0.0000001,V53/F53)))</f>
        <v>1.9219478980017031</v>
      </c>
      <c r="AB53" s="10" t="str">
        <f>IFERROR(VLOOKUP(VALUE(IF(L53&lt;1,1,0)&amp;IF(J53&lt;'Факт продаж'!$M$24,0,1)),$AB$1:$AC$4,2,FALSE),"НЕТ ПРОДАЖ")</f>
        <v>Звезда</v>
      </c>
      <c r="AC53" s="10" t="str">
        <f>IFERROR(VLOOKUP(VALUE(IF(R53&lt;1,1,0)&amp;IF(P53&lt;'Факт продаж'!$V$24,0,1)),$AB$1:$AC$4,2,FALSE),"НЕТ ПРОДАЖ")</f>
        <v>Корова</v>
      </c>
      <c r="AD53" s="10" t="str">
        <f>IFERROR(VLOOKUP(VALUE(IF(X53&lt;1,1,0)&amp;IF(V53&lt;'Факт продаж'!$AE$24,0,1)),$AB$1:$AC$4,2,FALSE),"НЕТ ПРОДАЖ")</f>
        <v>Звезда</v>
      </c>
      <c r="AE53" s="18" t="str">
        <f>IFERROR(VLOOKUP(VALUE(IF(Z53&lt;1,1,0)&amp;IF(V53&lt;'Факт продаж'!$AE$24,0,1)),$AB$1:$AC$4,2,FALSE),"НЕТ ПРОДАЖ")</f>
        <v>Звезда</v>
      </c>
      <c r="AF53" s="74" t="str">
        <f>VLOOKUP(B53,'ABC расчет'!B:G,6,0)</f>
        <v>B</v>
      </c>
      <c r="AG53" s="74" t="str">
        <f>VLOOKUP(B53,'ABC расчет'!K:P,6,0)</f>
        <v>B</v>
      </c>
      <c r="AH53" s="74" t="str">
        <f>VLOOKUP(B53,'ABC расчет'!T:Y,6,0)</f>
        <v>B</v>
      </c>
      <c r="AI53" s="74" t="str">
        <f>VLOOKUP(B53,'ABC расчет'!AC:AH,6,0)</f>
        <v>B</v>
      </c>
      <c r="AJ53" s="74"/>
      <c r="AK53" s="74"/>
      <c r="AL53" s="5"/>
    </row>
    <row r="54" spans="1:38" x14ac:dyDescent="0.3">
      <c r="A54" s="51" t="s">
        <v>251</v>
      </c>
      <c r="B54" s="21" t="s">
        <v>31</v>
      </c>
      <c r="C54" s="20">
        <f>IFERROR(VLOOKUP(B54,'Факт продаж'!A:B,2,0),"нет продаж")</f>
        <v>257</v>
      </c>
      <c r="D54" s="47">
        <f>IFERROR(VLOOKUP(B54,'Факт продаж'!A:C,3,0),"нет продаж")</f>
        <v>519969.62660000002</v>
      </c>
      <c r="E54" s="47">
        <f>IFERROR(VLOOKUP(B54,'Факт продаж'!A:E,5,0),"нет продаж")</f>
        <v>221798.98158545443</v>
      </c>
      <c r="F54" s="25">
        <f>IFERROR(VLOOKUP(B54,'Факт продаж'!A:C,3,0)/SUM('План Антонова'!$C$11:$C$13),0)</f>
        <v>3.9481844543147833E-3</v>
      </c>
      <c r="G54" s="5">
        <f>IFERROR(VLOOKUP(B54,'Факт продаж'!J:K,2,0),"нет продаж")</f>
        <v>737</v>
      </c>
      <c r="H54" s="48">
        <f>IFERROR(VLOOKUP(B54,'Факт продаж'!J:L,3,0),"нет продаж")</f>
        <v>1850810.89</v>
      </c>
      <c r="I54" s="48">
        <f>IFERROR(VLOOKUP(B54,'Факт продаж'!J:N,5,0),"нет продаж")</f>
        <v>818359.36139637779</v>
      </c>
      <c r="J54" s="7">
        <f>IFERROR(VLOOKUP(B54,'Факт продаж'!J:L,3,0)/SUM('План Антонова'!$C$14:$C$16),0)</f>
        <v>1.2779590509083134E-2</v>
      </c>
      <c r="K54" s="44">
        <f>IFERROR(VLOOKUP(B54,'Факт продаж'!J:O,6,0),"-")</f>
        <v>2.6896443597108282</v>
      </c>
      <c r="L54" s="44">
        <f>IF(AND(F54=0,J54&gt;0),5,IF(J54/F54&gt;5,5,IF(J54/F54=0,0.0000001,J54/F54)))</f>
        <v>3.236827118124364</v>
      </c>
      <c r="M54" s="5">
        <f>IFERROR(VLOOKUP(B54,'Факт продаж'!S:T,2,0),"нет продаж")</f>
        <v>670</v>
      </c>
      <c r="N54" s="48">
        <f>IFERROR(VLOOKUP(B54,'Факт продаж'!S:U,3,0),"нет продаж")</f>
        <v>1812266.1600000001</v>
      </c>
      <c r="O54" s="48">
        <f>IFERROR(VLOOKUP(B54,'Факт продаж'!S:W,5,0),"нет продаж")</f>
        <v>689501.82775773935</v>
      </c>
      <c r="P54" s="7">
        <f>IFERROR(VLOOKUP(B54,'Факт продаж'!S:U,3,0)/SUM('План Антонова'!$C$17:$C$19),0)</f>
        <v>1.1038604459811491E-2</v>
      </c>
      <c r="Q54" s="44">
        <f>IFERROR(VLOOKUP(B54,'Факт продаж'!S:X,6,0),"-")</f>
        <v>-0.1574583730780168</v>
      </c>
      <c r="R54" s="44">
        <f>IF(AND(J54=0,P54&gt;0),5,IF(P54/J54&gt;5,5,IF(P54/J54=0,0.0000001,P54/J54)))</f>
        <v>0.86376824452753542</v>
      </c>
      <c r="S54" s="16">
        <f>IFERROR(VLOOKUP(B54,'Факт продаж'!AB:AD,2,0),"нет продаж")</f>
        <v>509</v>
      </c>
      <c r="T54" s="16">
        <f>IFERROR(VLOOKUP(B54,'Факт продаж'!AB:AD,3,0),"нет продаж")</f>
        <v>1469124.9166999999</v>
      </c>
      <c r="U54" s="16">
        <f>IFERROR(VLOOKUP(B54,'Факт продаж'!AB:AF,5,0),"нет продаж")</f>
        <v>624653.36914011952</v>
      </c>
      <c r="V54" s="7">
        <f>IFERROR(VLOOKUP(B54,'Факт продаж'!AB:AD,3,0)/SUM('План Антонова'!$C$20:$C$22),0)</f>
        <v>9.5473980131743838E-3</v>
      </c>
      <c r="W54" s="44">
        <f>IFERROR(VLOOKUP(B54,'Факт продаж'!AB:AG,6,0),"-")</f>
        <v>-9.4051177251417983E-2</v>
      </c>
      <c r="X54" s="44">
        <f>IF(AND(P54=0,V54&gt;0),5,IF(V54/P54&gt;5,5,IF(V54/P54=0,0.0000001,V54/P54)))</f>
        <v>0.86490987587550783</v>
      </c>
      <c r="Y54" s="44">
        <f>IFERROR(VLOOKUP(B54,'Факт продаж'!AB:AH,7,0),"-")</f>
        <v>1.8163040455596224</v>
      </c>
      <c r="Z54" s="44">
        <f>IF(AND(F54=0,V54&gt;0),5,IF(V54/F54&gt;5,5,IF(V54/F54=0,0.0000001,V54/F54)))</f>
        <v>2.4181742579783694</v>
      </c>
      <c r="AB54" s="10" t="str">
        <f>IFERROR(VLOOKUP(VALUE(IF(L54&lt;1,1,0)&amp;IF(J54&lt;'Факт продаж'!$M$24,0,1)),$AB$1:$AC$4,2,FALSE),"НЕТ ПРОДАЖ")</f>
        <v>Звезда</v>
      </c>
      <c r="AC54" s="10" t="str">
        <f>IFERROR(VLOOKUP(VALUE(IF(R54&lt;1,1,0)&amp;IF(P54&lt;'Факт продаж'!$V$24,0,1)),$AB$1:$AC$4,2,FALSE),"НЕТ ПРОДАЖ")</f>
        <v>Корова</v>
      </c>
      <c r="AD54" s="10" t="str">
        <f>IFERROR(VLOOKUP(VALUE(IF(X54&lt;1,1,0)&amp;IF(V54&lt;'Факт продаж'!$AE$24,0,1)),$AB$1:$AC$4,2,FALSE),"НЕТ ПРОДАЖ")</f>
        <v>Корова</v>
      </c>
      <c r="AE54" s="18" t="str">
        <f>IFERROR(VLOOKUP(VALUE(IF(Z54&lt;1,1,0)&amp;IF(V54&lt;'Факт продаж'!$AE$24,0,1)),$AB$1:$AC$4,2,FALSE),"НЕТ ПРОДАЖ")</f>
        <v>Звезда</v>
      </c>
      <c r="AF54" s="74" t="str">
        <f>VLOOKUP(B54,'ABC расчет'!B:G,6,0)</f>
        <v>A</v>
      </c>
      <c r="AG54" s="74" t="str">
        <f>VLOOKUP(B54,'ABC расчет'!K:P,6,0)</f>
        <v>A</v>
      </c>
      <c r="AH54" s="74" t="str">
        <f>VLOOKUP(B54,'ABC расчет'!T:Y,6,0)</f>
        <v>A</v>
      </c>
      <c r="AI54" s="74" t="str">
        <f>VLOOKUP(B54,'ABC расчет'!AC:AH,6,0)</f>
        <v>A</v>
      </c>
      <c r="AJ54" s="74"/>
      <c r="AK54" s="74"/>
      <c r="AL54" s="19"/>
    </row>
    <row r="55" spans="1:38" x14ac:dyDescent="0.3">
      <c r="A55" s="51" t="s">
        <v>246</v>
      </c>
      <c r="B55" s="21" t="s">
        <v>106</v>
      </c>
      <c r="C55" s="20">
        <f>IFERROR(VLOOKUP(B55,'Факт продаж'!A:B,2,0),"нет продаж")</f>
        <v>270</v>
      </c>
      <c r="D55" s="47">
        <f>IFERROR(VLOOKUP(B55,'Факт продаж'!A:C,3,0),"нет продаж")</f>
        <v>326781.973</v>
      </c>
      <c r="E55" s="47">
        <f>IFERROR(VLOOKUP(B55,'Факт продаж'!A:E,5,0),"нет продаж")</f>
        <v>179145.26317709792</v>
      </c>
      <c r="F55" s="25">
        <f>IFERROR(VLOOKUP(B55,'Факт продаж'!A:C,3,0)/SUM('План Антонова'!$C$11:$C$13),0)</f>
        <v>2.4812901364745085E-3</v>
      </c>
      <c r="G55" s="5">
        <f>IFERROR(VLOOKUP(B55,'Факт продаж'!J:K,2,0),"нет продаж")</f>
        <v>222</v>
      </c>
      <c r="H55" s="48">
        <f>IFERROR(VLOOKUP(B55,'Факт продаж'!J:L,3,0),"нет продаж")</f>
        <v>299870.4499999999</v>
      </c>
      <c r="I55" s="48">
        <f>IFERROR(VLOOKUP(B55,'Факт продаж'!J:N,5,0),"нет продаж")</f>
        <v>140528.35304829793</v>
      </c>
      <c r="J55" s="7">
        <f>IFERROR(VLOOKUP(B55,'Факт продаж'!J:L,3,0)/SUM('План Антонова'!$C$14:$C$16),0)</f>
        <v>2.0705635445955732E-3</v>
      </c>
      <c r="K55" s="44">
        <f>IFERROR(VLOOKUP(B55,'Факт продаж'!J:O,6,0),"-")</f>
        <v>-0.21556199390337449</v>
      </c>
      <c r="L55" s="44">
        <f>IF(AND(F55=0,J55&gt;0),5,IF(J55/F55&gt;5,5,IF(J55/F55=0,0.0000001,J55/F55)))</f>
        <v>0.83447054987994751</v>
      </c>
      <c r="M55" s="5">
        <f>IFERROR(VLOOKUP(B55,'Факт продаж'!S:T,2,0),"нет продаж")</f>
        <v>374</v>
      </c>
      <c r="N55" s="48">
        <f>IFERROR(VLOOKUP(B55,'Факт продаж'!S:U,3,0),"нет продаж")</f>
        <v>568407.56999999983</v>
      </c>
      <c r="O55" s="48">
        <f>IFERROR(VLOOKUP(B55,'Факт продаж'!S:W,5,0),"нет продаж")</f>
        <v>241582.8919008786</v>
      </c>
      <c r="P55" s="7">
        <f>IFERROR(VLOOKUP(B55,'Факт продаж'!S:U,3,0)/SUM('План Антонова'!$C$17:$C$19),0)</f>
        <v>3.4621991381181059E-3</v>
      </c>
      <c r="Q55" s="44">
        <f>IFERROR(VLOOKUP(B55,'Факт продаж'!S:X,6,0),"-")</f>
        <v>0.71910427085023509</v>
      </c>
      <c r="R55" s="44">
        <f>IF(AND(J55=0,P55&gt;0),5,IF(P55/J55&gt;5,5,IF(P55/J55=0,0.0000001,P55/J55)))</f>
        <v>1.6721047500111135</v>
      </c>
      <c r="S55" s="16">
        <f>IFERROR(VLOOKUP(B55,'Факт продаж'!AB:AD,2,0),"нет продаж")</f>
        <v>873</v>
      </c>
      <c r="T55" s="16">
        <f>IFERROR(VLOOKUP(B55,'Факт продаж'!AB:AD,3,0),"нет продаж")</f>
        <v>1392798.6000999999</v>
      </c>
      <c r="U55" s="16">
        <f>IFERROR(VLOOKUP(B55,'Факт продаж'!AB:AF,5,0),"нет продаж")</f>
        <v>621386.0104383924</v>
      </c>
      <c r="V55" s="7">
        <f>IFERROR(VLOOKUP(B55,'Факт продаж'!AB:AD,3,0)/SUM('План Антонова'!$C$20:$C$22),0)</f>
        <v>9.051376391611644E-3</v>
      </c>
      <c r="W55" s="44">
        <f>IFERROR(VLOOKUP(B55,'Факт продаж'!AB:AG,6,0),"-")</f>
        <v>1.5721441015506468</v>
      </c>
      <c r="X55" s="44">
        <f>IF(AND(P55=0,V55&gt;0),5,IF(V55/P55&gt;5,5,IF(V55/P55=0,0.0000001,V55/P55)))</f>
        <v>2.6143430896154518</v>
      </c>
      <c r="Y55" s="44">
        <f>IFERROR(VLOOKUP(B55,'Факт продаж'!AB:AH,7,0),"-")</f>
        <v>2.4686153539215145</v>
      </c>
      <c r="Z55" s="44">
        <f>IF(AND(F55=0,V55&gt;0),5,IF(V55/F55&gt;5,5,IF(V55/F55=0,0.0000001,V55/F55)))</f>
        <v>3.6478508734460662</v>
      </c>
      <c r="AB55" s="10" t="str">
        <f>IFERROR(VLOOKUP(VALUE(IF(L55&lt;1,1,0)&amp;IF(J55&lt;'Факт продаж'!$M$24,0,1)),$AB$1:$AC$4,2,FALSE),"НЕТ ПРОДАЖ")</f>
        <v>Корова</v>
      </c>
      <c r="AC55" s="10" t="str">
        <f>IFERROR(VLOOKUP(VALUE(IF(R55&lt;1,1,0)&amp;IF(P55&lt;'Факт продаж'!$V$24,0,1)),$AB$1:$AC$4,2,FALSE),"НЕТ ПРОДАЖ")</f>
        <v>Звезда</v>
      </c>
      <c r="AD55" s="10" t="str">
        <f>IFERROR(VLOOKUP(VALUE(IF(X55&lt;1,1,0)&amp;IF(V55&lt;'Факт продаж'!$AE$24,0,1)),$AB$1:$AC$4,2,FALSE),"НЕТ ПРОДАЖ")</f>
        <v>Звезда</v>
      </c>
      <c r="AE55" s="18" t="str">
        <f>IFERROR(VLOOKUP(VALUE(IF(Z55&lt;1,1,0)&amp;IF(V55&lt;'Факт продаж'!$AE$24,0,1)),$AB$1:$AC$4,2,FALSE),"НЕТ ПРОДАЖ")</f>
        <v>Звезда</v>
      </c>
      <c r="AF55" s="74" t="str">
        <f>VLOOKUP(B55,'ABC расчет'!B:G,6,0)</f>
        <v>A</v>
      </c>
      <c r="AG55" s="74" t="str">
        <f>VLOOKUP(B55,'ABC расчет'!K:P,6,0)</f>
        <v>A</v>
      </c>
      <c r="AH55" s="74" t="str">
        <f>VLOOKUP(B55,'ABC расчет'!T:Y,6,0)</f>
        <v>A</v>
      </c>
      <c r="AI55" s="74" t="str">
        <f>VLOOKUP(B55,'ABC расчет'!AC:AH,6,0)</f>
        <v>A</v>
      </c>
      <c r="AJ55" s="74"/>
      <c r="AK55" s="74"/>
      <c r="AL55" s="19"/>
    </row>
    <row r="56" spans="1:38" x14ac:dyDescent="0.3">
      <c r="A56" s="51" t="s">
        <v>252</v>
      </c>
      <c r="B56" s="21" t="s">
        <v>61</v>
      </c>
      <c r="C56" s="20">
        <f>IFERROR(VLOOKUP(B56,'Факт продаж'!A:B,2,0),"нет продаж")</f>
        <v>575</v>
      </c>
      <c r="D56" s="47">
        <f>IFERROR(VLOOKUP(B56,'Факт продаж'!A:C,3,0),"нет продаж")</f>
        <v>387600.86700000003</v>
      </c>
      <c r="E56" s="47">
        <f>IFERROR(VLOOKUP(B56,'Факт продаж'!A:E,5,0),"нет продаж")</f>
        <v>191890.02234814444</v>
      </c>
      <c r="F56" s="25">
        <f>IFERROR(VLOOKUP(B56,'Факт продаж'!A:C,3,0)/SUM('План Антонова'!$C$11:$C$13),0)</f>
        <v>2.9430944410635158E-3</v>
      </c>
      <c r="G56" s="5">
        <f>IFERROR(VLOOKUP(B56,'Факт продаж'!J:K,2,0),"нет продаж")</f>
        <v>1935</v>
      </c>
      <c r="H56" s="48">
        <f>IFERROR(VLOOKUP(B56,'Факт продаж'!J:L,3,0),"нет продаж")</f>
        <v>1332860.52</v>
      </c>
      <c r="I56" s="48">
        <f>IFERROR(VLOOKUP(B56,'Факт продаж'!J:N,5,0),"нет продаж")</f>
        <v>628428.96093525994</v>
      </c>
      <c r="J56" s="7">
        <f>IFERROR(VLOOKUP(B56,'Факт продаж'!J:L,3,0)/SUM('План Антонова'!$C$14:$C$16),0)</f>
        <v>9.2032155977446253E-3</v>
      </c>
      <c r="K56" s="44">
        <f>IFERROR(VLOOKUP(B56,'Факт продаж'!J:O,6,0),"-")</f>
        <v>2.2749433933313457</v>
      </c>
      <c r="L56" s="44">
        <f>IF(AND(F56=0,J56&gt;0),5,IF(J56/F56&gt;5,5,IF(J56/F56=0,0.0000001,J56/F56)))</f>
        <v>3.1270541200910134</v>
      </c>
      <c r="M56" s="5">
        <f>IFERROR(VLOOKUP(B56,'Факт продаж'!S:T,2,0),"нет продаж")</f>
        <v>2571</v>
      </c>
      <c r="N56" s="48">
        <f>IFERROR(VLOOKUP(B56,'Факт продаж'!S:U,3,0),"нет продаж")</f>
        <v>1749246.83</v>
      </c>
      <c r="O56" s="48">
        <f>IFERROR(VLOOKUP(B56,'Факт продаж'!S:W,5,0),"нет продаж")</f>
        <v>790631.69796843268</v>
      </c>
      <c r="P56" s="7">
        <f>IFERROR(VLOOKUP(B56,'Факт продаж'!S:U,3,0)/SUM('План Антонова'!$C$17:$C$19),0)</f>
        <v>1.0654750546657623E-2</v>
      </c>
      <c r="Q56" s="44">
        <f>IFERROR(VLOOKUP(B56,'Факт продаж'!S:X,6,0),"-")</f>
        <v>0.25810830995403911</v>
      </c>
      <c r="R56" s="44">
        <f>IF(AND(J56=0,P56&gt;0),5,IF(P56/J56&gt;5,5,IF(P56/J56=0,0.0000001,P56/J56)))</f>
        <v>1.1577204112515538</v>
      </c>
      <c r="S56" s="16">
        <f>IFERROR(VLOOKUP(B56,'Факт продаж'!AB:AD,2,0),"нет продаж")</f>
        <v>1773</v>
      </c>
      <c r="T56" s="16">
        <f>IFERROR(VLOOKUP(B56,'Факт продаж'!AB:AD,3,0),"нет продаж")</f>
        <v>1303100.4399999995</v>
      </c>
      <c r="U56" s="16">
        <f>IFERROR(VLOOKUP(B56,'Факт продаж'!AB:AF,5,0),"нет продаж")</f>
        <v>590609.33556144941</v>
      </c>
      <c r="V56" s="7">
        <f>IFERROR(VLOOKUP(B56,'Факт продаж'!AB:AD,3,0)/SUM('План Антонова'!$C$20:$C$22),0)</f>
        <v>8.4684552078584056E-3</v>
      </c>
      <c r="W56" s="44">
        <f>IFERROR(VLOOKUP(B56,'Факт продаж'!AB:AG,6,0),"-")</f>
        <v>-0.25299056807480735</v>
      </c>
      <c r="X56" s="44">
        <f>IF(AND(P56=0,V56&gt;0),5,IF(V56/P56&gt;5,5,IF(V56/P56=0,0.0000001,V56/P56)))</f>
        <v>0.79480558186460271</v>
      </c>
      <c r="Y56" s="44">
        <f>IFERROR(VLOOKUP(B56,'Факт продаж'!AB:AH,7,0),"-")</f>
        <v>2.0778532845752236</v>
      </c>
      <c r="Z56" s="44">
        <f>IF(AND(F56=0,V56&gt;0),5,IF(V56/F56&gt;5,5,IF(V56/F56=0,0.0000001,V56/F56)))</f>
        <v>2.8773983905179228</v>
      </c>
      <c r="AB56" s="10" t="str">
        <f>IFERROR(VLOOKUP(VALUE(IF(L56&lt;1,1,0)&amp;IF(J56&lt;'Факт продаж'!$M$24,0,1)),$AB$1:$AC$4,2,FALSE),"НЕТ ПРОДАЖ")</f>
        <v>Звезда</v>
      </c>
      <c r="AC56" s="10" t="str">
        <f>IFERROR(VLOOKUP(VALUE(IF(R56&lt;1,1,0)&amp;IF(P56&lt;'Факт продаж'!$V$24,0,1)),$AB$1:$AC$4,2,FALSE),"НЕТ ПРОДАЖ")</f>
        <v>Звезда</v>
      </c>
      <c r="AD56" s="10" t="str">
        <f>IFERROR(VLOOKUP(VALUE(IF(X56&lt;1,1,0)&amp;IF(V56&lt;'Факт продаж'!$AE$24,0,1)),$AB$1:$AC$4,2,FALSE),"НЕТ ПРОДАЖ")</f>
        <v>Корова</v>
      </c>
      <c r="AE56" s="18" t="str">
        <f>IFERROR(VLOOKUP(VALUE(IF(Z56&lt;1,1,0)&amp;IF(V56&lt;'Факт продаж'!$AE$24,0,1)),$AB$1:$AC$4,2,FALSE),"НЕТ ПРОДАЖ")</f>
        <v>Звезда</v>
      </c>
      <c r="AF56" s="74" t="str">
        <f>VLOOKUP(B56,'ABC расчет'!B:G,6,0)</f>
        <v>A</v>
      </c>
      <c r="AG56" s="74" t="str">
        <f>VLOOKUP(B56,'ABC расчет'!K:P,6,0)</f>
        <v>A</v>
      </c>
      <c r="AH56" s="74" t="str">
        <f>VLOOKUP(B56,'ABC расчет'!T:Y,6,0)</f>
        <v>A</v>
      </c>
      <c r="AI56" s="74" t="str">
        <f>VLOOKUP(B56,'ABC расчет'!AC:AH,6,0)</f>
        <v>A</v>
      </c>
      <c r="AJ56" s="74"/>
      <c r="AK56" s="74"/>
      <c r="AL56" s="19"/>
    </row>
    <row r="57" spans="1:38" x14ac:dyDescent="0.3">
      <c r="A57" s="51" t="s">
        <v>251</v>
      </c>
      <c r="B57" s="21" t="s">
        <v>74</v>
      </c>
      <c r="C57" s="20">
        <f>IFERROR(VLOOKUP(B57,'Факт продаж'!A:B,2,0),"нет продаж")</f>
        <v>42</v>
      </c>
      <c r="D57" s="47">
        <f>IFERROR(VLOOKUP(B57,'Факт продаж'!A:C,3,0),"нет продаж")</f>
        <v>246234.62159999998</v>
      </c>
      <c r="E57" s="47">
        <f>IFERROR(VLOOKUP(B57,'Факт продаж'!A:E,5,0),"нет продаж")</f>
        <v>91265.107982059635</v>
      </c>
      <c r="F57" s="25">
        <f>IFERROR(VLOOKUP(B57,'Факт продаж'!A:C,3,0)/SUM('План Антонова'!$C$11:$C$13),0)</f>
        <v>1.8696855650437393E-3</v>
      </c>
      <c r="G57" s="5">
        <f>IFERROR(VLOOKUP(B57,'Факт продаж'!J:K,2,0),"нет продаж")</f>
        <v>164</v>
      </c>
      <c r="H57" s="48">
        <f>IFERROR(VLOOKUP(B57,'Факт продаж'!J:L,3,0),"нет продаж")</f>
        <v>1149887.6583000002</v>
      </c>
      <c r="I57" s="48">
        <f>IFERROR(VLOOKUP(B57,'Факт продаж'!J:N,5,0),"нет продаж")</f>
        <v>513801.21230778331</v>
      </c>
      <c r="J57" s="7">
        <f>IFERROR(VLOOKUP(B57,'Факт продаж'!J:L,3,0)/SUM('План Антонова'!$C$14:$C$16),0)</f>
        <v>7.9398135616775591E-3</v>
      </c>
      <c r="K57" s="44">
        <f>IFERROR(VLOOKUP(B57,'Факт продаж'!J:O,6,0),"-")</f>
        <v>4.629766113998171</v>
      </c>
      <c r="L57" s="44">
        <f>IF(AND(F57=0,J57&gt;0),5,IF(J57/F57&gt;5,5,IF(J57/F57=0,0.0000001,J57/F57)))</f>
        <v>4.246603658991086</v>
      </c>
      <c r="M57" s="5">
        <f>IFERROR(VLOOKUP(B57,'Факт продаж'!S:T,2,0),"нет продаж")</f>
        <v>130</v>
      </c>
      <c r="N57" s="48">
        <f>IFERROR(VLOOKUP(B57,'Факт продаж'!S:U,3,0),"нет продаж")</f>
        <v>940250.69659999968</v>
      </c>
      <c r="O57" s="48">
        <f>IFERROR(VLOOKUP(B57,'Факт продаж'!S:W,5,0),"нет продаж")</f>
        <v>404540.4156097892</v>
      </c>
      <c r="P57" s="7">
        <f>IFERROR(VLOOKUP(B57,'Факт продаж'!S:U,3,0)/SUM('План Антонова'!$C$17:$C$19),0)</f>
        <v>5.7271143510341863E-3</v>
      </c>
      <c r="Q57" s="44">
        <f>IFERROR(VLOOKUP(B57,'Факт продаж'!S:X,6,0),"-")</f>
        <v>-0.21265188575020999</v>
      </c>
      <c r="R57" s="44">
        <f>IF(AND(J57=0,P57&gt;0),5,IF(P57/J57&gt;5,5,IF(P57/J57=0,0.0000001,P57/J57)))</f>
        <v>0.72131597380028856</v>
      </c>
      <c r="S57" s="16">
        <f>IFERROR(VLOOKUP(B57,'Факт продаж'!AB:AD,2,0),"нет продаж")</f>
        <v>205</v>
      </c>
      <c r="T57" s="16">
        <f>IFERROR(VLOOKUP(B57,'Факт продаж'!AB:AD,3,0),"нет продаж")</f>
        <v>1463084.9</v>
      </c>
      <c r="U57" s="16">
        <f>IFERROR(VLOOKUP(B57,'Факт продаж'!AB:AF,5,0),"нет продаж")</f>
        <v>580004.6999113739</v>
      </c>
      <c r="V57" s="7">
        <f>IFERROR(VLOOKUP(B57,'Факт продаж'!AB:AD,3,0)/SUM('План Антонова'!$C$20:$C$22),0)</f>
        <v>9.5081457734324751E-3</v>
      </c>
      <c r="W57" s="44">
        <f>IFERROR(VLOOKUP(B57,'Факт продаж'!AB:AG,6,0),"-")</f>
        <v>0.43373734126687036</v>
      </c>
      <c r="X57" s="44">
        <f>IF(AND(P57=0,V57&gt;0),5,IF(V57/P57&gt;5,5,IF(V57/P57=0,0.0000001,V57/P57)))</f>
        <v>1.6601983460860217</v>
      </c>
      <c r="Y57" s="44">
        <f>IFERROR(VLOOKUP(B57,'Факт продаж'!AB:AH,7,0),"-")</f>
        <v>5.3551636845199138</v>
      </c>
      <c r="Z57" s="44">
        <f>IF(AND(F57=0,V57&gt;0),5,IF(V57/F57&gt;5,5,IF(V57/F57=0,0.0000001,V57/F57)))</f>
        <v>5</v>
      </c>
      <c r="AB57" s="10" t="str">
        <f>IFERROR(VLOOKUP(VALUE(IF(L57&lt;1,1,0)&amp;IF(J57&lt;'Факт продаж'!$M$24,0,1)),$AB$1:$AC$4,2,FALSE),"НЕТ ПРОДАЖ")</f>
        <v>Звезда</v>
      </c>
      <c r="AC57" s="10" t="str">
        <f>IFERROR(VLOOKUP(VALUE(IF(R57&lt;1,1,0)&amp;IF(P57&lt;'Факт продаж'!$V$24,0,1)),$AB$1:$AC$4,2,FALSE),"НЕТ ПРОДАЖ")</f>
        <v>Корова</v>
      </c>
      <c r="AD57" s="10" t="str">
        <f>IFERROR(VLOOKUP(VALUE(IF(X57&lt;1,1,0)&amp;IF(V57&lt;'Факт продаж'!$AE$24,0,1)),$AB$1:$AC$4,2,FALSE),"НЕТ ПРОДАЖ")</f>
        <v>Звезда</v>
      </c>
      <c r="AE57" s="18" t="str">
        <f>IFERROR(VLOOKUP(VALUE(IF(Z57&lt;1,1,0)&amp;IF(V57&lt;'Факт продаж'!$AE$24,0,1)),$AB$1:$AC$4,2,FALSE),"НЕТ ПРОДАЖ")</f>
        <v>Звезда</v>
      </c>
      <c r="AF57" s="74" t="str">
        <f>VLOOKUP(B57,'ABC расчет'!B:G,6,0)</f>
        <v>B</v>
      </c>
      <c r="AG57" s="74" t="str">
        <f>VLOOKUP(B57,'ABC расчет'!K:P,6,0)</f>
        <v>A</v>
      </c>
      <c r="AH57" s="74" t="str">
        <f>VLOOKUP(B57,'ABC расчет'!T:Y,6,0)</f>
        <v>B</v>
      </c>
      <c r="AI57" s="74" t="str">
        <f>VLOOKUP(B57,'ABC расчет'!AC:AH,6,0)</f>
        <v>A</v>
      </c>
      <c r="AJ57" s="74"/>
      <c r="AK57" s="74"/>
      <c r="AL57" s="19"/>
    </row>
    <row r="58" spans="1:38" x14ac:dyDescent="0.3">
      <c r="A58" s="51" t="s">
        <v>116</v>
      </c>
      <c r="B58" s="21" t="s">
        <v>189</v>
      </c>
      <c r="C58" s="20">
        <f>IFERROR(VLOOKUP(B58,'Факт продаж'!A:B,2,0),"нет продаж")</f>
        <v>36</v>
      </c>
      <c r="D58" s="47">
        <f>IFERROR(VLOOKUP(B58,'Факт продаж'!A:C,3,0),"нет продаж")</f>
        <v>176529.53570000001</v>
      </c>
      <c r="E58" s="47">
        <f>IFERROR(VLOOKUP(B58,'Факт продаж'!A:E,5,0),"нет продаж")</f>
        <v>75609.216972544804</v>
      </c>
      <c r="F58" s="25">
        <f>IFERROR(VLOOKUP(B58,'Факт продаж'!A:C,3,0)/SUM('План Антонова'!$C$11:$C$13),0)</f>
        <v>1.3404074640581065E-3</v>
      </c>
      <c r="G58" s="5">
        <f>IFERROR(VLOOKUP(B58,'Факт продаж'!J:K,2,0),"нет продаж")</f>
        <v>174</v>
      </c>
      <c r="H58" s="48">
        <f>IFERROR(VLOOKUP(B58,'Факт продаж'!J:L,3,0),"нет продаж")</f>
        <v>974299.45</v>
      </c>
      <c r="I58" s="48">
        <f>IFERROR(VLOOKUP(B58,'Факт продаж'!J:N,5,0),"нет продаж")</f>
        <v>436884.35616027308</v>
      </c>
      <c r="J58" s="7">
        <f>IFERROR(VLOOKUP(B58,'Факт продаж'!J:L,3,0)/SUM('План Антонова'!$C$14:$C$16),0)</f>
        <v>6.7274015251903548E-3</v>
      </c>
      <c r="K58" s="44">
        <f>IFERROR(VLOOKUP(B58,'Факт продаж'!J:O,6,0),"-")</f>
        <v>4.7781891368999947</v>
      </c>
      <c r="L58" s="44">
        <f>IF(AND(F58=0,J58&gt;0),5,IF(J58/F58&gt;5,5,IF(J58/F58=0,0.0000001,J58/F58)))</f>
        <v>5</v>
      </c>
      <c r="M58" s="5">
        <f>IFERROR(VLOOKUP(B58,'Факт продаж'!S:T,2,0),"нет продаж")</f>
        <v>181</v>
      </c>
      <c r="N58" s="48">
        <f>IFERROR(VLOOKUP(B58,'Факт продаж'!S:U,3,0),"нет продаж")</f>
        <v>994524.06999999983</v>
      </c>
      <c r="O58" s="48">
        <f>IFERROR(VLOOKUP(B58,'Факт продаж'!S:W,5,0),"нет продаж")</f>
        <v>428215.42838967172</v>
      </c>
      <c r="P58" s="7">
        <f>IFERROR(VLOOKUP(B58,'Факт продаж'!S:U,3,0)/SUM('План Антонова'!$C$17:$C$19),0)</f>
        <v>6.0576962020257958E-3</v>
      </c>
      <c r="Q58" s="44">
        <f>IFERROR(VLOOKUP(B58,'Факт продаж'!S:X,6,0),"-")</f>
        <v>-1.9842614294527716E-2</v>
      </c>
      <c r="R58" s="44">
        <f>IF(AND(J58=0,P58&gt;0),5,IF(P58/J58&gt;5,5,IF(P58/J58=0,0.0000001,P58/J58)))</f>
        <v>0.90045111464554517</v>
      </c>
      <c r="S58" s="16">
        <f>IFERROR(VLOOKUP(B58,'Факт продаж'!AB:AD,2,0),"нет продаж")</f>
        <v>224</v>
      </c>
      <c r="T58" s="16">
        <f>IFERROR(VLOOKUP(B58,'Факт продаж'!AB:AD,3,0),"нет продаж")</f>
        <v>1232913.95</v>
      </c>
      <c r="U58" s="16">
        <f>IFERROR(VLOOKUP(B58,'Факт продаж'!AB:AF,5,0),"нет продаж")</f>
        <v>572590.70087620988</v>
      </c>
      <c r="V58" s="7">
        <f>IFERROR(VLOOKUP(B58,'Факт продаж'!AB:AD,3,0)/SUM('План Антонова'!$C$20:$C$22),0)</f>
        <v>8.0123344603573159E-3</v>
      </c>
      <c r="W58" s="44">
        <f>IFERROR(VLOOKUP(B58,'Факт продаж'!AB:AG,6,0),"-")</f>
        <v>0.33715569994633188</v>
      </c>
      <c r="X58" s="44">
        <f>IF(AND(P58=0,V58&gt;0),5,IF(V58/P58&gt;5,5,IF(V58/P58=0,0.0000001,V58/P58)))</f>
        <v>1.3226702352088664</v>
      </c>
      <c r="Y58" s="44">
        <f>IFERROR(VLOOKUP(B58,'Факт продаж'!AB:AH,7,0),"-")</f>
        <v>6.5730277842201286</v>
      </c>
      <c r="Z58" s="44">
        <f>IF(AND(F58=0,V58&gt;0),5,IF(V58/F58&gt;5,5,IF(V58/F58=0,0.0000001,V58/F58)))</f>
        <v>5</v>
      </c>
      <c r="AB58" s="10" t="str">
        <f>IFERROR(VLOOKUP(VALUE(IF(L58&lt;1,1,0)&amp;IF(J58&lt;'Факт продаж'!$M$24,0,1)),$AB$1:$AC$4,2,FALSE),"НЕТ ПРОДАЖ")</f>
        <v>Звезда</v>
      </c>
      <c r="AC58" s="10" t="str">
        <f>IFERROR(VLOOKUP(VALUE(IF(R58&lt;1,1,0)&amp;IF(P58&lt;'Факт продаж'!$V$24,0,1)),$AB$1:$AC$4,2,FALSE),"НЕТ ПРОДАЖ")</f>
        <v>Корова</v>
      </c>
      <c r="AD58" s="10" t="str">
        <f>IFERROR(VLOOKUP(VALUE(IF(X58&lt;1,1,0)&amp;IF(V58&lt;'Факт продаж'!$AE$24,0,1)),$AB$1:$AC$4,2,FALSE),"НЕТ ПРОДАЖ")</f>
        <v>Звезда</v>
      </c>
      <c r="AE58" s="18" t="str">
        <f>IFERROR(VLOOKUP(VALUE(IF(Z58&lt;1,1,0)&amp;IF(V58&lt;'Факт продаж'!$AE$24,0,1)),$AB$1:$AC$4,2,FALSE),"НЕТ ПРОДАЖ")</f>
        <v>Звезда</v>
      </c>
      <c r="AF58" s="74" t="str">
        <f>VLOOKUP(B58,'ABC расчет'!B:G,6,0)</f>
        <v>B</v>
      </c>
      <c r="AG58" s="74" t="str">
        <f>VLOOKUP(B58,'ABC расчет'!K:P,6,0)</f>
        <v>A</v>
      </c>
      <c r="AH58" s="74" t="str">
        <f>VLOOKUP(B58,'ABC расчет'!T:Y,6,0)</f>
        <v>A</v>
      </c>
      <c r="AI58" s="74" t="str">
        <f>VLOOKUP(B58,'ABC расчет'!AC:AH,6,0)</f>
        <v>A</v>
      </c>
      <c r="AJ58" s="74"/>
      <c r="AK58" s="74"/>
      <c r="AL58" s="19"/>
    </row>
    <row r="59" spans="1:38" x14ac:dyDescent="0.3">
      <c r="A59" s="51" t="s">
        <v>251</v>
      </c>
      <c r="B59" s="21" t="s">
        <v>85</v>
      </c>
      <c r="C59" s="20">
        <f>IFERROR(VLOOKUP(B59,'Факт продаж'!A:B,2,0),"нет продаж")</f>
        <v>308</v>
      </c>
      <c r="D59" s="47">
        <f>IFERROR(VLOOKUP(B59,'Факт продаж'!A:C,3,0),"нет продаж")</f>
        <v>1434969.8679</v>
      </c>
      <c r="E59" s="47">
        <f>IFERROR(VLOOKUP(B59,'Факт продаж'!A:E,5,0),"нет продаж")</f>
        <v>478257.17285890842</v>
      </c>
      <c r="F59" s="25">
        <f>IFERROR(VLOOKUP(B59,'Факт продаж'!A:C,3,0)/SUM('План Антонова'!$C$11:$C$13),0)</f>
        <v>1.0895878211000331E-2</v>
      </c>
      <c r="G59" s="5">
        <f>IFERROR(VLOOKUP(B59,'Факт продаж'!J:K,2,0),"нет продаж")</f>
        <v>60</v>
      </c>
      <c r="H59" s="48">
        <f>IFERROR(VLOOKUP(B59,'Факт продаж'!J:L,3,0),"нет продаж")</f>
        <v>441038.30000000005</v>
      </c>
      <c r="I59" s="48">
        <f>IFERROR(VLOOKUP(B59,'Факт продаж'!J:N,5,0),"нет продаж")</f>
        <v>243986.59734193853</v>
      </c>
      <c r="J59" s="7">
        <f>IFERROR(VLOOKUP(B59,'Факт продаж'!J:L,3,0)/SUM('План Антонова'!$C$14:$C$16),0)</f>
        <v>3.0453078179273957E-3</v>
      </c>
      <c r="K59" s="44">
        <f>IFERROR(VLOOKUP(B59,'Факт продаж'!J:O,6,0),"-")</f>
        <v>-0.48984226230535288</v>
      </c>
      <c r="L59" s="44">
        <f>IF(AND(F59=0,J59&gt;0),5,IF(J59/F59&gt;5,5,IF(J59/F59=0,0.0000001,J59/F59)))</f>
        <v>0.2794917269589976</v>
      </c>
      <c r="M59" s="5">
        <f>IFERROR(VLOOKUP(B59,'Факт продаж'!S:T,2,0),"нет продаж")</f>
        <v>21</v>
      </c>
      <c r="N59" s="48">
        <f>IFERROR(VLOOKUP(B59,'Факт продаж'!S:U,3,0),"нет продаж")</f>
        <v>179308.2</v>
      </c>
      <c r="O59" s="48">
        <f>IFERROR(VLOOKUP(B59,'Факт продаж'!S:W,5,0),"нет продаж")</f>
        <v>98384.914407400458</v>
      </c>
      <c r="P59" s="7">
        <f>IFERROR(VLOOKUP(B59,'Факт продаж'!S:U,3,0)/SUM('План Антонова'!$C$17:$C$19),0)</f>
        <v>1.0921752774993992E-3</v>
      </c>
      <c r="Q59" s="44">
        <f>IFERROR(VLOOKUP(B59,'Факт продаж'!S:X,6,0),"-")</f>
        <v>-0.59676098818855405</v>
      </c>
      <c r="R59" s="44">
        <f>IF(AND(J59=0,P59&gt;0),5,IF(P59/J59&gt;5,5,IF(P59/J59=0,0.0000001,P59/J59)))</f>
        <v>0.35864199706508559</v>
      </c>
      <c r="S59" s="16">
        <f>IFERROR(VLOOKUP(B59,'Факт продаж'!AB:AD,2,0),"нет продаж")</f>
        <v>113</v>
      </c>
      <c r="T59" s="16">
        <f>IFERROR(VLOOKUP(B59,'Факт продаж'!AB:AD,3,0),"нет продаж")</f>
        <v>885966.10000000009</v>
      </c>
      <c r="U59" s="16">
        <f>IFERROR(VLOOKUP(B59,'Факт продаж'!AB:AF,5,0),"нет продаж")</f>
        <v>494983.77244839474</v>
      </c>
      <c r="V59" s="7">
        <f>IFERROR(VLOOKUP(B59,'Факт продаж'!AB:AD,3,0)/SUM('План Антонова'!$C$20:$C$22),0)</f>
        <v>5.7576254317978776E-3</v>
      </c>
      <c r="W59" s="44">
        <f>IFERROR(VLOOKUP(B59,'Факт продаж'!AB:AG,6,0),"-")</f>
        <v>4.0310942020920466</v>
      </c>
      <c r="X59" s="44">
        <f>IF(AND(P59=0,V59&gt;0),5,IF(V59/P59&gt;5,5,IF(V59/P59=0,0.0000001,V59/P59)))</f>
        <v>5</v>
      </c>
      <c r="Y59" s="44">
        <f>IFERROR(VLOOKUP(B59,'Факт продаж'!AB:AH,7,0),"-")</f>
        <v>3.4974069472912817E-2</v>
      </c>
      <c r="Z59" s="44">
        <f>IF(AND(F59=0,V59&gt;0),5,IF(V59/F59&gt;5,5,IF(V59/F59=0,0.0000001,V59/F59)))</f>
        <v>0.52842233735552002</v>
      </c>
      <c r="AB59" s="10" t="str">
        <f>IFERROR(VLOOKUP(VALUE(IF(L59&lt;1,1,0)&amp;IF(J59&lt;'Факт продаж'!$M$24,0,1)),$AB$1:$AC$4,2,FALSE),"НЕТ ПРОДАЖ")</f>
        <v>Корова</v>
      </c>
      <c r="AC59" s="10" t="str">
        <f>IFERROR(VLOOKUP(VALUE(IF(R59&lt;1,1,0)&amp;IF(P59&lt;'Факт продаж'!$V$24,0,1)),$AB$1:$AC$4,2,FALSE),"НЕТ ПРОДАЖ")</f>
        <v>Корова</v>
      </c>
      <c r="AD59" s="10" t="str">
        <f>IFERROR(VLOOKUP(VALUE(IF(X59&lt;1,1,0)&amp;IF(V59&lt;'Факт продаж'!$AE$24,0,1)),$AB$1:$AC$4,2,FALSE),"НЕТ ПРОДАЖ")</f>
        <v>Звезда</v>
      </c>
      <c r="AE59" s="18" t="str">
        <f>IFERROR(VLOOKUP(VALUE(IF(Z59&lt;1,1,0)&amp;IF(V59&lt;'Факт продаж'!$AE$24,0,1)),$AB$1:$AC$4,2,FALSE),"НЕТ ПРОДАЖ")</f>
        <v>Корова</v>
      </c>
      <c r="AF59" s="74" t="str">
        <f>VLOOKUP(B59,'ABC расчет'!B:G,6,0)</f>
        <v>A</v>
      </c>
      <c r="AG59" s="74" t="str">
        <f>VLOOKUP(B59,'ABC расчет'!K:P,6,0)</f>
        <v>B</v>
      </c>
      <c r="AH59" s="74" t="str">
        <f>VLOOKUP(B59,'ABC расчет'!T:Y,6,0)</f>
        <v>C</v>
      </c>
      <c r="AI59" s="74" t="str">
        <f>VLOOKUP(B59,'ABC расчет'!AC:AH,6,0)</f>
        <v>A</v>
      </c>
      <c r="AJ59" s="74" t="s">
        <v>452</v>
      </c>
      <c r="AK59" s="74"/>
      <c r="AL59" s="19"/>
    </row>
    <row r="60" spans="1:38" x14ac:dyDescent="0.3">
      <c r="A60" s="51" t="s">
        <v>252</v>
      </c>
      <c r="B60" s="21" t="s">
        <v>267</v>
      </c>
      <c r="C60" s="20" t="str">
        <f>IFERROR(VLOOKUP(B60,'Факт продаж'!A:B,2,0),"нет продаж")</f>
        <v>нет продаж</v>
      </c>
      <c r="D60" s="47" t="str">
        <f>IFERROR(VLOOKUP(B60,'Факт продаж'!A:C,3,0),"нет продаж")</f>
        <v>нет продаж</v>
      </c>
      <c r="E60" s="47" t="str">
        <f>IFERROR(VLOOKUP(B60,'Факт продаж'!A:E,5,0),"нет продаж")</f>
        <v>нет продаж</v>
      </c>
      <c r="F60" s="25">
        <f>IFERROR(VLOOKUP(B60,'Факт продаж'!A:C,3,0)/SUM('План Антонова'!$C$11:$C$13),0)</f>
        <v>0</v>
      </c>
      <c r="G60" s="5">
        <f>IFERROR(VLOOKUP(B60,'Факт продаж'!J:K,2,0),"нет продаж")</f>
        <v>1493</v>
      </c>
      <c r="H60" s="48">
        <f>IFERROR(VLOOKUP(B60,'Факт продаж'!J:L,3,0),"нет продаж")</f>
        <v>2135207.5499999998</v>
      </c>
      <c r="I60" s="48">
        <f>IFERROR(VLOOKUP(B60,'Факт продаж'!J:N,5,0),"нет продаж")</f>
        <v>866297.51731142518</v>
      </c>
      <c r="J60" s="7">
        <f>IFERROR(VLOOKUP(B60,'Факт продаж'!J:L,3,0)/SUM('План Антонова'!$C$14:$C$16),0)</f>
        <v>1.4743309696488035E-2</v>
      </c>
      <c r="K60" s="44">
        <f>IFERROR(VLOOKUP(B60,'Факт продаж'!J:O,6,0),"-")</f>
        <v>1</v>
      </c>
      <c r="L60" s="44">
        <f>IF(AND(F60=0,J60&gt;0),5,IF(J60/F60&gt;5,5,IF(J60/F60=0,0.0000001,J60/F60)))</f>
        <v>5</v>
      </c>
      <c r="M60" s="5">
        <f>IFERROR(VLOOKUP(B60,'Факт продаж'!S:T,2,0),"нет продаж")</f>
        <v>1048</v>
      </c>
      <c r="N60" s="48">
        <f>IFERROR(VLOOKUP(B60,'Факт продаж'!S:U,3,0),"нет продаж")</f>
        <v>1543284.2</v>
      </c>
      <c r="O60" s="48">
        <f>IFERROR(VLOOKUP(B60,'Факт продаж'!S:W,5,0),"нет продаж")</f>
        <v>430106.70656119141</v>
      </c>
      <c r="P60" s="7">
        <f>IFERROR(VLOOKUP(B60,'Факт продаж'!S:U,3,0)/SUM('План Антонова'!$C$17:$C$19),0)</f>
        <v>9.400221793512166E-3</v>
      </c>
      <c r="Q60" s="44">
        <f>IFERROR(VLOOKUP(B60,'Факт продаж'!S:X,6,0),"-")</f>
        <v>-0.50351155582664286</v>
      </c>
      <c r="R60" s="44">
        <f>IF(AND(J60=0,P60&gt;0),5,IF(P60/J60&gt;5,5,IF(P60/J60=0,0.0000001,P60/J60)))</f>
        <v>0.63759237152505643</v>
      </c>
      <c r="S60" s="16">
        <f>IFERROR(VLOOKUP(B60,'Факт продаж'!AB:AD,2,0),"нет продаж")</f>
        <v>1094</v>
      </c>
      <c r="T60" s="16">
        <f>IFERROR(VLOOKUP(B60,'Факт продаж'!AB:AD,3,0),"нет продаж")</f>
        <v>1709898.1</v>
      </c>
      <c r="U60" s="16">
        <f>IFERROR(VLOOKUP(B60,'Факт продаж'!AB:AF,5,0),"нет продаж")</f>
        <v>494394.39189078315</v>
      </c>
      <c r="V60" s="7">
        <f>IFERROR(VLOOKUP(B60,'Факт продаж'!AB:AD,3,0)/SUM('План Антонова'!$C$20:$C$22),0)</f>
        <v>1.1112110030330585E-2</v>
      </c>
      <c r="W60" s="44">
        <f>IFERROR(VLOOKUP(B60,'Факт продаж'!AB:AG,6,0),"-")</f>
        <v>0.14946915346563072</v>
      </c>
      <c r="X60" s="44">
        <f>IF(AND(P60=0,V60&gt;0),5,IF(V60/P60&gt;5,5,IF(V60/P60=0,0.0000001,V60/P60)))</f>
        <v>1.1821114729441733</v>
      </c>
      <c r="Y60" s="44">
        <f>IFERROR(VLOOKUP(B60,'Факт продаж'!AB:AH,7,0),"-")</f>
        <v>1</v>
      </c>
      <c r="Z60" s="44">
        <f>IF(AND(F60=0,V60&gt;0),5,IF(V60/F60&gt;5,5,IF(V60/F60=0,0.0000001,V60/F60)))</f>
        <v>5</v>
      </c>
      <c r="AB60" s="10" t="str">
        <f>IFERROR(VLOOKUP(VALUE(IF(L60&lt;1,1,0)&amp;IF(J60&lt;'Факт продаж'!$M$24,0,1)),$AB$1:$AC$4,2,FALSE),"НЕТ ПРОДАЖ")</f>
        <v>Звезда</v>
      </c>
      <c r="AC60" s="10" t="str">
        <f>IFERROR(VLOOKUP(VALUE(IF(R60&lt;1,1,0)&amp;IF(P60&lt;'Факт продаж'!$V$24,0,1)),$AB$1:$AC$4,2,FALSE),"НЕТ ПРОДАЖ")</f>
        <v>Корова</v>
      </c>
      <c r="AD60" s="10" t="str">
        <f>IFERROR(VLOOKUP(VALUE(IF(X60&lt;1,1,0)&amp;IF(V60&lt;'Факт продаж'!$AE$24,0,1)),$AB$1:$AC$4,2,FALSE),"НЕТ ПРОДАЖ")</f>
        <v>Звезда</v>
      </c>
      <c r="AE60" s="18" t="str">
        <f>IFERROR(VLOOKUP(VALUE(IF(Z60&lt;1,1,0)&amp;IF(V60&lt;'Факт продаж'!$AE$24,0,1)),$AB$1:$AC$4,2,FALSE),"НЕТ ПРОДАЖ")</f>
        <v>Звезда</v>
      </c>
      <c r="AF60" s="74" t="str">
        <f>VLOOKUP(B60,'ABC расчет'!B:G,6,0)</f>
        <v>C</v>
      </c>
      <c r="AG60" s="74" t="str">
        <f>VLOOKUP(B60,'ABC расчет'!K:P,6,0)</f>
        <v>A</v>
      </c>
      <c r="AH60" s="74" t="str">
        <f>VLOOKUP(B60,'ABC расчет'!T:Y,6,0)</f>
        <v>A</v>
      </c>
      <c r="AI60" s="74" t="str">
        <f>VLOOKUP(B60,'ABC расчет'!AC:AH,6,0)</f>
        <v>A</v>
      </c>
      <c r="AJ60" s="74" t="s">
        <v>452</v>
      </c>
      <c r="AK60" s="74"/>
      <c r="AL60" s="19"/>
    </row>
    <row r="61" spans="1:38" x14ac:dyDescent="0.3">
      <c r="A61" s="51" t="s">
        <v>116</v>
      </c>
      <c r="B61" s="21" t="s">
        <v>242</v>
      </c>
      <c r="C61" s="20" t="str">
        <f>IFERROR(VLOOKUP(B61,'Факт продаж'!A:B,2,0),"нет продаж")</f>
        <v>нет продаж</v>
      </c>
      <c r="D61" s="47" t="str">
        <f>IFERROR(VLOOKUP(B61,'Факт продаж'!A:C,3,0),"нет продаж")</f>
        <v>нет продаж</v>
      </c>
      <c r="E61" s="47" t="str">
        <f>IFERROR(VLOOKUP(B61,'Факт продаж'!A:E,5,0),"нет продаж")</f>
        <v>нет продаж</v>
      </c>
      <c r="F61" s="25">
        <f>IFERROR(VLOOKUP(B61,'Факт продаж'!A:C,3,0)/SUM('План Антонова'!$C$11:$C$13),0)</f>
        <v>0</v>
      </c>
      <c r="G61" s="5">
        <f>IFERROR(VLOOKUP(B61,'Факт продаж'!J:K,2,0),"нет продаж")</f>
        <v>982</v>
      </c>
      <c r="H61" s="48">
        <f>IFERROR(VLOOKUP(B61,'Факт продаж'!J:L,3,0),"нет продаж")</f>
        <v>1919498.7</v>
      </c>
      <c r="I61" s="48">
        <f>IFERROR(VLOOKUP(B61,'Факт продаж'!J:N,5,0),"нет продаж")</f>
        <v>852024.49575224333</v>
      </c>
      <c r="J61" s="7">
        <f>IFERROR(VLOOKUP(B61,'Факт продаж'!J:L,3,0)/SUM('План Антонова'!$C$14:$C$16),0)</f>
        <v>1.3253870236692531E-2</v>
      </c>
      <c r="K61" s="44">
        <f>IFERROR(VLOOKUP(B61,'Факт продаж'!J:O,6,0),"-")</f>
        <v>1</v>
      </c>
      <c r="L61" s="44">
        <f>IF(AND(F61=0,J61&gt;0),5,IF(J61/F61&gt;5,5,IF(J61/F61=0,0.0000001,J61/F61)))</f>
        <v>5</v>
      </c>
      <c r="M61" s="5">
        <f>IFERROR(VLOOKUP(B61,'Факт продаж'!S:T,2,0),"нет продаж")</f>
        <v>917</v>
      </c>
      <c r="N61" s="48">
        <f>IFERROR(VLOOKUP(B61,'Факт продаж'!S:U,3,0),"нет продаж")</f>
        <v>1846021.05</v>
      </c>
      <c r="O61" s="48">
        <f>IFERROR(VLOOKUP(B61,'Факт продаж'!S:W,5,0),"нет продаж")</f>
        <v>623496.05267476093</v>
      </c>
      <c r="P61" s="7">
        <f>IFERROR(VLOOKUP(B61,'Факт продаж'!S:U,3,0)/SUM('План Антонова'!$C$17:$C$19),0)</f>
        <v>1.1244207194949713E-2</v>
      </c>
      <c r="Q61" s="44">
        <f>IFERROR(VLOOKUP(B61,'Факт продаж'!S:X,6,0),"-")</f>
        <v>-0.26821816064773707</v>
      </c>
      <c r="R61" s="44">
        <f>IF(AND(J61=0,P61&gt;0),5,IF(P61/J61&gt;5,5,IF(P61/J61=0,0.0000001,P61/J61)))</f>
        <v>0.84837160724727878</v>
      </c>
      <c r="S61" s="16">
        <f>IFERROR(VLOOKUP(B61,'Факт продаж'!AB:AD,2,0),"нет продаж")</f>
        <v>685</v>
      </c>
      <c r="T61" s="16">
        <f>IFERROR(VLOOKUP(B61,'Факт продаж'!AB:AD,3,0),"нет продаж")</f>
        <v>1421396.612</v>
      </c>
      <c r="U61" s="16">
        <f>IFERROR(VLOOKUP(B61,'Факт продаж'!AB:AF,5,0),"нет продаж")</f>
        <v>493451.07610771747</v>
      </c>
      <c r="V61" s="7">
        <f>IFERROR(VLOOKUP(B61,'Факт продаж'!AB:AD,3,0)/SUM('План Антонова'!$C$20:$C$22),0)</f>
        <v>9.2372262120667369E-3</v>
      </c>
      <c r="W61" s="44">
        <f>IFERROR(VLOOKUP(B61,'Факт продаж'!AB:AG,6,0),"-")</f>
        <v>-0.20857385705836995</v>
      </c>
      <c r="X61" s="44">
        <f>IF(AND(P61=0,V61&gt;0),5,IF(V61/P61&gt;5,5,IF(V61/P61=0,0.0000001,V61/P61)))</f>
        <v>0.82150978294099708</v>
      </c>
      <c r="Y61" s="44">
        <f>IFERROR(VLOOKUP(B61,'Факт продаж'!AB:AH,7,0),"-")</f>
        <v>1</v>
      </c>
      <c r="Z61" s="44">
        <f>IF(AND(F61=0,V61&gt;0),5,IF(V61/F61&gt;5,5,IF(V61/F61=0,0.0000001,V61/F61)))</f>
        <v>5</v>
      </c>
      <c r="AB61" s="10" t="str">
        <f>IFERROR(VLOOKUP(VALUE(IF(L61&lt;1,1,0)&amp;IF(J61&lt;'Факт продаж'!$M$24,0,1)),$AB$1:$AC$4,2,FALSE),"НЕТ ПРОДАЖ")</f>
        <v>Звезда</v>
      </c>
      <c r="AC61" s="10" t="str">
        <f>IFERROR(VLOOKUP(VALUE(IF(R61&lt;1,1,0)&amp;IF(P61&lt;'Факт продаж'!$V$24,0,1)),$AB$1:$AC$4,2,FALSE),"НЕТ ПРОДАЖ")</f>
        <v>Корова</v>
      </c>
      <c r="AD61" s="10" t="str">
        <f>IFERROR(VLOOKUP(VALUE(IF(X61&lt;1,1,0)&amp;IF(V61&lt;'Факт продаж'!$AE$24,0,1)),$AB$1:$AC$4,2,FALSE),"НЕТ ПРОДАЖ")</f>
        <v>Корова</v>
      </c>
      <c r="AE61" s="18" t="str">
        <f>IFERROR(VLOOKUP(VALUE(IF(Z61&lt;1,1,0)&amp;IF(V61&lt;'Факт продаж'!$AE$24,0,1)),$AB$1:$AC$4,2,FALSE),"НЕТ ПРОДАЖ")</f>
        <v>Звезда</v>
      </c>
      <c r="AF61" s="74" t="str">
        <f>VLOOKUP(B61,'ABC расчет'!B:G,6,0)</f>
        <v>C</v>
      </c>
      <c r="AG61" s="74" t="str">
        <f>VLOOKUP(B61,'ABC расчет'!K:P,6,0)</f>
        <v>A</v>
      </c>
      <c r="AH61" s="74" t="str">
        <f>VLOOKUP(B61,'ABC расчет'!T:Y,6,0)</f>
        <v>A</v>
      </c>
      <c r="AI61" s="74" t="str">
        <f>VLOOKUP(B61,'ABC расчет'!AC:AH,6,0)</f>
        <v>A</v>
      </c>
      <c r="AJ61" s="74" t="s">
        <v>452</v>
      </c>
      <c r="AK61" s="74"/>
      <c r="AL61" s="19"/>
    </row>
    <row r="62" spans="1:38" x14ac:dyDescent="0.3">
      <c r="A62" s="51" t="s">
        <v>252</v>
      </c>
      <c r="B62" s="20" t="s">
        <v>96</v>
      </c>
      <c r="C62" s="20">
        <f>IFERROR(VLOOKUP(B62,'Факт продаж'!A:B,2,0),"нет продаж")</f>
        <v>626</v>
      </c>
      <c r="D62" s="47">
        <f>IFERROR(VLOOKUP(B62,'Факт продаж'!A:C,3,0),"нет продаж")</f>
        <v>336288.91200000001</v>
      </c>
      <c r="E62" s="47">
        <f>IFERROR(VLOOKUP(B62,'Факт продаж'!A:E,5,0),"нет продаж")</f>
        <v>111545.31722297832</v>
      </c>
      <c r="F62" s="25">
        <f>IFERROR(VLOOKUP(B62,'Факт продаж'!A:C,3,0)/SUM('План Антонова'!$C$11:$C$13),0)</f>
        <v>2.5534773313561701E-3</v>
      </c>
      <c r="G62" s="5">
        <f>IFERROR(VLOOKUP(B62,'Факт продаж'!J:K,2,0),"нет продаж")</f>
        <v>1062</v>
      </c>
      <c r="H62" s="48">
        <f>IFERROR(VLOOKUP(B62,'Факт продаж'!J:L,3,0),"нет продаж")</f>
        <v>730565.23999999987</v>
      </c>
      <c r="I62" s="48">
        <f>IFERROR(VLOOKUP(B62,'Факт продаж'!J:N,5,0),"нет продаж")</f>
        <v>302599.93696212023</v>
      </c>
      <c r="J62" s="7">
        <f>IFERROR(VLOOKUP(B62,'Факт продаж'!J:L,3,0)/SUM('План Антонова'!$C$14:$C$16),0)</f>
        <v>5.0444508716771391E-3</v>
      </c>
      <c r="K62" s="44">
        <f>IFERROR(VLOOKUP(B62,'Факт продаж'!J:O,6,0),"-")</f>
        <v>1.7127982105893791</v>
      </c>
      <c r="L62" s="44">
        <f>IF(AND(F62=0,J62&gt;0),5,IF(J62/F62&gt;5,5,IF(J62/F62=0,0.0000001,J62/F62)))</f>
        <v>1.9755220889303902</v>
      </c>
      <c r="M62" s="5">
        <f>IFERROR(VLOOKUP(B62,'Факт продаж'!S:T,2,0),"нет продаж")</f>
        <v>1967</v>
      </c>
      <c r="N62" s="48">
        <f>IFERROR(VLOOKUP(B62,'Факт продаж'!S:U,3,0),"нет продаж")</f>
        <v>1309786.2</v>
      </c>
      <c r="O62" s="48">
        <f>IFERROR(VLOOKUP(B62,'Факт продаж'!S:W,5,0),"нет продаж")</f>
        <v>472510.6994610728</v>
      </c>
      <c r="P62" s="7">
        <f>IFERROR(VLOOKUP(B62,'Факт продаж'!S:U,3,0)/SUM('План Антонова'!$C$17:$C$19),0)</f>
        <v>7.9779737148099397E-3</v>
      </c>
      <c r="Q62" s="44">
        <f>IFERROR(VLOOKUP(B62,'Факт продаж'!S:X,6,0),"-")</f>
        <v>0.56150296726671889</v>
      </c>
      <c r="R62" s="44">
        <f>IF(AND(J62=0,P62&gt;0),5,IF(P62/J62&gt;5,5,IF(P62/J62=0,0.0000001,P62/J62)))</f>
        <v>1.5815346244332609</v>
      </c>
      <c r="S62" s="16">
        <f>IFERROR(VLOOKUP(B62,'Факт продаж'!AB:AD,2,0),"нет продаж")</f>
        <v>2014</v>
      </c>
      <c r="T62" s="16">
        <f>IFERROR(VLOOKUP(B62,'Факт продаж'!AB:AD,3,0),"нет продаж")</f>
        <v>1417765.84</v>
      </c>
      <c r="U62" s="16">
        <f>IFERROR(VLOOKUP(B62,'Факт продаж'!AB:AF,5,0),"нет продаж")</f>
        <v>482507.75747814577</v>
      </c>
      <c r="V62" s="7">
        <f>IFERROR(VLOOKUP(B62,'Факт продаж'!AB:AD,3,0)/SUM('План Антонова'!$C$20:$C$22),0)</f>
        <v>9.2136309241609583E-3</v>
      </c>
      <c r="W62" s="44">
        <f>IFERROR(VLOOKUP(B62,'Факт продаж'!AB:AG,6,0),"-")</f>
        <v>2.115731565121215E-2</v>
      </c>
      <c r="X62" s="44">
        <f>IF(AND(P62=0,V62&gt;0),5,IF(V62/P62&gt;5,5,IF(V62/P62=0,0.0000001,V62/P62)))</f>
        <v>1.1548835899342713</v>
      </c>
      <c r="Y62" s="44">
        <f>IFERROR(VLOOKUP(B62,'Факт продаж'!AB:AH,7,0),"-")</f>
        <v>3.325665742772653</v>
      </c>
      <c r="Z62" s="44">
        <f>IF(AND(F62=0,V62&gt;0),5,IF(V62/F62&gt;5,5,IF(V62/F62=0,0.0000001,V62/F62)))</f>
        <v>3.6082681490920199</v>
      </c>
      <c r="AB62" s="10" t="str">
        <f>IFERROR(VLOOKUP(VALUE(IF(L62&lt;1,1,0)&amp;IF(J62&lt;'Факт продаж'!$M$24,0,1)),$AB$1:$AC$4,2,FALSE),"НЕТ ПРОДАЖ")</f>
        <v>Звезда</v>
      </c>
      <c r="AC62" s="10" t="str">
        <f>IFERROR(VLOOKUP(VALUE(IF(R62&lt;1,1,0)&amp;IF(P62&lt;'Факт продаж'!$V$24,0,1)),$AB$1:$AC$4,2,FALSE),"НЕТ ПРОДАЖ")</f>
        <v>Звезда</v>
      </c>
      <c r="AD62" s="10" t="str">
        <f>IFERROR(VLOOKUP(VALUE(IF(X62&lt;1,1,0)&amp;IF(V62&lt;'Факт продаж'!$AE$24,0,1)),$AB$1:$AC$4,2,FALSE),"НЕТ ПРОДАЖ")</f>
        <v>Звезда</v>
      </c>
      <c r="AE62" s="18" t="str">
        <f>IFERROR(VLOOKUP(VALUE(IF(Z62&lt;1,1,0)&amp;IF(V62&lt;'Факт продаж'!$AE$24,0,1)),$AB$1:$AC$4,2,FALSE),"НЕТ ПРОДАЖ")</f>
        <v>Звезда</v>
      </c>
      <c r="AF62" s="74" t="str">
        <f>VLOOKUP(B62,'ABC расчет'!B:G,6,0)</f>
        <v>A</v>
      </c>
      <c r="AG62" s="74" t="str">
        <f>VLOOKUP(B62,'ABC расчет'!K:P,6,0)</f>
        <v>A</v>
      </c>
      <c r="AH62" s="74" t="str">
        <f>VLOOKUP(B62,'ABC расчет'!T:Y,6,0)</f>
        <v>A</v>
      </c>
      <c r="AI62" s="74" t="str">
        <f>VLOOKUP(B62,'ABC расчет'!AC:AH,6,0)</f>
        <v>A</v>
      </c>
      <c r="AJ62" s="74"/>
      <c r="AK62" s="74"/>
      <c r="AL62" s="19"/>
    </row>
    <row r="63" spans="1:38" x14ac:dyDescent="0.3">
      <c r="A63" s="51" t="s">
        <v>251</v>
      </c>
      <c r="B63" s="21" t="s">
        <v>166</v>
      </c>
      <c r="C63" s="20">
        <f>IFERROR(VLOOKUP(B63,'Факт продаж'!A:B,2,0),"нет продаж")</f>
        <v>43</v>
      </c>
      <c r="D63" s="47">
        <f>IFERROR(VLOOKUP(B63,'Факт продаж'!A:C,3,0),"нет продаж")</f>
        <v>150377.59130000003</v>
      </c>
      <c r="E63" s="47">
        <f>IFERROR(VLOOKUP(B63,'Факт продаж'!A:E,5,0),"нет продаж")</f>
        <v>65489.725598788587</v>
      </c>
      <c r="F63" s="25">
        <f>IFERROR(VLOOKUP(B63,'Факт продаж'!A:C,3,0)/SUM('План Антонова'!$C$11:$C$13),0)</f>
        <v>1.1418329799957629E-3</v>
      </c>
      <c r="G63" s="5">
        <f>IFERROR(VLOOKUP(B63,'Факт продаж'!J:K,2,0),"нет продаж")</f>
        <v>201</v>
      </c>
      <c r="H63" s="48">
        <f>IFERROR(VLOOKUP(B63,'Факт продаж'!J:L,3,0),"нет продаж")</f>
        <v>978410.65999999992</v>
      </c>
      <c r="I63" s="48">
        <f>IFERROR(VLOOKUP(B63,'Факт продаж'!J:N,5,0),"нет продаж")</f>
        <v>469368.01489564648</v>
      </c>
      <c r="J63" s="7">
        <f>IFERROR(VLOOKUP(B63,'Факт продаж'!J:L,3,0)/SUM('План Антонова'!$C$14:$C$16),0)</f>
        <v>6.7557888556198003E-3</v>
      </c>
      <c r="K63" s="44">
        <f>IFERROR(VLOOKUP(B63,'Факт продаж'!J:O,6,0),"-")</f>
        <v>6.1670481224970768</v>
      </c>
      <c r="L63" s="44">
        <f>IF(AND(F63=0,J63&gt;0),5,IF(J63/F63&gt;5,5,IF(J63/F63=0,0.0000001,J63/F63)))</f>
        <v>5</v>
      </c>
      <c r="M63" s="5">
        <f>IFERROR(VLOOKUP(B63,'Факт продаж'!S:T,2,0),"нет продаж")</f>
        <v>226</v>
      </c>
      <c r="N63" s="48">
        <f>IFERROR(VLOOKUP(B63,'Факт продаж'!S:U,3,0),"нет продаж")</f>
        <v>1025256.29</v>
      </c>
      <c r="O63" s="48">
        <f>IFERROR(VLOOKUP(B63,'Факт продаж'!S:W,5,0),"нет продаж")</f>
        <v>457388.75673739321</v>
      </c>
      <c r="P63" s="7">
        <f>IFERROR(VLOOKUP(B63,'Факт продаж'!S:U,3,0)/SUM('План Антонова'!$C$17:$C$19),0)</f>
        <v>6.2448877019497971E-3</v>
      </c>
      <c r="Q63" s="44">
        <f>IFERROR(VLOOKUP(B63,'Факт продаж'!S:X,6,0),"-")</f>
        <v>-2.5522101587848067E-2</v>
      </c>
      <c r="R63" s="44">
        <f>IF(AND(J63=0,P63&gt;0),5,IF(P63/J63&gt;5,5,IF(P63/J63=0,0.0000001,P63/J63)))</f>
        <v>0.92437579613741028</v>
      </c>
      <c r="S63" s="16">
        <f>IFERROR(VLOOKUP(B63,'Факт продаж'!AB:AD,2,0),"нет продаж")</f>
        <v>222</v>
      </c>
      <c r="T63" s="16">
        <f>IFERROR(VLOOKUP(B63,'Факт продаж'!AB:AD,3,0),"нет продаж")</f>
        <v>1030487.2400000001</v>
      </c>
      <c r="U63" s="16">
        <f>IFERROR(VLOOKUP(B63,'Факт продаж'!AB:AF,5,0),"нет продаж")</f>
        <v>473056.27382944379</v>
      </c>
      <c r="V63" s="7">
        <f>IFERROR(VLOOKUP(B63,'Факт продаж'!AB:AD,3,0)/SUM('План Антонова'!$C$20:$C$22),0)</f>
        <v>6.6968245626635187E-3</v>
      </c>
      <c r="W63" s="44">
        <f>IFERROR(VLOOKUP(B63,'Факт продаж'!AB:AG,6,0),"-")</f>
        <v>3.4254268084350725E-2</v>
      </c>
      <c r="X63" s="44">
        <f>IF(AND(P63=0,V63&gt;0),5,IF(V63/P63&gt;5,5,IF(V63/P63=0,0.0000001,V63/P63)))</f>
        <v>1.0723690932941223</v>
      </c>
      <c r="Y63" s="44">
        <f>IFERROR(VLOOKUP(B63,'Факт продаж'!AB:AH,7,0),"-")</f>
        <v>6.2233662533195018</v>
      </c>
      <c r="Z63" s="44">
        <f>IF(AND(F63=0,V63&gt;0),5,IF(V63/F63&gt;5,5,IF(V63/F63=0,0.0000001,V63/F63)))</f>
        <v>5</v>
      </c>
      <c r="AB63" s="10" t="str">
        <f>IFERROR(VLOOKUP(VALUE(IF(L63&lt;1,1,0)&amp;IF(J63&lt;'Факт продаж'!$M$24,0,1)),$AB$1:$AC$4,2,FALSE),"НЕТ ПРОДАЖ")</f>
        <v>Звезда</v>
      </c>
      <c r="AC63" s="10" t="str">
        <f>IFERROR(VLOOKUP(VALUE(IF(R63&lt;1,1,0)&amp;IF(P63&lt;'Факт продаж'!$V$24,0,1)),$AB$1:$AC$4,2,FALSE),"НЕТ ПРОДАЖ")</f>
        <v>Корова</v>
      </c>
      <c r="AD63" s="10" t="str">
        <f>IFERROR(VLOOKUP(VALUE(IF(X63&lt;1,1,0)&amp;IF(V63&lt;'Факт продаж'!$AE$24,0,1)),$AB$1:$AC$4,2,FALSE),"НЕТ ПРОДАЖ")</f>
        <v>Звезда</v>
      </c>
      <c r="AE63" s="18" t="str">
        <f>IFERROR(VLOOKUP(VALUE(IF(Z63&lt;1,1,0)&amp;IF(V63&lt;'Факт продаж'!$AE$24,0,1)),$AB$1:$AC$4,2,FALSE),"НЕТ ПРОДАЖ")</f>
        <v>Звезда</v>
      </c>
      <c r="AF63" s="74" t="str">
        <f>VLOOKUP(B63,'ABC расчет'!B:G,6,0)</f>
        <v>B</v>
      </c>
      <c r="AG63" s="74" t="str">
        <f>VLOOKUP(B63,'ABC расчет'!K:P,6,0)</f>
        <v>B</v>
      </c>
      <c r="AH63" s="74" t="str">
        <f>VLOOKUP(B63,'ABC расчет'!T:Y,6,0)</f>
        <v>A</v>
      </c>
      <c r="AI63" s="74" t="str">
        <f>VLOOKUP(B63,'ABC расчет'!AC:AH,6,0)</f>
        <v>A</v>
      </c>
      <c r="AJ63" s="74"/>
      <c r="AK63" s="74"/>
      <c r="AL63" s="19"/>
    </row>
    <row r="64" spans="1:38" x14ac:dyDescent="0.3">
      <c r="A64" s="51" t="s">
        <v>116</v>
      </c>
      <c r="B64" s="21" t="s">
        <v>263</v>
      </c>
      <c r="C64" s="20">
        <f>IFERROR(VLOOKUP(B64,'Факт продаж'!A:B,2,0),"нет продаж")</f>
        <v>115</v>
      </c>
      <c r="D64" s="47">
        <f>IFERROR(VLOOKUP(B64,'Факт продаж'!A:C,3,0),"нет продаж")</f>
        <v>422296.67830000003</v>
      </c>
      <c r="E64" s="47">
        <f>IFERROR(VLOOKUP(B64,'Факт продаж'!A:E,5,0),"нет продаж")</f>
        <v>80857.872855243026</v>
      </c>
      <c r="F64" s="25">
        <f>IFERROR(VLOOKUP(B64,'Факт продаж'!A:C,3,0)/SUM('План Антонова'!$C$11:$C$13),0)</f>
        <v>3.2065434115355522E-3</v>
      </c>
      <c r="G64" s="5">
        <f>IFERROR(VLOOKUP(B64,'Факт продаж'!J:K,2,0),"нет продаж")</f>
        <v>16</v>
      </c>
      <c r="H64" s="48">
        <f>IFERROR(VLOOKUP(B64,'Факт продаж'!J:L,3,0),"нет продаж")</f>
        <v>103587.5</v>
      </c>
      <c r="I64" s="48">
        <f>IFERROR(VLOOKUP(B64,'Факт продаж'!J:N,5,0),"нет продаж")</f>
        <v>44547.689489320233</v>
      </c>
      <c r="J64" s="7">
        <f>IFERROR(VLOOKUP(B64,'Факт продаж'!J:L,3,0)/SUM('План Антонова'!$C$14:$C$16),0)</f>
        <v>7.1525720915746789E-4</v>
      </c>
      <c r="K64" s="44">
        <f>IFERROR(VLOOKUP(B64,'Факт продаж'!J:O,6,0),"-")</f>
        <v>-0.44906181777657717</v>
      </c>
      <c r="L64" s="44">
        <f>IF(AND(F64=0,J64&gt;0),5,IF(J64/F64&gt;5,5,IF(J64/F64=0,0.0000001,J64/F64)))</f>
        <v>0.22306175758741559</v>
      </c>
      <c r="M64" s="5">
        <f>IFERROR(VLOOKUP(B64,'Факт продаж'!S:T,2,0),"нет продаж")</f>
        <v>117</v>
      </c>
      <c r="N64" s="48">
        <f>IFERROR(VLOOKUP(B64,'Факт продаж'!S:U,3,0),"нет продаж")</f>
        <v>619658.84</v>
      </c>
      <c r="O64" s="48">
        <f>IFERROR(VLOOKUP(B64,'Факт продаж'!S:W,5,0),"нет продаж")</f>
        <v>254427.88751667933</v>
      </c>
      <c r="P64" s="7">
        <f>IFERROR(VLOOKUP(B64,'Факт продаж'!S:U,3,0)/SUM('План Антонова'!$C$17:$C$19),0)</f>
        <v>3.7743732050846295E-3</v>
      </c>
      <c r="Q64" s="44">
        <f>IFERROR(VLOOKUP(B64,'Факт продаж'!S:X,6,0),"-")</f>
        <v>4.7113599029120312</v>
      </c>
      <c r="R64" s="44">
        <f>IF(AND(J64=0,P64&gt;0),5,IF(P64/J64&gt;5,5,IF(P64/J64=0,0.0000001,P64/J64)))</f>
        <v>5</v>
      </c>
      <c r="S64" s="16">
        <f>IFERROR(VLOOKUP(B64,'Факт продаж'!AB:AD,2,0),"нет продаж")</f>
        <v>175</v>
      </c>
      <c r="T64" s="16">
        <f>IFERROR(VLOOKUP(B64,'Факт продаж'!AB:AD,3,0),"нет продаж")</f>
        <v>1006197.15</v>
      </c>
      <c r="U64" s="16">
        <f>IFERROR(VLOOKUP(B64,'Факт продаж'!AB:AF,5,0),"нет продаж")</f>
        <v>457710.63684204465</v>
      </c>
      <c r="V64" s="7">
        <f>IFERROR(VLOOKUP(B64,'Факт продаж'!AB:AD,3,0)/SUM('План Антонова'!$C$20:$C$22),0)</f>
        <v>6.5389706222874029E-3</v>
      </c>
      <c r="W64" s="44">
        <f>IFERROR(VLOOKUP(B64,'Факт продаж'!AB:AG,6,0),"-")</f>
        <v>0.79897982610903395</v>
      </c>
      <c r="X64" s="44">
        <f>IF(AND(P64=0,V64&gt;0),5,IF(V64/P64&gt;5,5,IF(V64/P64=0,0.0000001,V64/P64)))</f>
        <v>1.7324653040347093</v>
      </c>
      <c r="Y64" s="44">
        <f>IFERROR(VLOOKUP(B64,'Факт продаж'!AB:AH,7,0),"-")</f>
        <v>4.6606811517471867</v>
      </c>
      <c r="Z64" s="44">
        <f>IF(AND(F64=0,V64&gt;0),5,IF(V64/F64&gt;5,5,IF(V64/F64=0,0.0000001,V64/F64)))</f>
        <v>2.0392584110239804</v>
      </c>
      <c r="AB64" s="10" t="str">
        <f>IFERROR(VLOOKUP(VALUE(IF(L64&lt;1,1,0)&amp;IF(J64&lt;'Факт продаж'!$M$24,0,1)),$AB$1:$AC$4,2,FALSE),"НЕТ ПРОДАЖ")</f>
        <v>Собака</v>
      </c>
      <c r="AC64" s="10" t="str">
        <f>IFERROR(VLOOKUP(VALUE(IF(R64&lt;1,1,0)&amp;IF(P64&lt;'Факт продаж'!$V$24,0,1)),$AB$1:$AC$4,2,FALSE),"НЕТ ПРОДАЖ")</f>
        <v>Звезда</v>
      </c>
      <c r="AD64" s="10" t="str">
        <f>IFERROR(VLOOKUP(VALUE(IF(X64&lt;1,1,0)&amp;IF(V64&lt;'Факт продаж'!$AE$24,0,1)),$AB$1:$AC$4,2,FALSE),"НЕТ ПРОДАЖ")</f>
        <v>Звезда</v>
      </c>
      <c r="AE64" s="18" t="str">
        <f>IFERROR(VLOOKUP(VALUE(IF(Z64&lt;1,1,0)&amp;IF(V64&lt;'Факт продаж'!$AE$24,0,1)),$AB$1:$AC$4,2,FALSE),"НЕТ ПРОДАЖ")</f>
        <v>Звезда</v>
      </c>
      <c r="AF64" s="74" t="str">
        <f>VLOOKUP(B64,'ABC расчет'!B:G,6,0)</f>
        <v>B</v>
      </c>
      <c r="AG64" s="74" t="str">
        <f>VLOOKUP(B64,'ABC расчет'!K:P,6,0)</f>
        <v>C</v>
      </c>
      <c r="AH64" s="74" t="str">
        <f>VLOOKUP(B64,'ABC расчет'!T:Y,6,0)</f>
        <v>B</v>
      </c>
      <c r="AI64" s="74" t="str">
        <f>VLOOKUP(B64,'ABC расчет'!AC:AH,6,0)</f>
        <v>A</v>
      </c>
      <c r="AJ64" s="74" t="s">
        <v>452</v>
      </c>
      <c r="AK64" s="74"/>
      <c r="AL64" s="19"/>
    </row>
    <row r="65" spans="1:38" x14ac:dyDescent="0.3">
      <c r="A65" s="51" t="s">
        <v>259</v>
      </c>
      <c r="B65" s="21" t="s">
        <v>279</v>
      </c>
      <c r="C65" s="20">
        <f>IFERROR(VLOOKUP(B65,'Факт продаж'!A:B,2,0),"нет продаж")</f>
        <v>804</v>
      </c>
      <c r="D65" s="47">
        <f>IFERROR(VLOOKUP(B65,'Факт продаж'!A:C,3,0),"нет продаж")</f>
        <v>441726.86259999999</v>
      </c>
      <c r="E65" s="47">
        <f>IFERROR(VLOOKUP(B65,'Факт продаж'!A:E,5,0),"нет продаж")</f>
        <v>132097.12961438345</v>
      </c>
      <c r="F65" s="25">
        <f>IFERROR(VLOOKUP(B65,'Факт продаж'!A:C,3,0)/SUM('План Антонова'!$C$11:$C$13),0)</f>
        <v>3.3540788591334275E-3</v>
      </c>
      <c r="G65" s="5">
        <f>IFERROR(VLOOKUP(B65,'Факт продаж'!J:K,2,0),"нет продаж")</f>
        <v>515</v>
      </c>
      <c r="H65" s="48">
        <f>IFERROR(VLOOKUP(B65,'Факт продаж'!J:L,3,0),"нет продаж")</f>
        <v>384141.80000000005</v>
      </c>
      <c r="I65" s="48">
        <f>IFERROR(VLOOKUP(B65,'Факт продаж'!J:N,5,0),"нет продаж")</f>
        <v>143807.19198991742</v>
      </c>
      <c r="J65" s="7">
        <f>IFERROR(VLOOKUP(B65,'Факт продаж'!J:L,3,0)/SUM('План Антонова'!$C$14:$C$16),0)</f>
        <v>2.6524454378059727E-3</v>
      </c>
      <c r="K65" s="44">
        <f>IFERROR(VLOOKUP(B65,'Факт продаж'!J:O,6,0),"-")</f>
        <v>8.8647364327429923E-2</v>
      </c>
      <c r="L65" s="44">
        <f>IF(AND(F65=0,J65&gt;0),5,IF(J65/F65&gt;5,5,IF(J65/F65=0,0.0000001,J65/F65)))</f>
        <v>0.7908118888090987</v>
      </c>
      <c r="M65" s="5">
        <f>IFERROR(VLOOKUP(B65,'Факт продаж'!S:T,2,0),"нет продаж")</f>
        <v>459</v>
      </c>
      <c r="N65" s="48">
        <f>IFERROR(VLOOKUP(B65,'Факт продаж'!S:U,3,0),"нет продаж")</f>
        <v>338740.9</v>
      </c>
      <c r="O65" s="48">
        <f>IFERROR(VLOOKUP(B65,'Факт продаж'!S:W,5,0),"нет продаж")</f>
        <v>112896.07509670686</v>
      </c>
      <c r="P65" s="7">
        <f>IFERROR(VLOOKUP(B65,'Факт продаж'!S:U,3,0)/SUM('План Антонова'!$C$17:$C$19),0)</f>
        <v>2.0632878834202575E-3</v>
      </c>
      <c r="Q65" s="44">
        <f>IFERROR(VLOOKUP(B65,'Факт продаж'!S:X,6,0),"-")</f>
        <v>-0.21494833787852419</v>
      </c>
      <c r="R65" s="44">
        <f>IF(AND(J65=0,P65&gt;0),5,IF(P65/J65&gt;5,5,IF(P65/J65=0,0.0000001,P65/J65)))</f>
        <v>0.77788136713830025</v>
      </c>
      <c r="S65" s="16">
        <f>IFERROR(VLOOKUP(B65,'Факт продаж'!AB:AD,2,0),"нет продаж")</f>
        <v>1848</v>
      </c>
      <c r="T65" s="16">
        <f>IFERROR(VLOOKUP(B65,'Факт продаж'!AB:AD,3,0),"нет продаж")</f>
        <v>1294956.3</v>
      </c>
      <c r="U65" s="16">
        <f>IFERROR(VLOOKUP(B65,'Факт продаж'!AB:AF,5,0),"нет продаж")</f>
        <v>448043.65405913175</v>
      </c>
      <c r="V65" s="7">
        <f>IFERROR(VLOOKUP(B65,'Факт продаж'!AB:AD,3,0)/SUM('План Антонова'!$C$20:$C$22),0)</f>
        <v>8.4155289078745588E-3</v>
      </c>
      <c r="W65" s="44">
        <f>IFERROR(VLOOKUP(B65,'Факт продаж'!AB:AG,6,0),"-")</f>
        <v>2.9686380033613853</v>
      </c>
      <c r="X65" s="44">
        <f>IF(AND(P65=0,V65&gt;0),5,IF(V65/P65&gt;5,5,IF(V65/P65=0,0.0000001,V65/P65)))</f>
        <v>4.0786983607563085</v>
      </c>
      <c r="Y65" s="44">
        <f>IFERROR(VLOOKUP(B65,'Факт продаж'!AB:AH,7,0),"-")</f>
        <v>2.3917743358016641</v>
      </c>
      <c r="Z65" s="44">
        <f>IF(AND(F65=0,V65&gt;0),5,IF(V65/F65&gt;5,5,IF(V65/F65=0,0.0000001,V65/F65)))</f>
        <v>2.5090432459446785</v>
      </c>
      <c r="AB65" s="10" t="str">
        <f>IFERROR(VLOOKUP(VALUE(IF(L65&lt;1,1,0)&amp;IF(J65&lt;'Факт продаж'!$M$24,0,1)),$AB$1:$AC$4,2,FALSE),"НЕТ ПРОДАЖ")</f>
        <v>Корова</v>
      </c>
      <c r="AC65" s="10" t="str">
        <f>IFERROR(VLOOKUP(VALUE(IF(R65&lt;1,1,0)&amp;IF(P65&lt;'Факт продаж'!$V$24,0,1)),$AB$1:$AC$4,2,FALSE),"НЕТ ПРОДАЖ")</f>
        <v>Корова</v>
      </c>
      <c r="AD65" s="10" t="str">
        <f>IFERROR(VLOOKUP(VALUE(IF(X65&lt;1,1,0)&amp;IF(V65&lt;'Факт продаж'!$AE$24,0,1)),$AB$1:$AC$4,2,FALSE),"НЕТ ПРОДАЖ")</f>
        <v>Звезда</v>
      </c>
      <c r="AE65" s="18" t="str">
        <f>IFERROR(VLOOKUP(VALUE(IF(Z65&lt;1,1,0)&amp;IF(V65&lt;'Факт продаж'!$AE$24,0,1)),$AB$1:$AC$4,2,FALSE),"НЕТ ПРОДАЖ")</f>
        <v>Звезда</v>
      </c>
      <c r="AF65" s="74" t="str">
        <f>VLOOKUP(B65,'ABC расчет'!B:G,6,0)</f>
        <v>C</v>
      </c>
      <c r="AG65" s="74" t="str">
        <f>VLOOKUP(B65,'ABC расчет'!K:P,6,0)</f>
        <v>C</v>
      </c>
      <c r="AH65" s="74" t="str">
        <f>VLOOKUP(B65,'ABC расчет'!T:Y,6,0)</f>
        <v>C</v>
      </c>
      <c r="AI65" s="74" t="str">
        <f>VLOOKUP(B65,'ABC расчет'!AC:AH,6,0)</f>
        <v>B</v>
      </c>
      <c r="AJ65" s="74" t="s">
        <v>452</v>
      </c>
      <c r="AK65" s="74"/>
      <c r="AL65" s="19"/>
    </row>
    <row r="66" spans="1:38" x14ac:dyDescent="0.3">
      <c r="A66" s="51" t="s">
        <v>329</v>
      </c>
      <c r="B66" s="21" t="s">
        <v>228</v>
      </c>
      <c r="C66" s="20">
        <f>IFERROR(VLOOKUP(B66,'Факт продаж'!A:B,2,0),"нет продаж")</f>
        <v>26</v>
      </c>
      <c r="D66" s="47">
        <f>IFERROR(VLOOKUP(B66,'Факт продаж'!A:C,3,0),"нет продаж")</f>
        <v>61283.488299999997</v>
      </c>
      <c r="E66" s="47">
        <f>IFERROR(VLOOKUP(B66,'Факт продаж'!A:E,5,0),"нет продаж")</f>
        <v>30868.363559330577</v>
      </c>
      <c r="F66" s="25">
        <f>IFERROR(VLOOKUP(B66,'Факт продаж'!A:C,3,0)/SUM('План Антонова'!$C$11:$C$13),0)</f>
        <v>4.6533201832262927E-4</v>
      </c>
      <c r="G66" s="5">
        <f>IFERROR(VLOOKUP(B66,'Факт продаж'!J:K,2,0),"нет продаж")</f>
        <v>160</v>
      </c>
      <c r="H66" s="48">
        <f>IFERROR(VLOOKUP(B66,'Факт продаж'!J:L,3,0),"нет продаж")</f>
        <v>380757.9</v>
      </c>
      <c r="I66" s="48">
        <f>IFERROR(VLOOKUP(B66,'Факт продаж'!J:N,5,0),"нет продаж")</f>
        <v>152073.89056671434</v>
      </c>
      <c r="J66" s="7">
        <f>IFERROR(VLOOKUP(B66,'Факт продаж'!J:L,3,0)/SUM('План Антонова'!$C$14:$C$16),0)</f>
        <v>2.6290800812709858E-3</v>
      </c>
      <c r="K66" s="44">
        <f>IFERROR(VLOOKUP(B66,'Факт продаж'!J:O,6,0),"-")</f>
        <v>3.9265290748056838</v>
      </c>
      <c r="L66" s="44">
        <f>IF(AND(F66=0,J66&gt;0),5,IF(J66/F66&gt;5,5,IF(J66/F66=0,0.0000001,J66/F66)))</f>
        <v>5</v>
      </c>
      <c r="M66" s="5">
        <f>IFERROR(VLOOKUP(B66,'Факт продаж'!S:T,2,0),"нет продаж")</f>
        <v>503</v>
      </c>
      <c r="N66" s="48">
        <f>IFERROR(VLOOKUP(B66,'Факт продаж'!S:U,3,0),"нет продаж")</f>
        <v>1238670.46</v>
      </c>
      <c r="O66" s="48">
        <f>IFERROR(VLOOKUP(B66,'Факт продаж'!S:W,5,0),"нет продаж")</f>
        <v>436602.89937687782</v>
      </c>
      <c r="P66" s="7">
        <f>IFERROR(VLOOKUP(B66,'Факт продаж'!S:U,3,0)/SUM('План Антонова'!$C$17:$C$19),0)</f>
        <v>7.5448041605504293E-3</v>
      </c>
      <c r="Q66" s="44">
        <f>IFERROR(VLOOKUP(B66,'Факт продаж'!S:X,6,0),"-")</f>
        <v>1.8709918431746932</v>
      </c>
      <c r="R66" s="44">
        <f>IF(AND(J66=0,P66&gt;0),5,IF(P66/J66&gt;5,5,IF(P66/J66=0,0.0000001,P66/J66)))</f>
        <v>2.8697506075596668</v>
      </c>
      <c r="S66" s="16">
        <f>IFERROR(VLOOKUP(B66,'Факт продаж'!AB:AD,2,0),"нет продаж")</f>
        <v>406</v>
      </c>
      <c r="T66" s="16">
        <f>IFERROR(VLOOKUP(B66,'Факт продаж'!AB:AD,3,0),"нет продаж")</f>
        <v>1096071.78</v>
      </c>
      <c r="U66" s="16">
        <f>IFERROR(VLOOKUP(B66,'Факт продаж'!AB:AF,5,0),"нет продаж")</f>
        <v>435856.24990972021</v>
      </c>
      <c r="V66" s="7">
        <f>IFERROR(VLOOKUP(B66,'Факт продаж'!AB:AD,3,0)/SUM('План Антонова'!$C$20:$C$22),0)</f>
        <v>7.1230386304893248E-3</v>
      </c>
      <c r="W66" s="44">
        <f>IFERROR(VLOOKUP(B66,'Факт продаж'!AB:AG,6,0),"-")</f>
        <v>-1.7101340101570717E-3</v>
      </c>
      <c r="X66" s="44">
        <f>IF(AND(P66=0,V66&gt;0),5,IF(V66/P66&gt;5,5,IF(V66/P66=0,0.0000001,V66/P66)))</f>
        <v>0.94409854502700108</v>
      </c>
      <c r="Y66" s="44">
        <f>IFERROR(VLOOKUP(B66,'Факт продаж'!AB:AH,7,0),"-")</f>
        <v>13.11983661109803</v>
      </c>
      <c r="Z66" s="44">
        <f>IF(AND(F66=0,V66&gt;0),5,IF(V66/F66&gt;5,5,IF(V66/F66=0,0.0000001,V66/F66)))</f>
        <v>5</v>
      </c>
      <c r="AB66" s="10" t="str">
        <f>IFERROR(VLOOKUP(VALUE(IF(L66&lt;1,1,0)&amp;IF(J66&lt;'Факт продаж'!$M$24,0,1)),$AB$1:$AC$4,2,FALSE),"НЕТ ПРОДАЖ")</f>
        <v>Звезда</v>
      </c>
      <c r="AC66" s="10" t="str">
        <f>IFERROR(VLOOKUP(VALUE(IF(R66&lt;1,1,0)&amp;IF(P66&lt;'Факт продаж'!$V$24,0,1)),$AB$1:$AC$4,2,FALSE),"НЕТ ПРОДАЖ")</f>
        <v>Звезда</v>
      </c>
      <c r="AD66" s="10" t="str">
        <f>IFERROR(VLOOKUP(VALUE(IF(X66&lt;1,1,0)&amp;IF(V66&lt;'Факт продаж'!$AE$24,0,1)),$AB$1:$AC$4,2,FALSE),"НЕТ ПРОДАЖ")</f>
        <v>Корова</v>
      </c>
      <c r="AE66" s="18" t="str">
        <f>IFERROR(VLOOKUP(VALUE(IF(Z66&lt;1,1,0)&amp;IF(V66&lt;'Факт продаж'!$AE$24,0,1)),$AB$1:$AC$4,2,FALSE),"НЕТ ПРОДАЖ")</f>
        <v>Звезда</v>
      </c>
      <c r="AF66" s="74" t="str">
        <f>VLOOKUP(B66,'ABC расчет'!B:G,6,0)</f>
        <v>A</v>
      </c>
      <c r="AG66" s="74" t="str">
        <f>VLOOKUP(B66,'ABC расчет'!K:P,6,0)</f>
        <v>A</v>
      </c>
      <c r="AH66" s="74" t="str">
        <f>VLOOKUP(B66,'ABC расчет'!T:Y,6,0)</f>
        <v>A</v>
      </c>
      <c r="AI66" s="74" t="str">
        <f>VLOOKUP(B66,'ABC расчет'!AC:AH,6,0)</f>
        <v>A</v>
      </c>
      <c r="AJ66" s="74" t="s">
        <v>452</v>
      </c>
      <c r="AK66" s="74"/>
      <c r="AL66" s="19"/>
    </row>
    <row r="67" spans="1:38" x14ac:dyDescent="0.3">
      <c r="A67" s="51" t="s">
        <v>251</v>
      </c>
      <c r="B67" s="21" t="s">
        <v>60</v>
      </c>
      <c r="C67" s="20">
        <f>IFERROR(VLOOKUP(B67,'Факт продаж'!A:B,2,0),"нет продаж")</f>
        <v>472</v>
      </c>
      <c r="D67" s="47">
        <f>IFERROR(VLOOKUP(B67,'Факт продаж'!A:C,3,0),"нет продаж")</f>
        <v>1350660.3573</v>
      </c>
      <c r="E67" s="47">
        <f>IFERROR(VLOOKUP(B67,'Факт продаж'!A:E,5,0),"нет продаж")</f>
        <v>493733.76996430766</v>
      </c>
      <c r="F67" s="25">
        <f>IFERROR(VLOOKUP(B67,'Факт продаж'!A:C,3,0)/SUM('План Антонова'!$C$11:$C$13),0)</f>
        <v>1.0255707166244526E-2</v>
      </c>
      <c r="G67" s="5">
        <f>IFERROR(VLOOKUP(B67,'Факт продаж'!J:K,2,0),"нет продаж")</f>
        <v>242</v>
      </c>
      <c r="H67" s="48">
        <f>IFERROR(VLOOKUP(B67,'Факт продаж'!J:L,3,0),"нет продаж")</f>
        <v>998963.64999999991</v>
      </c>
      <c r="I67" s="48">
        <f>IFERROR(VLOOKUP(B67,'Факт продаж'!J:N,5,0),"нет продаж")</f>
        <v>470369.83377337916</v>
      </c>
      <c r="J67" s="7">
        <f>IFERROR(VLOOKUP(B67,'Факт продаж'!J:L,3,0)/SUM('План Антонова'!$C$14:$C$16),0)</f>
        <v>6.8977043788947265E-3</v>
      </c>
      <c r="K67" s="44">
        <f>IFERROR(VLOOKUP(B67,'Факт продаж'!J:O,6,0),"-")</f>
        <v>-4.7320919921312043E-2</v>
      </c>
      <c r="L67" s="44">
        <f>IF(AND(F67=0,J67&gt;0),5,IF(J67/F67&gt;5,5,IF(J67/F67=0,0.0000001,J67/F67)))</f>
        <v>0.67257228264060842</v>
      </c>
      <c r="M67" s="5">
        <f>IFERROR(VLOOKUP(B67,'Факт продаж'!S:T,2,0),"нет продаж")</f>
        <v>185</v>
      </c>
      <c r="N67" s="48">
        <f>IFERROR(VLOOKUP(B67,'Факт продаж'!S:U,3,0),"нет продаж")</f>
        <v>906799.29999999981</v>
      </c>
      <c r="O67" s="48">
        <f>IFERROR(VLOOKUP(B67,'Факт продаж'!S:W,5,0),"нет продаж")</f>
        <v>398009.91771528247</v>
      </c>
      <c r="P67" s="7">
        <f>IFERROR(VLOOKUP(B67,'Факт продаж'!S:U,3,0)/SUM('План Антонова'!$C$17:$C$19),0)</f>
        <v>5.523360209481556E-3</v>
      </c>
      <c r="Q67" s="44">
        <f>IFERROR(VLOOKUP(B67,'Факт продаж'!S:X,6,0),"-")</f>
        <v>-0.15383621750913379</v>
      </c>
      <c r="R67" s="44">
        <f>IF(AND(J67=0,P67&gt;0),5,IF(P67/J67&gt;5,5,IF(P67/J67=0,0.0000001,P67/J67)))</f>
        <v>0.800753396504158</v>
      </c>
      <c r="S67" s="16">
        <f>IFERROR(VLOOKUP(B67,'Факт продаж'!AB:AD,2,0),"нет продаж")</f>
        <v>187</v>
      </c>
      <c r="T67" s="16">
        <f>IFERROR(VLOOKUP(B67,'Факт продаж'!AB:AD,3,0),"нет продаж")</f>
        <v>943714.37000000011</v>
      </c>
      <c r="U67" s="16">
        <f>IFERROR(VLOOKUP(B67,'Факт продаж'!AB:AF,5,0),"нет продаж")</f>
        <v>400027.1266737649</v>
      </c>
      <c r="V67" s="7">
        <f>IFERROR(VLOOKUP(B67,'Факт продаж'!AB:AD,3,0)/SUM('План Антонова'!$C$20:$C$22),0)</f>
        <v>6.1329139535532028E-3</v>
      </c>
      <c r="W67" s="44">
        <f>IFERROR(VLOOKUP(B67,'Факт продаж'!AB:AG,6,0),"-")</f>
        <v>5.0682379224666896E-3</v>
      </c>
      <c r="X67" s="44">
        <f>IF(AND(P67=0,V67&gt;0),5,IF(V67/P67&gt;5,5,IF(V67/P67=0,0.0000001,V67/P67)))</f>
        <v>1.1103592235438982</v>
      </c>
      <c r="Y67" s="44">
        <f>IFERROR(VLOOKUP(B67,'Факт продаж'!AB:AH,7,0),"-")</f>
        <v>-0.18979184530423532</v>
      </c>
      <c r="Z67" s="44">
        <f>IF(AND(F67=0,V67&gt;0),5,IF(V67/F67&gt;5,5,IF(V67/F67=0,0.0000001,V67/F67)))</f>
        <v>0.59800010415068983</v>
      </c>
      <c r="AB67" s="10" t="str">
        <f>IFERROR(VLOOKUP(VALUE(IF(L67&lt;1,1,0)&amp;IF(J67&lt;'Факт продаж'!$M$24,0,1)),$AB$1:$AC$4,2,FALSE),"НЕТ ПРОДАЖ")</f>
        <v>Корова</v>
      </c>
      <c r="AC67" s="10" t="str">
        <f>IFERROR(VLOOKUP(VALUE(IF(R67&lt;1,1,0)&amp;IF(P67&lt;'Факт продаж'!$V$24,0,1)),$AB$1:$AC$4,2,FALSE),"НЕТ ПРОДАЖ")</f>
        <v>Корова</v>
      </c>
      <c r="AD67" s="10" t="str">
        <f>IFERROR(VLOOKUP(VALUE(IF(X67&lt;1,1,0)&amp;IF(V67&lt;'Факт продаж'!$AE$24,0,1)),$AB$1:$AC$4,2,FALSE),"НЕТ ПРОДАЖ")</f>
        <v>Звезда</v>
      </c>
      <c r="AE67" s="18" t="str">
        <f>IFERROR(VLOOKUP(VALUE(IF(Z67&lt;1,1,0)&amp;IF(V67&lt;'Факт продаж'!$AE$24,0,1)),$AB$1:$AC$4,2,FALSE),"НЕТ ПРОДАЖ")</f>
        <v>Корова</v>
      </c>
      <c r="AF67" s="74" t="str">
        <f>VLOOKUP(B67,'ABC расчет'!B:G,6,0)</f>
        <v>A</v>
      </c>
      <c r="AG67" s="74" t="str">
        <f>VLOOKUP(B67,'ABC расчет'!K:P,6,0)</f>
        <v>A</v>
      </c>
      <c r="AH67" s="74" t="str">
        <f>VLOOKUP(B67,'ABC расчет'!T:Y,6,0)</f>
        <v>B</v>
      </c>
      <c r="AI67" s="74" t="str">
        <f>VLOOKUP(B67,'ABC расчет'!AC:AH,6,0)</f>
        <v>A</v>
      </c>
      <c r="AJ67" s="74"/>
      <c r="AK67" s="74"/>
      <c r="AL67" s="19"/>
    </row>
    <row r="68" spans="1:38" x14ac:dyDescent="0.3">
      <c r="A68" s="51" t="s">
        <v>259</v>
      </c>
      <c r="B68" s="21" t="s">
        <v>83</v>
      </c>
      <c r="C68" s="20">
        <f>IFERROR(VLOOKUP(B68,'Факт продаж'!A:B,2,0),"нет продаж")</f>
        <v>670</v>
      </c>
      <c r="D68" s="47">
        <f>IFERROR(VLOOKUP(B68,'Факт продаж'!A:C,3,0),"нет продаж")</f>
        <v>362662.18589999998</v>
      </c>
      <c r="E68" s="47">
        <f>IFERROR(VLOOKUP(B68,'Факт продаж'!A:E,5,0),"нет продаж")</f>
        <v>174152.02590125141</v>
      </c>
      <c r="F68" s="25">
        <f>IFERROR(VLOOKUP(B68,'Факт продаж'!A:C,3,0)/SUM('План Антонова'!$C$11:$C$13),0)</f>
        <v>2.7537323937570895E-3</v>
      </c>
      <c r="G68" s="5">
        <f>IFERROR(VLOOKUP(B68,'Факт продаж'!J:K,2,0),"нет продаж")</f>
        <v>890</v>
      </c>
      <c r="H68" s="48">
        <f>IFERROR(VLOOKUP(B68,'Факт продаж'!J:L,3,0),"нет продаж")</f>
        <v>575228.6</v>
      </c>
      <c r="I68" s="48">
        <f>IFERROR(VLOOKUP(B68,'Факт продаж'!J:N,5,0),"нет продаж")</f>
        <v>273815.41117072356</v>
      </c>
      <c r="J68" s="7">
        <f>IFERROR(VLOOKUP(B68,'Факт продаж'!J:L,3,0)/SUM('План Антонова'!$C$14:$C$16),0)</f>
        <v>3.9718730837558338E-3</v>
      </c>
      <c r="K68" s="44">
        <f>IFERROR(VLOOKUP(B68,'Факт продаж'!J:O,6,0),"-")</f>
        <v>0.57227807000065445</v>
      </c>
      <c r="L68" s="44">
        <f>IF(AND(F68=0,J68&gt;0),5,IF(J68/F68&gt;5,5,IF(J68/F68=0,0.0000001,J68/F68)))</f>
        <v>1.4423598650182412</v>
      </c>
      <c r="M68" s="5">
        <f>IFERROR(VLOOKUP(B68,'Факт продаж'!S:T,2,0),"нет продаж")</f>
        <v>1196</v>
      </c>
      <c r="N68" s="48">
        <f>IFERROR(VLOOKUP(B68,'Факт продаж'!S:U,3,0),"нет продаж")</f>
        <v>704493.2999999997</v>
      </c>
      <c r="O68" s="48">
        <f>IFERROR(VLOOKUP(B68,'Факт продаж'!S:W,5,0),"нет продаж")</f>
        <v>311279.18935616454</v>
      </c>
      <c r="P68" s="7">
        <f>IFERROR(VLOOKUP(B68,'Факт продаж'!S:U,3,0)/SUM('План Антонова'!$C$17:$C$19),0)</f>
        <v>4.2911041738412812E-3</v>
      </c>
      <c r="Q68" s="44">
        <f>IFERROR(VLOOKUP(B68,'Факт продаж'!S:X,6,0),"-")</f>
        <v>0.13682129148706812</v>
      </c>
      <c r="R68" s="44">
        <f>IF(AND(J68=0,P68&gt;0),5,IF(P68/J68&gt;5,5,IF(P68/J68=0,0.0000001,P68/J68)))</f>
        <v>1.0803729332115466</v>
      </c>
      <c r="S68" s="16">
        <f>IFERROR(VLOOKUP(B68,'Факт продаж'!AB:AD,2,0),"нет продаж")</f>
        <v>1373</v>
      </c>
      <c r="T68" s="16">
        <f>IFERROR(VLOOKUP(B68,'Факт продаж'!AB:AD,3,0),"нет продаж")</f>
        <v>869469.8</v>
      </c>
      <c r="U68" s="16">
        <f>IFERROR(VLOOKUP(B68,'Факт продаж'!AB:AF,5,0),"нет продаж")</f>
        <v>385261.31194659136</v>
      </c>
      <c r="V68" s="7">
        <f>IFERROR(VLOOKUP(B68,'Факт продаж'!AB:AD,3,0)/SUM('План Антонова'!$C$20:$C$22),0)</f>
        <v>5.6504209728343042E-3</v>
      </c>
      <c r="W68" s="44">
        <f>IFERROR(VLOOKUP(B68,'Факт продаж'!AB:AG,6,0),"-")</f>
        <v>0.23767127749030714</v>
      </c>
      <c r="X68" s="44">
        <f>IF(AND(P68=0,V68&gt;0),5,IF(V68/P68&gt;5,5,IF(V68/P68=0,0.0000001,V68/P68)))</f>
        <v>1.3167755300091442</v>
      </c>
      <c r="Y68" s="44">
        <f>IFERROR(VLOOKUP(B68,'Факт продаж'!AB:AH,7,0),"-")</f>
        <v>1.2122126340640116</v>
      </c>
      <c r="Z68" s="44">
        <f>IF(AND(F68=0,V68&gt;0),5,IF(V68/F68&gt;5,5,IF(V68/F68=0,0.0000001,V68/F68)))</f>
        <v>2.0519136084698051</v>
      </c>
      <c r="AB68" s="10" t="str">
        <f>IFERROR(VLOOKUP(VALUE(IF(L68&lt;1,1,0)&amp;IF(J68&lt;'Факт продаж'!$M$24,0,1)),$AB$1:$AC$4,2,FALSE),"НЕТ ПРОДАЖ")</f>
        <v>Звезда</v>
      </c>
      <c r="AC68" s="10" t="str">
        <f>IFERROR(VLOOKUP(VALUE(IF(R68&lt;1,1,0)&amp;IF(P68&lt;'Факт продаж'!$V$24,0,1)),$AB$1:$AC$4,2,FALSE),"НЕТ ПРОДАЖ")</f>
        <v>Звезда</v>
      </c>
      <c r="AD68" s="10" t="str">
        <f>IFERROR(VLOOKUP(VALUE(IF(X68&lt;1,1,0)&amp;IF(V68&lt;'Факт продаж'!$AE$24,0,1)),$AB$1:$AC$4,2,FALSE),"НЕТ ПРОДАЖ")</f>
        <v>Звезда</v>
      </c>
      <c r="AE68" s="18" t="str">
        <f>IFERROR(VLOOKUP(VALUE(IF(Z68&lt;1,1,0)&amp;IF(V68&lt;'Факт продаж'!$AE$24,0,1)),$AB$1:$AC$4,2,FALSE),"НЕТ ПРОДАЖ")</f>
        <v>Звезда</v>
      </c>
      <c r="AF68" s="74" t="str">
        <f>VLOOKUP(B68,'ABC расчет'!B:G,6,0)</f>
        <v>C</v>
      </c>
      <c r="AG68" s="74" t="str">
        <f>VLOOKUP(B68,'ABC расчет'!K:P,6,0)</f>
        <v>B</v>
      </c>
      <c r="AH68" s="74" t="str">
        <f>VLOOKUP(B68,'ABC расчет'!T:Y,6,0)</f>
        <v>C</v>
      </c>
      <c r="AI68" s="74" t="str">
        <f>VLOOKUP(B68,'ABC расчет'!AC:AH,6,0)</f>
        <v>B</v>
      </c>
      <c r="AJ68" s="74"/>
      <c r="AK68" s="74"/>
      <c r="AL68" s="5"/>
    </row>
    <row r="69" spans="1:38" x14ac:dyDescent="0.3">
      <c r="A69" s="51" t="s">
        <v>256</v>
      </c>
      <c r="B69" s="21" t="s">
        <v>173</v>
      </c>
      <c r="C69" s="20">
        <f>IFERROR(VLOOKUP(B69,'Факт продаж'!A:B,2,0),"нет продаж")</f>
        <v>13</v>
      </c>
      <c r="D69" s="47">
        <f>IFERROR(VLOOKUP(B69,'Факт продаж'!A:C,3,0),"нет продаж")</f>
        <v>18603.996200000001</v>
      </c>
      <c r="E69" s="47">
        <f>IFERROR(VLOOKUP(B69,'Факт продаж'!A:E,5,0),"нет продаж")</f>
        <v>8408.7872342809496</v>
      </c>
      <c r="F69" s="25">
        <f>IFERROR(VLOOKUP(B69,'Факт продаж'!A:C,3,0)/SUM('План Антонова'!$C$11:$C$13),0)</f>
        <v>1.412621138378072E-4</v>
      </c>
      <c r="G69" s="5">
        <f>IFERROR(VLOOKUP(B69,'Факт продаж'!J:K,2,0),"нет продаж")</f>
        <v>882</v>
      </c>
      <c r="H69" s="48">
        <f>IFERROR(VLOOKUP(B69,'Факт продаж'!J:L,3,0),"нет продаж")</f>
        <v>1483791.5700000017</v>
      </c>
      <c r="I69" s="48">
        <f>IFERROR(VLOOKUP(B69,'Факт продаж'!J:N,5,0),"нет продаж")</f>
        <v>695507.7527194646</v>
      </c>
      <c r="J69" s="7">
        <f>IFERROR(VLOOKUP(B69,'Факт продаж'!J:L,3,0)/SUM('План Антонова'!$C$14:$C$16),0)</f>
        <v>1.0245373402481755E-2</v>
      </c>
      <c r="K69" s="44">
        <f>IFERROR(VLOOKUP(B69,'Факт продаж'!J:O,6,0),"-")</f>
        <v>81.712017005736342</v>
      </c>
      <c r="L69" s="44">
        <f>IF(AND(F69=0,J69&gt;0),5,IF(J69/F69&gt;5,5,IF(J69/F69=0,0.0000001,J69/F69)))</f>
        <v>5</v>
      </c>
      <c r="M69" s="5">
        <f>IFERROR(VLOOKUP(B69,'Факт продаж'!S:T,2,0),"нет продаж")</f>
        <v>699</v>
      </c>
      <c r="N69" s="48">
        <f>IFERROR(VLOOKUP(B69,'Факт продаж'!S:U,3,0),"нет продаж")</f>
        <v>1181636.8300000012</v>
      </c>
      <c r="O69" s="48">
        <f>IFERROR(VLOOKUP(B69,'Факт продаж'!S:W,5,0),"нет продаж")</f>
        <v>496310.46440669714</v>
      </c>
      <c r="P69" s="7">
        <f>IFERROR(VLOOKUP(B69,'Факт продаж'!S:U,3,0)/SUM('План Антонова'!$C$17:$C$19),0)</f>
        <v>7.1974094475811016E-3</v>
      </c>
      <c r="Q69" s="44">
        <f>IFERROR(VLOOKUP(B69,'Факт продаж'!S:X,6,0),"-")</f>
        <v>-0.28640556130955785</v>
      </c>
      <c r="R69" s="44">
        <f>IF(AND(J69=0,P69&gt;0),5,IF(P69/J69&gt;5,5,IF(P69/J69=0,0.0000001,P69/J69)))</f>
        <v>0.70250338029043047</v>
      </c>
      <c r="S69" s="16">
        <f>IFERROR(VLOOKUP(B69,'Факт продаж'!AB:AD,2,0),"нет продаж")</f>
        <v>507</v>
      </c>
      <c r="T69" s="16">
        <f>IFERROR(VLOOKUP(B69,'Факт продаж'!AB:AD,3,0),"нет продаж")</f>
        <v>821493.15000000026</v>
      </c>
      <c r="U69" s="16">
        <f>IFERROR(VLOOKUP(B69,'Факт продаж'!AB:AF,5,0),"нет продаж")</f>
        <v>367692.23046008393</v>
      </c>
      <c r="V69" s="7">
        <f>IFERROR(VLOOKUP(B69,'Факт продаж'!AB:AD,3,0)/SUM('План Антонова'!$C$20:$C$22),0)</f>
        <v>5.3386352508157479E-3</v>
      </c>
      <c r="W69" s="44">
        <f>IFERROR(VLOOKUP(B69,'Факт продаж'!AB:AG,6,0),"-")</f>
        <v>-0.2591487449299843</v>
      </c>
      <c r="X69" s="44">
        <f>IF(AND(P69=0,V69&gt;0),5,IF(V69/P69&gt;5,5,IF(V69/P69=0,0.0000001,V69/P69)))</f>
        <v>0.74174399687792547</v>
      </c>
      <c r="Y69" s="44">
        <f>IFERROR(VLOOKUP(B69,'Факт продаж'!AB:AH,7,0),"-")</f>
        <v>42.727141645477246</v>
      </c>
      <c r="Z69" s="44">
        <f>IF(AND(F69=0,V69&gt;0),5,IF(V69/F69&gt;5,5,IF(V69/F69=0,0.0000001,V69/F69)))</f>
        <v>5</v>
      </c>
      <c r="AB69" s="10" t="str">
        <f>IFERROR(VLOOKUP(VALUE(IF(L69&lt;1,1,0)&amp;IF(J69&lt;'Факт продаж'!$M$24,0,1)),$AB$1:$AC$4,2,FALSE),"НЕТ ПРОДАЖ")</f>
        <v>Звезда</v>
      </c>
      <c r="AC69" s="10" t="str">
        <f>IFERROR(VLOOKUP(VALUE(IF(R69&lt;1,1,0)&amp;IF(P69&lt;'Факт продаж'!$V$24,0,1)),$AB$1:$AC$4,2,FALSE),"НЕТ ПРОДАЖ")</f>
        <v>Корова</v>
      </c>
      <c r="AD69" s="10" t="str">
        <f>IFERROR(VLOOKUP(VALUE(IF(X69&lt;1,1,0)&amp;IF(V69&lt;'Факт продаж'!$AE$24,0,1)),$AB$1:$AC$4,2,FALSE),"НЕТ ПРОДАЖ")</f>
        <v>Корова</v>
      </c>
      <c r="AE69" s="18" t="str">
        <f>IFERROR(VLOOKUP(VALUE(IF(Z69&lt;1,1,0)&amp;IF(V69&lt;'Факт продаж'!$AE$24,0,1)),$AB$1:$AC$4,2,FALSE),"НЕТ ПРОДАЖ")</f>
        <v>Звезда</v>
      </c>
      <c r="AF69" s="74" t="str">
        <f>VLOOKUP(B69,'ABC расчет'!B:G,6,0)</f>
        <v>B</v>
      </c>
      <c r="AG69" s="74" t="str">
        <f>VLOOKUP(B69,'ABC расчет'!K:P,6,0)</f>
        <v>A</v>
      </c>
      <c r="AH69" s="74" t="str">
        <f>VLOOKUP(B69,'ABC расчет'!T:Y,6,0)</f>
        <v>A</v>
      </c>
      <c r="AI69" s="74" t="str">
        <f>VLOOKUP(B69,'ABC расчет'!AC:AH,6,0)</f>
        <v>A</v>
      </c>
      <c r="AJ69" s="74" t="s">
        <v>452</v>
      </c>
      <c r="AK69" s="74"/>
      <c r="AL69" s="19"/>
    </row>
    <row r="70" spans="1:38" x14ac:dyDescent="0.3">
      <c r="A70" s="51" t="s">
        <v>116</v>
      </c>
      <c r="B70" s="21" t="s">
        <v>70</v>
      </c>
      <c r="C70" s="20">
        <f>IFERROR(VLOOKUP(B70,'Факт продаж'!A:B,2,0),"нет продаж")</f>
        <v>8</v>
      </c>
      <c r="D70" s="47">
        <f>IFERROR(VLOOKUP(B70,'Факт продаж'!A:C,3,0),"нет продаж")</f>
        <v>16160.650900000001</v>
      </c>
      <c r="E70" s="47">
        <f>IFERROR(VLOOKUP(B70,'Факт продаж'!A:E,5,0),"нет продаж")</f>
        <v>6821.5916257085009</v>
      </c>
      <c r="F70" s="25">
        <f>IFERROR(VLOOKUP(B70,'Факт продаж'!A:C,3,0)/SUM('План Антонова'!$C$11:$C$13),0)</f>
        <v>1.2270953415529409E-4</v>
      </c>
      <c r="G70" s="5">
        <f>IFERROR(VLOOKUP(B70,'Факт продаж'!J:K,2,0),"нет продаж")</f>
        <v>202</v>
      </c>
      <c r="H70" s="48">
        <f>IFERROR(VLOOKUP(B70,'Факт продаж'!J:L,3,0),"нет продаж")</f>
        <v>445019.50000000012</v>
      </c>
      <c r="I70" s="48">
        <f>IFERROR(VLOOKUP(B70,'Факт продаж'!J:N,5,0),"нет продаж")</f>
        <v>182145.58433631621</v>
      </c>
      <c r="J70" s="7">
        <f>IFERROR(VLOOKUP(B70,'Факт продаж'!J:L,3,0)/SUM('План Антонова'!$C$14:$C$16),0)</f>
        <v>3.0727974474782367E-3</v>
      </c>
      <c r="K70" s="44">
        <f>IFERROR(VLOOKUP(B70,'Факт продаж'!J:O,6,0),"-")</f>
        <v>25.701332230130134</v>
      </c>
      <c r="L70" s="44">
        <f>IF(AND(F70=0,J70&gt;0),5,IF(J70/F70&gt;5,5,IF(J70/F70=0,0.0000001,J70/F70)))</f>
        <v>5</v>
      </c>
      <c r="M70" s="5">
        <f>IFERROR(VLOOKUP(B70,'Факт продаж'!S:T,2,0),"нет продаж")</f>
        <v>251</v>
      </c>
      <c r="N70" s="48">
        <f>IFERROR(VLOOKUP(B70,'Факт продаж'!S:U,3,0),"нет продаж")</f>
        <v>590327.90000000014</v>
      </c>
      <c r="O70" s="48">
        <f>IFERROR(VLOOKUP(B70,'Факт продаж'!S:W,5,0),"нет продаж")</f>
        <v>235061.37926161059</v>
      </c>
      <c r="P70" s="7">
        <f>IFERROR(VLOOKUP(B70,'Факт продаж'!S:U,3,0)/SUM('План Антонова'!$C$17:$C$19),0)</f>
        <v>3.5957169722195511E-3</v>
      </c>
      <c r="Q70" s="44">
        <f>IFERROR(VLOOKUP(B70,'Факт продаж'!S:X,6,0),"-")</f>
        <v>0.29051373997400831</v>
      </c>
      <c r="R70" s="44">
        <f>IF(AND(J70=0,P70&gt;0),5,IF(P70/J70&gt;5,5,IF(P70/J70=0,0.0000001,P70/J70)))</f>
        <v>1.17017702392667</v>
      </c>
      <c r="S70" s="16">
        <f>IFERROR(VLOOKUP(B70,'Факт продаж'!AB:AD,2,0),"нет продаж")</f>
        <v>401</v>
      </c>
      <c r="T70" s="16">
        <f>IFERROR(VLOOKUP(B70,'Факт продаж'!AB:AD,3,0),"нет продаж")</f>
        <v>883632.2699999999</v>
      </c>
      <c r="U70" s="16">
        <f>IFERROR(VLOOKUP(B70,'Факт продаж'!AB:AF,5,0),"нет продаж")</f>
        <v>361988.26746125048</v>
      </c>
      <c r="V70" s="7">
        <f>IFERROR(VLOOKUP(B70,'Факт продаж'!AB:AD,3,0)/SUM('План Антонова'!$C$20:$C$22),0)</f>
        <v>5.7424585772630444E-3</v>
      </c>
      <c r="W70" s="44">
        <f>IFERROR(VLOOKUP(B70,'Факт продаж'!AB:AG,6,0),"-")</f>
        <v>0.53997338311529752</v>
      </c>
      <c r="X70" s="44">
        <f>IF(AND(P70=0,V70&gt;0),5,IF(V70/P70&gt;5,5,IF(V70/P70=0,0.0000001,V70/P70)))</f>
        <v>1.5970274139008112</v>
      </c>
      <c r="Y70" s="44">
        <f>IFERROR(VLOOKUP(B70,'Факт продаж'!AB:AH,7,0),"-")</f>
        <v>52.065074446413206</v>
      </c>
      <c r="Z70" s="44">
        <f>IF(AND(F70=0,V70&gt;0),5,IF(V70/F70&gt;5,5,IF(V70/F70=0,0.0000001,V70/F70)))</f>
        <v>5</v>
      </c>
      <c r="AB70" s="10" t="str">
        <f>IFERROR(VLOOKUP(VALUE(IF(L70&lt;1,1,0)&amp;IF(J70&lt;'Факт продаж'!$M$24,0,1)),$AB$1:$AC$4,2,FALSE),"НЕТ ПРОДАЖ")</f>
        <v>Звезда</v>
      </c>
      <c r="AC70" s="10" t="str">
        <f>IFERROR(VLOOKUP(VALUE(IF(R70&lt;1,1,0)&amp;IF(P70&lt;'Факт продаж'!$V$24,0,1)),$AB$1:$AC$4,2,FALSE),"НЕТ ПРОДАЖ")</f>
        <v>Звезда</v>
      </c>
      <c r="AD70" s="10" t="str">
        <f>IFERROR(VLOOKUP(VALUE(IF(X70&lt;1,1,0)&amp;IF(V70&lt;'Факт продаж'!$AE$24,0,1)),$AB$1:$AC$4,2,FALSE),"НЕТ ПРОДАЖ")</f>
        <v>Звезда</v>
      </c>
      <c r="AE70" s="18" t="str">
        <f>IFERROR(VLOOKUP(VALUE(IF(Z70&lt;1,1,0)&amp;IF(V70&lt;'Факт продаж'!$AE$24,0,1)),$AB$1:$AC$4,2,FALSE),"НЕТ ПРОДАЖ")</f>
        <v>Звезда</v>
      </c>
      <c r="AF70" s="74" t="str">
        <f>VLOOKUP(B70,'ABC расчет'!B:G,6,0)</f>
        <v>C</v>
      </c>
      <c r="AG70" s="74" t="str">
        <f>VLOOKUP(B70,'ABC расчет'!K:P,6,0)</f>
        <v>B</v>
      </c>
      <c r="AH70" s="74" t="str">
        <f>VLOOKUP(B70,'ABC расчет'!T:Y,6,0)</f>
        <v>B</v>
      </c>
      <c r="AI70" s="74" t="str">
        <f>VLOOKUP(B70,'ABC расчет'!AC:AH,6,0)</f>
        <v>A</v>
      </c>
      <c r="AJ70" s="74"/>
      <c r="AK70" s="74"/>
      <c r="AL70" s="19"/>
    </row>
    <row r="71" spans="1:38" x14ac:dyDescent="0.3">
      <c r="A71" s="51" t="s">
        <v>250</v>
      </c>
      <c r="B71" s="21" t="s">
        <v>78</v>
      </c>
      <c r="C71" s="20">
        <f>IFERROR(VLOOKUP(B71,'Факт продаж'!A:B,2,0),"нет продаж")</f>
        <v>272</v>
      </c>
      <c r="D71" s="47">
        <f>IFERROR(VLOOKUP(B71,'Факт продаж'!A:C,3,0),"нет продаж")</f>
        <v>371245.9878</v>
      </c>
      <c r="E71" s="47">
        <f>IFERROR(VLOOKUP(B71,'Факт продаж'!A:E,5,0),"нет продаж")</f>
        <v>132658.14654239724</v>
      </c>
      <c r="F71" s="25">
        <f>IFERROR(VLOOKUP(B71,'Факт продаж'!A:C,3,0)/SUM('План Антонова'!$C$11:$C$13),0)</f>
        <v>2.818910110852032E-3</v>
      </c>
      <c r="G71" s="5">
        <f>IFERROR(VLOOKUP(B71,'Факт продаж'!J:K,2,0),"нет продаж")</f>
        <v>214</v>
      </c>
      <c r="H71" s="48">
        <f>IFERROR(VLOOKUP(B71,'Факт продаж'!J:L,3,0),"нет продаж")</f>
        <v>382500.22</v>
      </c>
      <c r="I71" s="48">
        <f>IFERROR(VLOOKUP(B71,'Факт продаж'!J:N,5,0),"нет продаж")</f>
        <v>167673.61429243785</v>
      </c>
      <c r="J71" s="7">
        <f>IFERROR(VLOOKUP(B71,'Факт продаж'!J:L,3,0)/SUM('План Антонова'!$C$14:$C$16),0)</f>
        <v>2.6411105573483041E-3</v>
      </c>
      <c r="K71" s="44">
        <f>IFERROR(VLOOKUP(B71,'Факт продаж'!J:O,6,0),"-")</f>
        <v>0.26395263813556857</v>
      </c>
      <c r="L71" s="44">
        <f>IF(AND(F71=0,J71&gt;0),5,IF(J71/F71&gt;5,5,IF(J71/F71=0,0.0000001,J71/F71)))</f>
        <v>0.93692613580715178</v>
      </c>
      <c r="M71" s="5">
        <f>IFERROR(VLOOKUP(B71,'Факт продаж'!S:T,2,0),"нет продаж")</f>
        <v>198</v>
      </c>
      <c r="N71" s="48">
        <f>IFERROR(VLOOKUP(B71,'Факт продаж'!S:U,3,0),"нет продаж")</f>
        <v>346213.85000000003</v>
      </c>
      <c r="O71" s="48">
        <f>IFERROR(VLOOKUP(B71,'Факт продаж'!S:W,5,0),"нет продаж")</f>
        <v>139151.59980543412</v>
      </c>
      <c r="P71" s="7">
        <f>IFERROR(VLOOKUP(B71,'Факт продаж'!S:U,3,0)/SUM('План Антонова'!$C$17:$C$19),0)</f>
        <v>2.1088059982638015E-3</v>
      </c>
      <c r="Q71" s="44">
        <f>IFERROR(VLOOKUP(B71,'Факт продаж'!S:X,6,0),"-")</f>
        <v>-0.17010436977435683</v>
      </c>
      <c r="R71" s="44">
        <f>IF(AND(J71=0,P71&gt;0),5,IF(P71/J71&gt;5,5,IF(P71/J71=0,0.0000001,P71/J71)))</f>
        <v>0.79845426856384971</v>
      </c>
      <c r="S71" s="16">
        <f>IFERROR(VLOOKUP(B71,'Факт продаж'!AB:AD,2,0),"нет продаж")</f>
        <v>504</v>
      </c>
      <c r="T71" s="16">
        <f>IFERROR(VLOOKUP(B71,'Факт продаж'!AB:AD,3,0),"нет продаж")</f>
        <v>867508.15</v>
      </c>
      <c r="U71" s="16">
        <f>IFERROR(VLOOKUP(B71,'Факт продаж'!AB:AF,5,0),"нет продаж")</f>
        <v>332557.15919303615</v>
      </c>
      <c r="V71" s="7">
        <f>IFERROR(VLOOKUP(B71,'Факт продаж'!AB:AD,3,0)/SUM('План Антонова'!$C$20:$C$22),0)</f>
        <v>5.6376728034311105E-3</v>
      </c>
      <c r="W71" s="44">
        <f>IFERROR(VLOOKUP(B71,'Факт продаж'!AB:AG,6,0),"-")</f>
        <v>1.3898910228702177</v>
      </c>
      <c r="X71" s="44">
        <f>IF(AND(P71=0,V71&gt;0),5,IF(V71/P71&gt;5,5,IF(V71/P71=0,0.0000001,V71/P71)))</f>
        <v>2.6733956599481679</v>
      </c>
      <c r="Y71" s="44">
        <f>IFERROR(VLOOKUP(B71,'Факт продаж'!AB:AH,7,0),"-")</f>
        <v>1.506873251743734</v>
      </c>
      <c r="Z71" s="44">
        <f>IF(AND(F71=0,V71&gt;0),5,IF(V71/F71&gt;5,5,IF(V71/F71=0,0.0000001,V71/F71)))</f>
        <v>1.9999477038049613</v>
      </c>
      <c r="AB71" s="10" t="str">
        <f>IFERROR(VLOOKUP(VALUE(IF(L71&lt;1,1,0)&amp;IF(J71&lt;'Факт продаж'!$M$24,0,1)),$AB$1:$AC$4,2,FALSE),"НЕТ ПРОДАЖ")</f>
        <v>Корова</v>
      </c>
      <c r="AC71" s="10" t="str">
        <f>IFERROR(VLOOKUP(VALUE(IF(R71&lt;1,1,0)&amp;IF(P71&lt;'Факт продаж'!$V$24,0,1)),$AB$1:$AC$4,2,FALSE),"НЕТ ПРОДАЖ")</f>
        <v>Корова</v>
      </c>
      <c r="AD71" s="10" t="str">
        <f>IFERROR(VLOOKUP(VALUE(IF(X71&lt;1,1,0)&amp;IF(V71&lt;'Факт продаж'!$AE$24,0,1)),$AB$1:$AC$4,2,FALSE),"НЕТ ПРОДАЖ")</f>
        <v>Звезда</v>
      </c>
      <c r="AE71" s="18" t="str">
        <f>IFERROR(VLOOKUP(VALUE(IF(Z71&lt;1,1,0)&amp;IF(V71&lt;'Факт продаж'!$AE$24,0,1)),$AB$1:$AC$4,2,FALSE),"НЕТ ПРОДАЖ")</f>
        <v>Звезда</v>
      </c>
      <c r="AF71" s="74" t="str">
        <f>VLOOKUP(B71,'ABC расчет'!B:G,6,0)</f>
        <v>B</v>
      </c>
      <c r="AG71" s="74" t="str">
        <f>VLOOKUP(B71,'ABC расчет'!K:P,6,0)</f>
        <v>B</v>
      </c>
      <c r="AH71" s="74" t="str">
        <f>VLOOKUP(B71,'ABC расчет'!T:Y,6,0)</f>
        <v>A</v>
      </c>
      <c r="AI71" s="74" t="str">
        <f>VLOOKUP(B71,'ABC расчет'!AC:AH,6,0)</f>
        <v>A</v>
      </c>
      <c r="AJ71" s="74"/>
      <c r="AK71" s="74"/>
      <c r="AL71" s="19"/>
    </row>
    <row r="72" spans="1:38" ht="15" customHeight="1" x14ac:dyDescent="0.3">
      <c r="A72" s="51" t="s">
        <v>252</v>
      </c>
      <c r="B72" s="21" t="s">
        <v>281</v>
      </c>
      <c r="C72" s="20">
        <f>IFERROR(VLOOKUP(B72,'Факт продаж'!A:B,2,0),"нет продаж")</f>
        <v>96</v>
      </c>
      <c r="D72" s="47">
        <f>IFERROR(VLOOKUP(B72,'Факт продаж'!A:C,3,0),"нет продаж")</f>
        <v>78042.848599999998</v>
      </c>
      <c r="E72" s="47">
        <f>IFERROR(VLOOKUP(B72,'Факт продаж'!A:E,5,0),"нет продаж")</f>
        <v>20345.976487201697</v>
      </c>
      <c r="F72" s="25">
        <f>IFERROR(VLOOKUP(B72,'Факт продаж'!A:C,3,0)/SUM('План Антонова'!$C$11:$C$13),0)</f>
        <v>5.9258761637244104E-4</v>
      </c>
      <c r="G72" s="5">
        <f>IFERROR(VLOOKUP(B72,'Факт продаж'!J:K,2,0),"нет продаж")</f>
        <v>805</v>
      </c>
      <c r="H72" s="48">
        <f>IFERROR(VLOOKUP(B72,'Факт продаж'!J:L,3,0),"нет продаж")</f>
        <v>971643.56000000017</v>
      </c>
      <c r="I72" s="48">
        <f>IFERROR(VLOOKUP(B72,'Факт продаж'!J:N,5,0),"нет продаж")</f>
        <v>420481.71875048114</v>
      </c>
      <c r="J72" s="7">
        <f>IFERROR(VLOOKUP(B72,'Факт продаж'!J:L,3,0)/SUM('План Антонова'!$C$14:$C$16),0)</f>
        <v>6.7090629759519902E-3</v>
      </c>
      <c r="K72" s="44">
        <f>IFERROR(VLOOKUP(B72,'Факт продаж'!J:O,6,0),"-")</f>
        <v>19.66657842718821</v>
      </c>
      <c r="L72" s="44">
        <f>IF(AND(F72=0,J72&gt;0),5,IF(J72/F72&gt;5,5,IF(J72/F72=0,0.0000001,J72/F72)))</f>
        <v>5</v>
      </c>
      <c r="M72" s="5">
        <f>IFERROR(VLOOKUP(B72,'Факт продаж'!S:T,2,0),"нет продаж")</f>
        <v>662</v>
      </c>
      <c r="N72" s="48">
        <f>IFERROR(VLOOKUP(B72,'Факт продаж'!S:U,3,0),"нет продаж")</f>
        <v>838683.5</v>
      </c>
      <c r="O72" s="48">
        <f>IFERROR(VLOOKUP(B72,'Факт продаж'!S:W,5,0),"нет продаж")</f>
        <v>382076.14404455142</v>
      </c>
      <c r="P72" s="7">
        <f>IFERROR(VLOOKUP(B72,'Факт продаж'!S:U,3,0)/SUM('План Антонова'!$C$17:$C$19),0)</f>
        <v>5.1084634408614183E-3</v>
      </c>
      <c r="Q72" s="44">
        <f>IFERROR(VLOOKUP(B72,'Факт продаж'!S:X,6,0),"-")</f>
        <v>-9.1337085521951189E-2</v>
      </c>
      <c r="R72" s="44">
        <f>IF(AND(J72=0,P72&gt;0),5,IF(P72/J72&gt;5,5,IF(P72/J72=0,0.0000001,P72/J72)))</f>
        <v>0.76142726028541219</v>
      </c>
      <c r="S72" s="16">
        <f>IFERROR(VLOOKUP(B72,'Факт продаж'!AB:AD,2,0),"нет продаж")</f>
        <v>658</v>
      </c>
      <c r="T72" s="16">
        <f>IFERROR(VLOOKUP(B72,'Факт продаж'!AB:AD,3,0),"нет продаж")</f>
        <v>831261.6</v>
      </c>
      <c r="U72" s="16">
        <f>IFERROR(VLOOKUP(B72,'Факт продаж'!AB:AF,5,0),"нет продаж")</f>
        <v>325753.86171214492</v>
      </c>
      <c r="V72" s="7">
        <f>IFERROR(VLOOKUP(B72,'Факт продаж'!AB:AD,3,0)/SUM('План Антонова'!$C$20:$C$22),0)</f>
        <v>5.4021174496823232E-3</v>
      </c>
      <c r="W72" s="44">
        <f>IFERROR(VLOOKUP(B72,'Факт продаж'!AB:AG,6,0),"-")</f>
        <v>-0.14741114620817342</v>
      </c>
      <c r="X72" s="44">
        <f>IF(AND(P72=0,V72&gt;0),5,IF(V72/P72&gt;5,5,IF(V72/P72=0,0.0000001,V72/P72)))</f>
        <v>1.0574838231144095</v>
      </c>
      <c r="Y72" s="44">
        <f>IFERROR(VLOOKUP(B72,'Факт продаж'!AB:AH,7,0),"-")</f>
        <v>15.010726342727029</v>
      </c>
      <c r="Z72" s="44">
        <f>IF(AND(F72=0,V72&gt;0),5,IF(V72/F72&gt;5,5,IF(V72/F72=0,0.0000001,V72/F72)))</f>
        <v>5</v>
      </c>
      <c r="AB72" s="10" t="str">
        <f>IFERROR(VLOOKUP(VALUE(IF(L72&lt;1,1,0)&amp;IF(J72&lt;'Факт продаж'!$M$24,0,1)),$AB$1:$AC$4,2,FALSE),"НЕТ ПРОДАЖ")</f>
        <v>Звезда</v>
      </c>
      <c r="AC72" s="10" t="str">
        <f>IFERROR(VLOOKUP(VALUE(IF(R72&lt;1,1,0)&amp;IF(P72&lt;'Факт продаж'!$V$24,0,1)),$AB$1:$AC$4,2,FALSE),"НЕТ ПРОДАЖ")</f>
        <v>Корова</v>
      </c>
      <c r="AD72" s="10" t="str">
        <f>IFERROR(VLOOKUP(VALUE(IF(X72&lt;1,1,0)&amp;IF(V72&lt;'Факт продаж'!$AE$24,0,1)),$AB$1:$AC$4,2,FALSE),"НЕТ ПРОДАЖ")</f>
        <v>Звезда</v>
      </c>
      <c r="AE72" s="18" t="str">
        <f>IFERROR(VLOOKUP(VALUE(IF(Z72&lt;1,1,0)&amp;IF(V72&lt;'Факт продаж'!$AE$24,0,1)),$AB$1:$AC$4,2,FALSE),"НЕТ ПРОДАЖ")</f>
        <v>Звезда</v>
      </c>
      <c r="AF72" s="74" t="str">
        <f>VLOOKUP(B72,'ABC расчет'!B:G,6,0)</f>
        <v>B</v>
      </c>
      <c r="AG72" s="74" t="str">
        <f>VLOOKUP(B72,'ABC расчет'!K:P,6,0)</f>
        <v>A</v>
      </c>
      <c r="AH72" s="74" t="str">
        <f>VLOOKUP(B72,'ABC расчет'!T:Y,6,0)</f>
        <v>A</v>
      </c>
      <c r="AI72" s="74" t="str">
        <f>VLOOKUP(B72,'ABC расчет'!AC:AH,6,0)</f>
        <v>A</v>
      </c>
      <c r="AJ72" s="74" t="s">
        <v>452</v>
      </c>
      <c r="AK72" s="74"/>
      <c r="AL72" s="19"/>
    </row>
    <row r="73" spans="1:38" ht="15" customHeight="1" x14ac:dyDescent="0.3">
      <c r="A73" s="51" t="s">
        <v>388</v>
      </c>
      <c r="B73" s="21" t="s">
        <v>291</v>
      </c>
      <c r="C73" s="20">
        <f>IFERROR(VLOOKUP(B73,'Факт продаж'!A:B,2,0),"нет продаж")</f>
        <v>12</v>
      </c>
      <c r="D73" s="47">
        <f>IFERROR(VLOOKUP(B73,'Факт продаж'!A:C,3,0),"нет продаж")</f>
        <v>31711.8282</v>
      </c>
      <c r="E73" s="47">
        <f>IFERROR(VLOOKUP(B73,'Факт продаж'!A:E,5,0),"нет продаж")</f>
        <v>13503.375113953452</v>
      </c>
      <c r="F73" s="25">
        <f>IFERROR(VLOOKUP(B73,'Факт продаж'!A:C,3,0)/SUM('План Антонова'!$C$11:$C$13),0)</f>
        <v>2.4079127070523613E-4</v>
      </c>
      <c r="G73" s="5">
        <f>IFERROR(VLOOKUP(B73,'Факт продаж'!J:K,2,0),"нет продаж")</f>
        <v>655</v>
      </c>
      <c r="H73" s="48">
        <f>IFERROR(VLOOKUP(B73,'Факт продаж'!J:L,3,0),"нет продаж")</f>
        <v>2246460.6</v>
      </c>
      <c r="I73" s="48">
        <f>IFERROR(VLOOKUP(B73,'Факт продаж'!J:N,5,0),"нет продаж")</f>
        <v>742850.49184136756</v>
      </c>
      <c r="J73" s="7">
        <f>IFERROR(VLOOKUP(B73,'Факт продаж'!J:L,3,0)/SUM('План Антонова'!$C$14:$C$16),0)</f>
        <v>1.5511496456987675E-2</v>
      </c>
      <c r="K73" s="44">
        <f>IFERROR(VLOOKUP(B73,'Факт продаж'!J:O,6,0),"-")</f>
        <v>54.012208842051443</v>
      </c>
      <c r="L73" s="44">
        <f>IF(AND(F73=0,J73&gt;0),5,IF(J73/F73&gt;5,5,IF(J73/F73=0,0.0000001,J73/F73)))</f>
        <v>5</v>
      </c>
      <c r="M73" s="5">
        <f>IFERROR(VLOOKUP(B73,'Факт продаж'!S:T,2,0),"нет продаж")</f>
        <v>196</v>
      </c>
      <c r="N73" s="48">
        <f>IFERROR(VLOOKUP(B73,'Факт продаж'!S:U,3,0),"нет продаж")</f>
        <v>610256.41999999993</v>
      </c>
      <c r="O73" s="48">
        <f>IFERROR(VLOOKUP(B73,'Факт продаж'!S:W,5,0),"нет продаж")</f>
        <v>228390.01154822169</v>
      </c>
      <c r="P73" s="7">
        <f>IFERROR(VLOOKUP(B73,'Факт продаж'!S:U,3,0)/SUM('План Антонова'!$C$17:$C$19),0)</f>
        <v>3.7171025912885736E-3</v>
      </c>
      <c r="Q73" s="44">
        <f>IFERROR(VLOOKUP(B73,'Факт продаж'!S:X,6,0),"-")</f>
        <v>-0.69254915483451907</v>
      </c>
      <c r="R73" s="44">
        <f>IF(AND(J73=0,P73&gt;0),5,IF(P73/J73&gt;5,5,IF(P73/J73=0,0.0000001,P73/J73)))</f>
        <v>0.23963533122647748</v>
      </c>
      <c r="S73" s="16">
        <f>IFERROR(VLOOKUP(B73,'Факт продаж'!AB:AD,2,0),"нет продаж")</f>
        <v>189</v>
      </c>
      <c r="T73" s="16">
        <f>IFERROR(VLOOKUP(B73,'Факт продаж'!AB:AD,3,0),"нет продаж")</f>
        <v>754909.05</v>
      </c>
      <c r="U73" s="16">
        <f>IFERROR(VLOOKUP(B73,'Факт продаж'!AB:AF,5,0),"нет продаж")</f>
        <v>323856.98513643455</v>
      </c>
      <c r="V73" s="7">
        <f>IFERROR(VLOOKUP(B73,'Факт продаж'!AB:AD,3,0)/SUM('План Антонова'!$C$20:$C$22),0)</f>
        <v>4.905925345195912E-3</v>
      </c>
      <c r="W73" s="44">
        <f>IFERROR(VLOOKUP(B73,'Факт продаж'!AB:AG,6,0),"-")</f>
        <v>0.41799977565155566</v>
      </c>
      <c r="X73" s="44">
        <f>IF(AND(P73=0,V73&gt;0),5,IF(V73/P73&gt;5,5,IF(V73/P73=0,0.0000001,V73/P73)))</f>
        <v>1.3198251123586073</v>
      </c>
      <c r="Y73" s="44">
        <f>IFERROR(VLOOKUP(B73,'Факт продаж'!AB:AH,7,0),"-")</f>
        <v>22.983410251395828</v>
      </c>
      <c r="Z73" s="44">
        <f>IF(AND(F73=0,V73&gt;0),5,IF(V73/F73&gt;5,5,IF(V73/F73=0,0.0000001,V73/F73)))</f>
        <v>5</v>
      </c>
      <c r="AB73" s="10" t="str">
        <f>IFERROR(VLOOKUP(VALUE(IF(L73&lt;1,1,0)&amp;IF(J73&lt;'Факт продаж'!$M$24,0,1)),$AB$1:$AC$4,2,FALSE),"НЕТ ПРОДАЖ")</f>
        <v>Звезда</v>
      </c>
      <c r="AC73" s="10" t="str">
        <f>IFERROR(VLOOKUP(VALUE(IF(R73&lt;1,1,0)&amp;IF(P73&lt;'Факт продаж'!$V$24,0,1)),$AB$1:$AC$4,2,FALSE),"НЕТ ПРОДАЖ")</f>
        <v>Корова</v>
      </c>
      <c r="AD73" s="10" t="str">
        <f>IFERROR(VLOOKUP(VALUE(IF(X73&lt;1,1,0)&amp;IF(V73&lt;'Факт продаж'!$AE$24,0,1)),$AB$1:$AC$4,2,FALSE),"НЕТ ПРОДАЖ")</f>
        <v>Звезда</v>
      </c>
      <c r="AE73" s="18" t="str">
        <f>IFERROR(VLOOKUP(VALUE(IF(Z73&lt;1,1,0)&amp;IF(V73&lt;'Факт продаж'!$AE$24,0,1)),$AB$1:$AC$4,2,FALSE),"НЕТ ПРОДАЖ")</f>
        <v>Звезда</v>
      </c>
      <c r="AF73" s="74" t="str">
        <f>VLOOKUP(B73,'ABC расчет'!B:G,6,0)</f>
        <v>C</v>
      </c>
      <c r="AG73" s="74" t="str">
        <f>VLOOKUP(B73,'ABC расчет'!K:P,6,0)</f>
        <v>A</v>
      </c>
      <c r="AH73" s="74" t="str">
        <f>VLOOKUP(B73,'ABC расчет'!T:Y,6,0)</f>
        <v>B</v>
      </c>
      <c r="AI73" s="74" t="str">
        <f>VLOOKUP(B73,'ABC расчет'!AC:AH,6,0)</f>
        <v>A</v>
      </c>
      <c r="AJ73" s="74"/>
      <c r="AK73" s="74"/>
      <c r="AL73" s="19"/>
    </row>
    <row r="74" spans="1:38" x14ac:dyDescent="0.3">
      <c r="A74" s="51" t="s">
        <v>259</v>
      </c>
      <c r="B74" s="21" t="s">
        <v>10</v>
      </c>
      <c r="C74" s="20">
        <f>IFERROR(VLOOKUP(B74,'Факт продаж'!A:B,2,0),"нет продаж")</f>
        <v>641</v>
      </c>
      <c r="D74" s="47">
        <f>IFERROR(VLOOKUP(B74,'Факт продаж'!A:C,3,0),"нет продаж")</f>
        <v>365196.63</v>
      </c>
      <c r="E74" s="47">
        <f>IFERROR(VLOOKUP(B74,'Факт продаж'!A:E,5,0),"нет продаж")</f>
        <v>171383.39568734891</v>
      </c>
      <c r="F74" s="25">
        <f>IFERROR(VLOOKUP(B74,'Факт продаж'!A:C,3,0)/SUM('План Антонова'!$C$11:$C$13),0)</f>
        <v>2.772976696277951E-3</v>
      </c>
      <c r="G74" s="5">
        <f>IFERROR(VLOOKUP(B74,'Факт продаж'!J:K,2,0),"нет продаж")</f>
        <v>782</v>
      </c>
      <c r="H74" s="48">
        <f>IFERROR(VLOOKUP(B74,'Факт продаж'!J:L,3,0),"нет продаж")</f>
        <v>477823.7</v>
      </c>
      <c r="I74" s="48">
        <f>IFERROR(VLOOKUP(B74,'Факт продаж'!J:N,5,0),"нет продаж")</f>
        <v>212369.01766594045</v>
      </c>
      <c r="J74" s="7">
        <f>IFERROR(VLOOKUP(B74,'Факт продаж'!J:L,3,0)/SUM('План Антонова'!$C$14:$C$16),0)</f>
        <v>3.2993058634612784E-3</v>
      </c>
      <c r="K74" s="44">
        <f>IFERROR(VLOOKUP(B74,'Факт продаж'!J:O,6,0),"-")</f>
        <v>0.23914581581380689</v>
      </c>
      <c r="L74" s="44">
        <f>IF(AND(F74=0,J74&gt;0),5,IF(J74/F74&gt;5,5,IF(J74/F74=0,0.0000001,J74/F74)))</f>
        <v>1.189806559820642</v>
      </c>
      <c r="M74" s="5">
        <f>IFERROR(VLOOKUP(B74,'Факт продаж'!S:T,2,0),"нет продаж")</f>
        <v>1273</v>
      </c>
      <c r="N74" s="48">
        <f>IFERROR(VLOOKUP(B74,'Факт продаж'!S:U,3,0),"нет продаж")</f>
        <v>735323.79</v>
      </c>
      <c r="O74" s="48">
        <f>IFERROR(VLOOKUP(B74,'Факт продаж'!S:W,5,0),"нет продаж")</f>
        <v>278533.57579568482</v>
      </c>
      <c r="P74" s="7">
        <f>IFERROR(VLOOKUP(B74,'Факт продаж'!S:U,3,0)/SUM('План Антонова'!$C$17:$C$19),0)</f>
        <v>4.4788942412848937E-3</v>
      </c>
      <c r="Q74" s="44">
        <f>IFERROR(VLOOKUP(B74,'Факт продаж'!S:X,6,0),"-")</f>
        <v>0.31155466487970562</v>
      </c>
      <c r="R74" s="44">
        <f>IF(AND(J74=0,P74&gt;0),5,IF(P74/J74&gt;5,5,IF(P74/J74=0,0.0000001,P74/J74)))</f>
        <v>1.357526227224692</v>
      </c>
      <c r="S74" s="16">
        <f>IFERROR(VLOOKUP(B74,'Факт продаж'!AB:AD,2,0),"нет продаж")</f>
        <v>1288</v>
      </c>
      <c r="T74" s="16">
        <f>IFERROR(VLOOKUP(B74,'Факт продаж'!AB:AD,3,0),"нет продаж")</f>
        <v>773543.25</v>
      </c>
      <c r="U74" s="16">
        <f>IFERROR(VLOOKUP(B74,'Факт продаж'!AB:AF,5,0),"нет продаж")</f>
        <v>318266.50283863902</v>
      </c>
      <c r="V74" s="7">
        <f>IFERROR(VLOOKUP(B74,'Факт продаж'!AB:AD,3,0)/SUM('План Антонова'!$C$20:$C$22),0)</f>
        <v>5.0270233689478448E-3</v>
      </c>
      <c r="W74" s="44">
        <f>IFERROR(VLOOKUP(B74,'Факт продаж'!AB:AG,6,0),"-")</f>
        <v>0.14265040374198845</v>
      </c>
      <c r="X74" s="44">
        <f>IF(AND(P74=0,V74&gt;0),5,IF(V74/P74&gt;5,5,IF(V74/P74=0,0.0000001,V74/P74)))</f>
        <v>1.1223804577948027</v>
      </c>
      <c r="Y74" s="44">
        <f>IFERROR(VLOOKUP(B74,'Факт продаж'!AB:AH,7,0),"-")</f>
        <v>0.8570439776980836</v>
      </c>
      <c r="Z74" s="44">
        <f>IF(AND(F74=0,V74&gt;0),5,IF(V74/F74&gt;5,5,IF(V74/F74=0,0.0000001,V74/F74)))</f>
        <v>1.8128617437338745</v>
      </c>
      <c r="AB74" s="10" t="str">
        <f>IFERROR(VLOOKUP(VALUE(IF(L74&lt;1,1,0)&amp;IF(J74&lt;'Факт продаж'!$M$24,0,1)),$AB$1:$AC$4,2,FALSE),"НЕТ ПРОДАЖ")</f>
        <v>Звезда</v>
      </c>
      <c r="AC74" s="10" t="str">
        <f>IFERROR(VLOOKUP(VALUE(IF(R74&lt;1,1,0)&amp;IF(P74&lt;'Факт продаж'!$V$24,0,1)),$AB$1:$AC$4,2,FALSE),"НЕТ ПРОДАЖ")</f>
        <v>Звезда</v>
      </c>
      <c r="AD74" s="10" t="str">
        <f>IFERROR(VLOOKUP(VALUE(IF(X74&lt;1,1,0)&amp;IF(V74&lt;'Факт продаж'!$AE$24,0,1)),$AB$1:$AC$4,2,FALSE),"НЕТ ПРОДАЖ")</f>
        <v>Звезда</v>
      </c>
      <c r="AE74" s="18" t="str">
        <f>IFERROR(VLOOKUP(VALUE(IF(Z74&lt;1,1,0)&amp;IF(V74&lt;'Факт продаж'!$AE$24,0,1)),$AB$1:$AC$4,2,FALSE),"НЕТ ПРОДАЖ")</f>
        <v>Звезда</v>
      </c>
      <c r="AF74" s="74" t="str">
        <f>VLOOKUP(B74,'ABC расчет'!B:G,6,0)</f>
        <v>C</v>
      </c>
      <c r="AG74" s="74" t="str">
        <f>VLOOKUP(B74,'ABC расчет'!K:P,6,0)</f>
        <v>C</v>
      </c>
      <c r="AH74" s="74" t="str">
        <f>VLOOKUP(B74,'ABC расчет'!T:Y,6,0)</f>
        <v>C</v>
      </c>
      <c r="AI74" s="74" t="str">
        <f>VLOOKUP(B74,'ABC расчет'!AC:AH,6,0)</f>
        <v>C</v>
      </c>
      <c r="AJ74" s="74"/>
      <c r="AK74" s="74"/>
      <c r="AL74" s="19"/>
    </row>
    <row r="75" spans="1:38" x14ac:dyDescent="0.3">
      <c r="A75" s="51" t="s">
        <v>251</v>
      </c>
      <c r="B75" s="21" t="s">
        <v>24</v>
      </c>
      <c r="C75" s="20">
        <f>IFERROR(VLOOKUP(B75,'Факт продаж'!A:B,2,0),"нет продаж")</f>
        <v>100</v>
      </c>
      <c r="D75" s="47">
        <f>IFERROR(VLOOKUP(B75,'Факт продаж'!A:C,3,0),"нет продаж")</f>
        <v>256481.8792</v>
      </c>
      <c r="E75" s="47">
        <f>IFERROR(VLOOKUP(B75,'Факт продаж'!A:E,5,0),"нет продаж")</f>
        <v>112454.50621946067</v>
      </c>
      <c r="F75" s="25">
        <f>IFERROR(VLOOKUP(B75,'Факт продаж'!A:C,3,0)/SUM('План Антонова'!$C$11:$C$13),0)</f>
        <v>1.9474940774759518E-3</v>
      </c>
      <c r="G75" s="5">
        <f>IFERROR(VLOOKUP(B75,'Факт продаж'!J:K,2,0),"нет продаж")</f>
        <v>85</v>
      </c>
      <c r="H75" s="48">
        <f>IFERROR(VLOOKUP(B75,'Факт продаж'!J:L,3,0),"нет продаж")</f>
        <v>266943.90000000002</v>
      </c>
      <c r="I75" s="48">
        <f>IFERROR(VLOOKUP(B75,'Факт продаж'!J:N,5,0),"нет продаж")</f>
        <v>125497.60490491061</v>
      </c>
      <c r="J75" s="7">
        <f>IFERROR(VLOOKUP(B75,'Факт продаж'!J:L,3,0)/SUM('План Антонова'!$C$14:$C$16),0)</f>
        <v>1.8432103189632938E-3</v>
      </c>
      <c r="K75" s="44">
        <f>IFERROR(VLOOKUP(B75,'Факт продаж'!J:O,6,0),"-")</f>
        <v>0.11598555828430457</v>
      </c>
      <c r="L75" s="44">
        <f>IF(AND(F75=0,J75&gt;0),5,IF(J75/F75&gt;5,5,IF(J75/F75=0,0.0000001,J75/F75)))</f>
        <v>0.94645233599487255</v>
      </c>
      <c r="M75" s="5">
        <f>IFERROR(VLOOKUP(B75,'Факт продаж'!S:T,2,0),"нет продаж")</f>
        <v>161</v>
      </c>
      <c r="N75" s="48">
        <f>IFERROR(VLOOKUP(B75,'Факт продаж'!S:U,3,0),"нет продаж")</f>
        <v>582947.40999999992</v>
      </c>
      <c r="O75" s="48">
        <f>IFERROR(VLOOKUP(B75,'Факт продаж'!S:W,5,0),"нет продаж")</f>
        <v>279555.4811635738</v>
      </c>
      <c r="P75" s="7">
        <f>IFERROR(VLOOKUP(B75,'Факт продаж'!S:U,3,0)/SUM('План Антонова'!$C$17:$C$19),0)</f>
        <v>3.5507620358929816E-3</v>
      </c>
      <c r="Q75" s="44">
        <f>IFERROR(VLOOKUP(B75,'Факт продаж'!S:X,6,0),"-")</f>
        <v>1.2275762264578089</v>
      </c>
      <c r="R75" s="44">
        <f>IF(AND(J75=0,P75&gt;0),5,IF(P75/J75&gt;5,5,IF(P75/J75=0,0.0000001,P75/J75)))</f>
        <v>1.9264009100654846</v>
      </c>
      <c r="S75" s="16">
        <f>IFERROR(VLOOKUP(B75,'Факт продаж'!AB:AD,2,0),"нет продаж")</f>
        <v>170</v>
      </c>
      <c r="T75" s="16">
        <f>IFERROR(VLOOKUP(B75,'Факт продаж'!AB:AD,3,0),"нет продаж")</f>
        <v>658035.75</v>
      </c>
      <c r="U75" s="16">
        <f>IFERROR(VLOOKUP(B75,'Факт продаж'!AB:AF,5,0),"нет продаж")</f>
        <v>314544.77392253769</v>
      </c>
      <c r="V75" s="7">
        <f>IFERROR(VLOOKUP(B75,'Факт продаж'!AB:AD,3,0)/SUM('План Антонова'!$C$20:$C$22),0)</f>
        <v>4.2763750997156548E-3</v>
      </c>
      <c r="W75" s="44">
        <f>IFERROR(VLOOKUP(B75,'Факт продаж'!AB:AG,6,0),"-")</f>
        <v>0.12516046050440677</v>
      </c>
      <c r="X75" s="44">
        <f>IF(AND(P75=0,V75&gt;0),5,IF(V75/P75&gt;5,5,IF(V75/P75=0,0.0000001,V75/P75)))</f>
        <v>1.2043541798880895</v>
      </c>
      <c r="Y75" s="44">
        <f>IFERROR(VLOOKUP(B75,'Факт продаж'!AB:AH,7,0),"-")</f>
        <v>1.7970846566938601</v>
      </c>
      <c r="Z75" s="44">
        <f>IF(AND(F75=0,V75&gt;0),5,IF(V75/F75&gt;5,5,IF(V75/F75=0,0.0000001,V75/F75)))</f>
        <v>2.1958347135299365</v>
      </c>
      <c r="AB75" s="10" t="str">
        <f>IFERROR(VLOOKUP(VALUE(IF(L75&lt;1,1,0)&amp;IF(J75&lt;'Факт продаж'!$M$24,0,1)),$AB$1:$AC$4,2,FALSE),"НЕТ ПРОДАЖ")</f>
        <v>Корова</v>
      </c>
      <c r="AC75" s="10" t="str">
        <f>IFERROR(VLOOKUP(VALUE(IF(R75&lt;1,1,0)&amp;IF(P75&lt;'Факт продаж'!$V$24,0,1)),$AB$1:$AC$4,2,FALSE),"НЕТ ПРОДАЖ")</f>
        <v>Звезда</v>
      </c>
      <c r="AD75" s="10" t="str">
        <f>IFERROR(VLOOKUP(VALUE(IF(X75&lt;1,1,0)&amp;IF(V75&lt;'Факт продаж'!$AE$24,0,1)),$AB$1:$AC$4,2,FALSE),"НЕТ ПРОДАЖ")</f>
        <v>Звезда</v>
      </c>
      <c r="AE75" s="18" t="str">
        <f>IFERROR(VLOOKUP(VALUE(IF(Z75&lt;1,1,0)&amp;IF(V75&lt;'Факт продаж'!$AE$24,0,1)),$AB$1:$AC$4,2,FALSE),"НЕТ ПРОДАЖ")</f>
        <v>Звезда</v>
      </c>
      <c r="AF75" s="74" t="str">
        <f>VLOOKUP(B75,'ABC расчет'!B:G,6,0)</f>
        <v>A</v>
      </c>
      <c r="AG75" s="74" t="str">
        <f>VLOOKUP(B75,'ABC расчет'!K:P,6,0)</f>
        <v>C</v>
      </c>
      <c r="AH75" s="74" t="str">
        <f>VLOOKUP(B75,'ABC расчет'!T:Y,6,0)</f>
        <v>B</v>
      </c>
      <c r="AI75" s="74" t="str">
        <f>VLOOKUP(B75,'ABC расчет'!AC:AH,6,0)</f>
        <v>A</v>
      </c>
      <c r="AJ75" s="74"/>
      <c r="AK75" s="74"/>
      <c r="AL75" s="19"/>
    </row>
    <row r="76" spans="1:38" x14ac:dyDescent="0.3">
      <c r="A76" s="51" t="s">
        <v>271</v>
      </c>
      <c r="B76" s="21" t="s">
        <v>103</v>
      </c>
      <c r="C76" s="20">
        <f>IFERROR(VLOOKUP(B76,'Факт продаж'!A:B,2,0),"нет продаж")</f>
        <v>9</v>
      </c>
      <c r="D76" s="47">
        <f>IFERROR(VLOOKUP(B76,'Факт продаж'!A:C,3,0),"нет продаж")</f>
        <v>49348.669899999994</v>
      </c>
      <c r="E76" s="47">
        <f>IFERROR(VLOOKUP(B76,'Факт продаж'!A:E,5,0),"нет продаж")</f>
        <v>25973.414849367597</v>
      </c>
      <c r="F76" s="25">
        <f>IFERROR(VLOOKUP(B76,'Факт продаж'!A:C,3,0)/SUM('План Антонова'!$C$11:$C$13),0)</f>
        <v>3.7470967797543245E-4</v>
      </c>
      <c r="G76" s="5">
        <f>IFERROR(VLOOKUP(B76,'Факт продаж'!J:K,2,0),"нет продаж")</f>
        <v>81</v>
      </c>
      <c r="H76" s="48">
        <f>IFERROR(VLOOKUP(B76,'Факт продаж'!J:L,3,0),"нет продаж")</f>
        <v>532881.41</v>
      </c>
      <c r="I76" s="48">
        <f>IFERROR(VLOOKUP(B76,'Факт продаж'!J:N,5,0),"нет продаж")</f>
        <v>235342.70119649073</v>
      </c>
      <c r="J76" s="7">
        <f>IFERROR(VLOOKUP(B76,'Факт продаж'!J:L,3,0)/SUM('План Антонова'!$C$14:$C$16),0)</f>
        <v>3.6794716556389179E-3</v>
      </c>
      <c r="K76" s="44">
        <f>IFERROR(VLOOKUP(B76,'Факт продаж'!J:O,6,0),"-")</f>
        <v>8.0609071838014739</v>
      </c>
      <c r="L76" s="44">
        <f>IF(AND(F76=0,J76&gt;0),5,IF(J76/F76&gt;5,5,IF(J76/F76=0,0.0000001,J76/F76)))</f>
        <v>5</v>
      </c>
      <c r="M76" s="5">
        <f>IFERROR(VLOOKUP(B76,'Факт продаж'!S:T,2,0),"нет продаж")</f>
        <v>75</v>
      </c>
      <c r="N76" s="48">
        <f>IFERROR(VLOOKUP(B76,'Факт продаж'!S:U,3,0),"нет продаж")</f>
        <v>489655.05099999992</v>
      </c>
      <c r="O76" s="48">
        <f>IFERROR(VLOOKUP(B76,'Факт продаж'!S:W,5,0),"нет продаж")</f>
        <v>213530.94306526583</v>
      </c>
      <c r="P76" s="7">
        <f>IFERROR(VLOOKUP(B76,'Факт продаж'!S:U,3,0)/SUM('План Антонова'!$C$17:$C$19),0)</f>
        <v>2.982513578324401E-3</v>
      </c>
      <c r="Q76" s="44">
        <f>IFERROR(VLOOKUP(B76,'Факт продаж'!S:X,6,0),"-")</f>
        <v>-9.2680835310944953E-2</v>
      </c>
      <c r="R76" s="44">
        <f>IF(AND(J76=0,P76&gt;0),5,IF(P76/J76&gt;5,5,IF(P76/J76=0,0.0000001,P76/J76)))</f>
        <v>0.81058202303409388</v>
      </c>
      <c r="S76" s="16">
        <f>IFERROR(VLOOKUP(B76,'Факт продаж'!AB:AD,2,0),"нет продаж")</f>
        <v>111</v>
      </c>
      <c r="T76" s="16">
        <f>IFERROR(VLOOKUP(B76,'Факт продаж'!AB:AD,3,0),"нет продаж")</f>
        <v>719758.11400000006</v>
      </c>
      <c r="U76" s="16">
        <f>IFERROR(VLOOKUP(B76,'Факт продаж'!AB:AF,5,0),"нет продаж")</f>
        <v>313264.65336547443</v>
      </c>
      <c r="V76" s="7">
        <f>IFERROR(VLOOKUP(B76,'Факт продаж'!AB:AD,3,0)/SUM('План Антонова'!$C$20:$C$22),0)</f>
        <v>4.6774900551039998E-3</v>
      </c>
      <c r="W76" s="44">
        <f>IFERROR(VLOOKUP(B76,'Факт продаж'!AB:AG,6,0),"-")</f>
        <v>0.46706912295013336</v>
      </c>
      <c r="X76" s="44">
        <f>IF(AND(P76=0,V76&gt;0),5,IF(V76/P76&gt;5,5,IF(V76/P76=0,0.0000001,V76/P76)))</f>
        <v>1.5683046974531629</v>
      </c>
      <c r="Y76" s="44">
        <f>IFERROR(VLOOKUP(B76,'Факт продаж'!AB:AH,7,0),"-")</f>
        <v>11.060972928752255</v>
      </c>
      <c r="Z76" s="44">
        <f>IF(AND(F76=0,V76&gt;0),5,IF(V76/F76&gt;5,5,IF(V76/F76=0,0.0000001,V76/F76)))</f>
        <v>5</v>
      </c>
      <c r="AB76" s="10" t="str">
        <f>IFERROR(VLOOKUP(VALUE(IF(L76&lt;1,1,0)&amp;IF(J76&lt;'Факт продаж'!$M$24,0,1)),$AB$1:$AC$4,2,FALSE),"НЕТ ПРОДАЖ")</f>
        <v>Звезда</v>
      </c>
      <c r="AC76" s="10" t="str">
        <f>IFERROR(VLOOKUP(VALUE(IF(R76&lt;1,1,0)&amp;IF(P76&lt;'Факт продаж'!$V$24,0,1)),$AB$1:$AC$4,2,FALSE),"НЕТ ПРОДАЖ")</f>
        <v>Корова</v>
      </c>
      <c r="AD76" s="10" t="str">
        <f>IFERROR(VLOOKUP(VALUE(IF(X76&lt;1,1,0)&amp;IF(V76&lt;'Факт продаж'!$AE$24,0,1)),$AB$1:$AC$4,2,FALSE),"НЕТ ПРОДАЖ")</f>
        <v>Звезда</v>
      </c>
      <c r="AE76" s="18" t="str">
        <f>IFERROR(VLOOKUP(VALUE(IF(Z76&lt;1,1,0)&amp;IF(V76&lt;'Факт продаж'!$AE$24,0,1)),$AB$1:$AC$4,2,FALSE),"НЕТ ПРОДАЖ")</f>
        <v>Звезда</v>
      </c>
      <c r="AF76" s="74" t="str">
        <f>VLOOKUP(B76,'ABC расчет'!B:G,6,0)</f>
        <v>C</v>
      </c>
      <c r="AG76" s="74" t="str">
        <f>VLOOKUP(B76,'ABC расчет'!K:P,6,0)</f>
        <v>A</v>
      </c>
      <c r="AH76" s="74" t="str">
        <f>VLOOKUP(B76,'ABC расчет'!T:Y,6,0)</f>
        <v>A</v>
      </c>
      <c r="AI76" s="74" t="str">
        <f>VLOOKUP(B76,'ABC расчет'!AC:AH,6,0)</f>
        <v>A</v>
      </c>
      <c r="AJ76" s="74"/>
      <c r="AK76" s="74"/>
      <c r="AL76" s="19"/>
    </row>
    <row r="77" spans="1:38" x14ac:dyDescent="0.3">
      <c r="A77" s="51" t="s">
        <v>259</v>
      </c>
      <c r="B77" s="20" t="s">
        <v>50</v>
      </c>
      <c r="C77" s="20">
        <f>IFERROR(VLOOKUP(B77,'Факт продаж'!A:B,2,0),"нет продаж")</f>
        <v>369</v>
      </c>
      <c r="D77" s="47">
        <f>IFERROR(VLOOKUP(B77,'Факт продаж'!A:C,3,0),"нет продаж")</f>
        <v>353411.92629999999</v>
      </c>
      <c r="E77" s="47">
        <f>IFERROR(VLOOKUP(B77,'Факт продаж'!A:E,5,0),"нет продаж")</f>
        <v>154429.86962334171</v>
      </c>
      <c r="F77" s="25">
        <f>IFERROR(VLOOKUP(B77,'Факт продаж'!A:C,3,0)/SUM('План Антонова'!$C$11:$C$13),0)</f>
        <v>2.6834941927492612E-3</v>
      </c>
      <c r="G77" s="5">
        <f>IFERROR(VLOOKUP(B77,'Факт продаж'!J:K,2,0),"нет продаж")</f>
        <v>364</v>
      </c>
      <c r="H77" s="48">
        <f>IFERROR(VLOOKUP(B77,'Факт продаж'!J:L,3,0),"нет продаж")</f>
        <v>320217.5</v>
      </c>
      <c r="I77" s="48">
        <f>IFERROR(VLOOKUP(B77,'Факт продаж'!J:N,5,0),"нет продаж")</f>
        <v>134330.42989991076</v>
      </c>
      <c r="J77" s="7">
        <f>IFERROR(VLOOKUP(B77,'Факт продаж'!J:L,3,0)/SUM('План Антонова'!$C$14:$C$16),0)</f>
        <v>2.2110570809545692E-3</v>
      </c>
      <c r="K77" s="44">
        <f>IFERROR(VLOOKUP(B77,'Факт продаж'!J:O,6,0),"-")</f>
        <v>-0.13015253961201934</v>
      </c>
      <c r="L77" s="44">
        <f>IF(AND(F77=0,J77&gt;0),5,IF(J77/F77&gt;5,5,IF(J77/F77=0,0.0000001,J77/F77)))</f>
        <v>0.8239470340307774</v>
      </c>
      <c r="M77" s="5">
        <f>IFERROR(VLOOKUP(B77,'Факт продаж'!S:T,2,0),"нет продаж")</f>
        <v>896</v>
      </c>
      <c r="N77" s="48">
        <f>IFERROR(VLOOKUP(B77,'Факт продаж'!S:U,3,0),"нет продаж")</f>
        <v>890973.07</v>
      </c>
      <c r="O77" s="48">
        <f>IFERROR(VLOOKUP(B77,'Факт продаж'!S:W,5,0),"нет продаж")</f>
        <v>387173.49676052155</v>
      </c>
      <c r="P77" s="7">
        <f>IFERROR(VLOOKUP(B77,'Факт продаж'!S:U,3,0)/SUM('План Антонова'!$C$17:$C$19),0)</f>
        <v>5.4269618454244788E-3</v>
      </c>
      <c r="Q77" s="44">
        <f>IFERROR(VLOOKUP(B77,'Факт продаж'!S:X,6,0),"-")</f>
        <v>1.8822471352842651</v>
      </c>
      <c r="R77" s="44">
        <f>IF(AND(J77=0,P77&gt;0),5,IF(P77/J77&gt;5,5,IF(P77/J77=0,0.0000001,P77/J77)))</f>
        <v>2.4544648314016038</v>
      </c>
      <c r="S77" s="16">
        <f>IFERROR(VLOOKUP(B77,'Факт продаж'!AB:AD,2,0),"нет продаж")</f>
        <v>697</v>
      </c>
      <c r="T77" s="16">
        <f>IFERROR(VLOOKUP(B77,'Факт продаж'!AB:AD,3,0),"нет продаж")</f>
        <v>648506.6</v>
      </c>
      <c r="U77" s="16">
        <f>IFERROR(VLOOKUP(B77,'Факт продаж'!AB:AF,5,0),"нет продаж")</f>
        <v>284904.30990223592</v>
      </c>
      <c r="V77" s="7">
        <f>IFERROR(VLOOKUP(B77,'Факт продаж'!AB:AD,3,0)/SUM('План Антонова'!$C$20:$C$22),0)</f>
        <v>4.2144480390940162E-3</v>
      </c>
      <c r="W77" s="44">
        <f>IFERROR(VLOOKUP(B77,'Факт продаж'!AB:AG,6,0),"-")</f>
        <v>-0.26414304624146878</v>
      </c>
      <c r="X77" s="44">
        <f>IF(AND(P77=0,V77&gt;0),5,IF(V77/P77&gt;5,5,IF(V77/P77=0,0.0000001,V77/P77)))</f>
        <v>0.77657594785694983</v>
      </c>
      <c r="Y77" s="44">
        <f>IFERROR(VLOOKUP(B77,'Факт продаж'!AB:AH,7,0),"-")</f>
        <v>0.84487826478857109</v>
      </c>
      <c r="Z77" s="44">
        <f>IF(AND(F77=0,V77&gt;0),5,IF(V77/F77&gt;5,5,IF(V77/F77=0,0.0000001,V77/F77)))</f>
        <v>1.5705076055246763</v>
      </c>
      <c r="AB77" s="10" t="str">
        <f>IFERROR(VLOOKUP(VALUE(IF(L77&lt;1,1,0)&amp;IF(J77&lt;'Факт продаж'!$M$24,0,1)),$AB$1:$AC$4,2,FALSE),"НЕТ ПРОДАЖ")</f>
        <v>Корова</v>
      </c>
      <c r="AC77" s="10" t="str">
        <f>IFERROR(VLOOKUP(VALUE(IF(R77&lt;1,1,0)&amp;IF(P77&lt;'Факт продаж'!$V$24,0,1)),$AB$1:$AC$4,2,FALSE),"НЕТ ПРОДАЖ")</f>
        <v>Звезда</v>
      </c>
      <c r="AD77" s="10" t="str">
        <f>IFERROR(VLOOKUP(VALUE(IF(X77&lt;1,1,0)&amp;IF(V77&lt;'Факт продаж'!$AE$24,0,1)),$AB$1:$AC$4,2,FALSE),"НЕТ ПРОДАЖ")</f>
        <v>Корова</v>
      </c>
      <c r="AE77" s="18" t="str">
        <f>IFERROR(VLOOKUP(VALUE(IF(Z77&lt;1,1,0)&amp;IF(V77&lt;'Факт продаж'!$AE$24,0,1)),$AB$1:$AC$4,2,FALSE),"НЕТ ПРОДАЖ")</f>
        <v>Звезда</v>
      </c>
      <c r="AF77" s="74" t="str">
        <f>VLOOKUP(B77,'ABC расчет'!B:G,6,0)</f>
        <v>C</v>
      </c>
      <c r="AG77" s="74" t="str">
        <f>VLOOKUP(B77,'ABC расчет'!K:P,6,0)</f>
        <v>C</v>
      </c>
      <c r="AH77" s="74" t="str">
        <f>VLOOKUP(B77,'ABC расчет'!T:Y,6,0)</f>
        <v>B</v>
      </c>
      <c r="AI77" s="74" t="str">
        <f>VLOOKUP(B77,'ABC расчет'!AC:AH,6,0)</f>
        <v>C</v>
      </c>
      <c r="AJ77" s="74"/>
      <c r="AK77" s="74"/>
      <c r="AL77" s="19"/>
    </row>
    <row r="78" spans="1:38" x14ac:dyDescent="0.3">
      <c r="A78" s="51" t="s">
        <v>116</v>
      </c>
      <c r="B78" s="21" t="s">
        <v>192</v>
      </c>
      <c r="C78" s="20">
        <f>IFERROR(VLOOKUP(B78,'Факт продаж'!A:B,2,0),"нет продаж")</f>
        <v>2</v>
      </c>
      <c r="D78" s="47">
        <f>IFERROR(VLOOKUP(B78,'Факт продаж'!A:C,3,0),"нет продаж")</f>
        <v>6491.1154999999999</v>
      </c>
      <c r="E78" s="47">
        <f>IFERROR(VLOOKUP(B78,'Факт продаж'!A:E,5,0),"нет продаж")</f>
        <v>2821.736947829841</v>
      </c>
      <c r="F78" s="25">
        <f>IFERROR(VLOOKUP(B78,'Факт продаж'!A:C,3,0)/SUM('План Антонова'!$C$11:$C$13),0)</f>
        <v>4.9287727584859146E-5</v>
      </c>
      <c r="G78" s="5">
        <f>IFERROR(VLOOKUP(B78,'Факт продаж'!J:K,2,0),"нет продаж")</f>
        <v>157</v>
      </c>
      <c r="H78" s="48">
        <f>IFERROR(VLOOKUP(B78,'Факт продаж'!J:L,3,0),"нет продаж")</f>
        <v>660508.35</v>
      </c>
      <c r="I78" s="48">
        <f>IFERROR(VLOOKUP(B78,'Факт продаж'!J:N,5,0),"нет продаж")</f>
        <v>241871.95041639116</v>
      </c>
      <c r="J78" s="7">
        <f>IFERROR(VLOOKUP(B78,'Факт продаж'!J:L,3,0)/SUM('План Антонова'!$C$14:$C$16),0)</f>
        <v>4.5607178380229658E-3</v>
      </c>
      <c r="K78" s="44">
        <f>IFERROR(VLOOKUP(B78,'Факт продаж'!J:O,6,0),"-")</f>
        <v>84.71739849896764</v>
      </c>
      <c r="L78" s="44">
        <f>IF(AND(F78=0,J78&gt;0),5,IF(J78/F78&gt;5,5,IF(J78/F78=0,0.0000001,J78/F78)))</f>
        <v>5</v>
      </c>
      <c r="M78" s="5">
        <f>IFERROR(VLOOKUP(B78,'Факт продаж'!S:T,2,0),"нет продаж")</f>
        <v>209</v>
      </c>
      <c r="N78" s="48">
        <f>IFERROR(VLOOKUP(B78,'Факт продаж'!S:U,3,0),"нет продаж")</f>
        <v>932850.4</v>
      </c>
      <c r="O78" s="48">
        <f>IFERROR(VLOOKUP(B78,'Факт продаж'!S:W,5,0),"нет продаж")</f>
        <v>363233.54370012844</v>
      </c>
      <c r="P78" s="7">
        <f>IFERROR(VLOOKUP(B78,'Факт продаж'!S:U,3,0)/SUM('План Антонова'!$C$17:$C$19),0)</f>
        <v>5.682038771709412E-3</v>
      </c>
      <c r="Q78" s="44">
        <f>IFERROR(VLOOKUP(B78,'Факт продаж'!S:X,6,0),"-")</f>
        <v>0.50175968348049027</v>
      </c>
      <c r="R78" s="44">
        <f>IF(AND(J78=0,P78&gt;0),5,IF(P78/J78&gt;5,5,IF(P78/J78=0,0.0000001,P78/J78)))</f>
        <v>1.2458650093057566</v>
      </c>
      <c r="S78" s="16">
        <f>IFERROR(VLOOKUP(B78,'Факт продаж'!AB:AD,2,0),"нет продаж")</f>
        <v>166</v>
      </c>
      <c r="T78" s="16">
        <f>IFERROR(VLOOKUP(B78,'Факт продаж'!AB:AD,3,0),"нет продаж")</f>
        <v>704333.40000000014</v>
      </c>
      <c r="U78" s="16">
        <f>IFERROR(VLOOKUP(B78,'Факт продаж'!AB:AF,5,0),"нет продаж")</f>
        <v>283147.41166510305</v>
      </c>
      <c r="V78" s="7">
        <f>IFERROR(VLOOKUP(B78,'Факт продаж'!AB:AD,3,0)/SUM('План Антонова'!$C$20:$C$22),0)</f>
        <v>4.5772495091004808E-3</v>
      </c>
      <c r="W78" s="44">
        <f>IFERROR(VLOOKUP(B78,'Факт продаж'!AB:AG,6,0),"-")</f>
        <v>-0.22048110210091554</v>
      </c>
      <c r="X78" s="44">
        <f>IF(AND(P78=0,V78&gt;0),5,IF(V78/P78&gt;5,5,IF(V78/P78=0,0.0000001,V78/P78)))</f>
        <v>0.80556463850447102</v>
      </c>
      <c r="Y78" s="44">
        <f>IFERROR(VLOOKUP(B78,'Факт продаж'!AB:AH,7,0),"-")</f>
        <v>99.345077128067459</v>
      </c>
      <c r="Z78" s="44">
        <f>IF(AND(F78=0,V78&gt;0),5,IF(V78/F78&gt;5,5,IF(V78/F78=0,0.0000001,V78/F78)))</f>
        <v>5</v>
      </c>
      <c r="AB78" s="10" t="str">
        <f>IFERROR(VLOOKUP(VALUE(IF(L78&lt;1,1,0)&amp;IF(J78&lt;'Факт продаж'!$M$24,0,1)),$AB$1:$AC$4,2,FALSE),"НЕТ ПРОДАЖ")</f>
        <v>Звезда</v>
      </c>
      <c r="AC78" s="10" t="str">
        <f>IFERROR(VLOOKUP(VALUE(IF(R78&lt;1,1,0)&amp;IF(P78&lt;'Факт продаж'!$V$24,0,1)),$AB$1:$AC$4,2,FALSE),"НЕТ ПРОДАЖ")</f>
        <v>Звезда</v>
      </c>
      <c r="AD78" s="10" t="str">
        <f>IFERROR(VLOOKUP(VALUE(IF(X78&lt;1,1,0)&amp;IF(V78&lt;'Факт продаж'!$AE$24,0,1)),$AB$1:$AC$4,2,FALSE),"НЕТ ПРОДАЖ")</f>
        <v>Корова</v>
      </c>
      <c r="AE78" s="18" t="str">
        <f>IFERROR(VLOOKUP(VALUE(IF(Z78&lt;1,1,0)&amp;IF(V78&lt;'Факт продаж'!$AE$24,0,1)),$AB$1:$AC$4,2,FALSE),"НЕТ ПРОДАЖ")</f>
        <v>Звезда</v>
      </c>
      <c r="AF78" s="74" t="str">
        <f>VLOOKUP(B78,'ABC расчет'!B:G,6,0)</f>
        <v>C</v>
      </c>
      <c r="AG78" s="74" t="str">
        <f>VLOOKUP(B78,'ABC расчет'!K:P,6,0)</f>
        <v>B</v>
      </c>
      <c r="AH78" s="74" t="str">
        <f>VLOOKUP(B78,'ABC расчет'!T:Y,6,0)</f>
        <v>A</v>
      </c>
      <c r="AI78" s="74" t="str">
        <f>VLOOKUP(B78,'ABC расчет'!AC:AH,6,0)</f>
        <v>B</v>
      </c>
      <c r="AJ78" s="74" t="s">
        <v>452</v>
      </c>
      <c r="AK78" s="74"/>
      <c r="AL78" s="19"/>
    </row>
    <row r="79" spans="1:38" x14ac:dyDescent="0.3">
      <c r="A79" s="51" t="s">
        <v>252</v>
      </c>
      <c r="B79" s="21" t="s">
        <v>9</v>
      </c>
      <c r="C79" s="20">
        <f>IFERROR(VLOOKUP(B79,'Факт продаж'!A:B,2,0),"нет продаж")</f>
        <v>92</v>
      </c>
      <c r="D79" s="47">
        <f>IFERROR(VLOOKUP(B79,'Факт продаж'!A:C,3,0),"нет продаж")</f>
        <v>50453.993399999992</v>
      </c>
      <c r="E79" s="47">
        <f>IFERROR(VLOOKUP(B79,'Факт продаж'!A:E,5,0),"нет продаж")</f>
        <v>21653.010779824963</v>
      </c>
      <c r="F79" s="25">
        <f>IFERROR(VLOOKUP(B79,'Факт продаж'!A:C,3,0)/SUM('План Антонова'!$C$11:$C$13),0)</f>
        <v>3.8310251639606184E-4</v>
      </c>
      <c r="G79" s="5">
        <f>IFERROR(VLOOKUP(B79,'Факт продаж'!J:K,2,0),"нет продаж")</f>
        <v>948</v>
      </c>
      <c r="H79" s="48">
        <f>IFERROR(VLOOKUP(B79,'Факт продаж'!J:L,3,0),"нет продаж")</f>
        <v>806646.79999999993</v>
      </c>
      <c r="I79" s="48">
        <f>IFERROR(VLOOKUP(B79,'Факт продаж'!J:N,5,0),"нет продаж")</f>
        <v>417689.91214327037</v>
      </c>
      <c r="J79" s="7">
        <f>IFERROR(VLOOKUP(B79,'Факт продаж'!J:L,3,0)/SUM('План Антонова'!$C$14:$C$16),0)</f>
        <v>5.5697834096179758E-3</v>
      </c>
      <c r="K79" s="44">
        <f>IFERROR(VLOOKUP(B79,'Факт продаж'!J:O,6,0),"-")</f>
        <v>18.290153983225739</v>
      </c>
      <c r="L79" s="44">
        <f>IF(AND(F79=0,J79&gt;0),5,IF(J79/F79&gt;5,5,IF(J79/F79=0,0.0000001,J79/F79)))</f>
        <v>5</v>
      </c>
      <c r="M79" s="5">
        <f>IFERROR(VLOOKUP(B79,'Факт продаж'!S:T,2,0),"нет продаж")</f>
        <v>1022</v>
      </c>
      <c r="N79" s="48">
        <f>IFERROR(VLOOKUP(B79,'Факт продаж'!S:U,3,0),"нет продаж")</f>
        <v>896581.8</v>
      </c>
      <c r="O79" s="48">
        <f>IFERROR(VLOOKUP(B79,'Факт продаж'!S:W,5,0),"нет продаж")</f>
        <v>399057.10717063374</v>
      </c>
      <c r="P79" s="7">
        <f>IFERROR(VLOOKUP(B79,'Факт продаж'!S:U,3,0)/SUM('План Антонова'!$C$17:$C$19),0)</f>
        <v>5.4611249023519886E-3</v>
      </c>
      <c r="Q79" s="44">
        <f>IFERROR(VLOOKUP(B79,'Факт продаж'!S:X,6,0),"-")</f>
        <v>-4.4609181191441971E-2</v>
      </c>
      <c r="R79" s="44">
        <f>IF(AND(J79=0,P79&gt;0),5,IF(P79/J79&gt;5,5,IF(P79/J79=0,0.0000001,P79/J79)))</f>
        <v>0.98049143040672748</v>
      </c>
      <c r="S79" s="16">
        <f>IFERROR(VLOOKUP(B79,'Факт продаж'!AB:AD,2,0),"нет продаж")</f>
        <v>700</v>
      </c>
      <c r="T79" s="16">
        <f>IFERROR(VLOOKUP(B79,'Факт продаж'!AB:AD,3,0),"нет продаж")</f>
        <v>634078.4</v>
      </c>
      <c r="U79" s="16">
        <f>IFERROR(VLOOKUP(B79,'Факт продаж'!AB:AF,5,0),"нет продаж")</f>
        <v>282564.85330356873</v>
      </c>
      <c r="V79" s="7">
        <f>IFERROR(VLOOKUP(B79,'Факт продаж'!AB:AD,3,0)/SUM('План Антонова'!$C$20:$C$22),0)</f>
        <v>4.1206835358527909E-3</v>
      </c>
      <c r="W79" s="44">
        <f>IFERROR(VLOOKUP(B79,'Факт продаж'!AB:AG,6,0),"-")</f>
        <v>-0.29191875491959052</v>
      </c>
      <c r="X79" s="44">
        <f>IF(AND(P79=0,V79&gt;0),5,IF(V79/P79&gt;5,5,IF(V79/P79=0,0.0000001,V79/P79)))</f>
        <v>0.75454848763449844</v>
      </c>
      <c r="Y79" s="44">
        <f>IFERROR(VLOOKUP(B79,'Факт продаж'!AB:AH,7,0),"-")</f>
        <v>12.049679611615328</v>
      </c>
      <c r="Z79" s="44">
        <f>IF(AND(F79=0,V79&gt;0),5,IF(V79/F79&gt;5,5,IF(V79/F79=0,0.0000001,V79/F79)))</f>
        <v>5</v>
      </c>
      <c r="AB79" s="10" t="str">
        <f>IFERROR(VLOOKUP(VALUE(IF(L79&lt;1,1,0)&amp;IF(J79&lt;'Факт продаж'!$M$24,0,1)),$AB$1:$AC$4,2,FALSE),"НЕТ ПРОДАЖ")</f>
        <v>Звезда</v>
      </c>
      <c r="AC79" s="10" t="str">
        <f>IFERROR(VLOOKUP(VALUE(IF(R79&lt;1,1,0)&amp;IF(P79&lt;'Факт продаж'!$V$24,0,1)),$AB$1:$AC$4,2,FALSE),"НЕТ ПРОДАЖ")</f>
        <v>Корова</v>
      </c>
      <c r="AD79" s="10" t="str">
        <f>IFERROR(VLOOKUP(VALUE(IF(X79&lt;1,1,0)&amp;IF(V79&lt;'Факт продаж'!$AE$24,0,1)),$AB$1:$AC$4,2,FALSE),"НЕТ ПРОДАЖ")</f>
        <v>Корова</v>
      </c>
      <c r="AE79" s="18" t="str">
        <f>IFERROR(VLOOKUP(VALUE(IF(Z79&lt;1,1,0)&amp;IF(V79&lt;'Факт продаж'!$AE$24,0,1)),$AB$1:$AC$4,2,FALSE),"НЕТ ПРОДАЖ")</f>
        <v>Звезда</v>
      </c>
      <c r="AF79" s="74" t="str">
        <f>VLOOKUP(B79,'ABC расчет'!B:G,6,0)</f>
        <v>C</v>
      </c>
      <c r="AG79" s="74" t="str">
        <f>VLOOKUP(B79,'ABC расчет'!K:P,6,0)</f>
        <v>A</v>
      </c>
      <c r="AH79" s="74" t="str">
        <f>VLOOKUP(B79,'ABC расчет'!T:Y,6,0)</f>
        <v>A</v>
      </c>
      <c r="AI79" s="74" t="str">
        <f>VLOOKUP(B79,'ABC расчет'!AC:AH,6,0)</f>
        <v>A</v>
      </c>
      <c r="AJ79" s="74"/>
      <c r="AK79" s="74"/>
      <c r="AL79" s="19"/>
    </row>
    <row r="80" spans="1:38" x14ac:dyDescent="0.3">
      <c r="A80" s="51" t="s">
        <v>252</v>
      </c>
      <c r="B80" s="21" t="s">
        <v>23</v>
      </c>
      <c r="C80" s="20">
        <f>IFERROR(VLOOKUP(B80,'Факт продаж'!A:B,2,0),"нет продаж")</f>
        <v>1884</v>
      </c>
      <c r="D80" s="47">
        <f>IFERROR(VLOOKUP(B80,'Факт продаж'!A:C,3,0),"нет продаж")</f>
        <v>706545.8996</v>
      </c>
      <c r="E80" s="47">
        <f>IFERROR(VLOOKUP(B80,'Факт продаж'!A:E,5,0),"нет продаж")</f>
        <v>377722.8229605743</v>
      </c>
      <c r="F80" s="25">
        <f>IFERROR(VLOOKUP(B80,'Факт продаж'!A:C,3,0)/SUM('План Антонова'!$C$11:$C$13),0)</f>
        <v>5.3648778589264114E-3</v>
      </c>
      <c r="G80" s="5">
        <f>IFERROR(VLOOKUP(B80,'Факт продаж'!J:K,2,0),"нет продаж")</f>
        <v>842</v>
      </c>
      <c r="H80" s="48">
        <f>IFERROR(VLOOKUP(B80,'Факт продаж'!J:L,3,0),"нет продаж")</f>
        <v>329473.20000000007</v>
      </c>
      <c r="I80" s="48">
        <f>IFERROR(VLOOKUP(B80,'Факт продаж'!J:N,5,0),"нет продаж")</f>
        <v>190352.74320797663</v>
      </c>
      <c r="J80" s="7">
        <f>IFERROR(VLOOKUP(B80,'Факт продаж'!J:L,3,0)/SUM('План Антонова'!$C$14:$C$16),0)</f>
        <v>2.2749663957927382E-3</v>
      </c>
      <c r="K80" s="44">
        <f>IFERROR(VLOOKUP(B80,'Факт продаж'!J:O,6,0),"-")</f>
        <v>-0.49605178284965545</v>
      </c>
      <c r="L80" s="44">
        <f>IF(AND(F80=0,J80&gt;0),5,IF(J80/F80&gt;5,5,IF(J80/F80=0,0.0000001,J80/F80)))</f>
        <v>0.42404812478768927</v>
      </c>
      <c r="M80" s="5">
        <f>IFERROR(VLOOKUP(B80,'Факт продаж'!S:T,2,0),"нет продаж")</f>
        <v>1258</v>
      </c>
      <c r="N80" s="48">
        <f>IFERROR(VLOOKUP(B80,'Факт продаж'!S:U,3,0),"нет продаж")</f>
        <v>426021.99999999988</v>
      </c>
      <c r="O80" s="48">
        <f>IFERROR(VLOOKUP(B80,'Факт продаж'!S:W,5,0),"нет продаж")</f>
        <v>231829.9957243512</v>
      </c>
      <c r="P80" s="7">
        <f>IFERROR(VLOOKUP(B80,'Факт продаж'!S:U,3,0)/SUM('План Антонова'!$C$17:$C$19),0)</f>
        <v>2.5949214596479634E-3</v>
      </c>
      <c r="Q80" s="44">
        <f>IFERROR(VLOOKUP(B80,'Факт продаж'!S:X,6,0),"-")</f>
        <v>0.21789679422196251</v>
      </c>
      <c r="R80" s="44">
        <f>IF(AND(J80=0,P80&gt;0),5,IF(P80/J80&gt;5,5,IF(P80/J80=0,0.0000001,P80/J80)))</f>
        <v>1.1406416659371064</v>
      </c>
      <c r="S80" s="16">
        <f>IFERROR(VLOOKUP(B80,'Факт продаж'!AB:AD,2,0),"нет продаж")</f>
        <v>1139</v>
      </c>
      <c r="T80" s="16">
        <f>IFERROR(VLOOKUP(B80,'Факт продаж'!AB:AD,3,0),"нет продаж")</f>
        <v>497309</v>
      </c>
      <c r="U80" s="16">
        <f>IFERROR(VLOOKUP(B80,'Факт продаж'!AB:AF,5,0),"нет продаж")</f>
        <v>280529.62968920585</v>
      </c>
      <c r="V80" s="7">
        <f>IFERROR(VLOOKUP(B80,'Факт продаж'!AB:AD,3,0)/SUM('План Антонова'!$C$20:$C$22),0)</f>
        <v>3.2318606161815563E-3</v>
      </c>
      <c r="W80" s="44">
        <f>IFERROR(VLOOKUP(B80,'Факт продаж'!AB:AG,6,0),"-")</f>
        <v>0.21006614701731308</v>
      </c>
      <c r="X80" s="44">
        <f>IF(AND(P80=0,V80&gt;0),5,IF(V80/P80&gt;5,5,IF(V80/P80=0,0.0000001,V80/P80)))</f>
        <v>1.2454560442149192</v>
      </c>
      <c r="Y80" s="44">
        <f>IFERROR(VLOOKUP(B80,'Факт продаж'!AB:AH,7,0),"-")</f>
        <v>-0.25731353088376452</v>
      </c>
      <c r="Z80" s="44">
        <f>IF(AND(F80=0,V80&gt;0),5,IF(V80/F80&gt;5,5,IF(V80/F80=0,0.0000001,V80/F80)))</f>
        <v>0.60241084721140281</v>
      </c>
      <c r="AB80" s="10" t="str">
        <f>IFERROR(VLOOKUP(VALUE(IF(L80&lt;1,1,0)&amp;IF(J80&lt;'Факт продаж'!$M$24,0,1)),$AB$1:$AC$4,2,FALSE),"НЕТ ПРОДАЖ")</f>
        <v>Корова</v>
      </c>
      <c r="AC80" s="10" t="str">
        <f>IFERROR(VLOOKUP(VALUE(IF(R80&lt;1,1,0)&amp;IF(P80&lt;'Факт продаж'!$V$24,0,1)),$AB$1:$AC$4,2,FALSE),"НЕТ ПРОДАЖ")</f>
        <v>Звезда</v>
      </c>
      <c r="AD80" s="10" t="str">
        <f>IFERROR(VLOOKUP(VALUE(IF(X80&lt;1,1,0)&amp;IF(V80&lt;'Факт продаж'!$AE$24,0,1)),$AB$1:$AC$4,2,FALSE),"НЕТ ПРОДАЖ")</f>
        <v>Звезда</v>
      </c>
      <c r="AE80" s="18" t="str">
        <f>IFERROR(VLOOKUP(VALUE(IF(Z80&lt;1,1,0)&amp;IF(V80&lt;'Факт продаж'!$AE$24,0,1)),$AB$1:$AC$4,2,FALSE),"НЕТ ПРОДАЖ")</f>
        <v>Корова</v>
      </c>
      <c r="AF80" s="74" t="str">
        <f>VLOOKUP(B80,'ABC расчет'!B:G,6,0)</f>
        <v>A</v>
      </c>
      <c r="AG80" s="74" t="str">
        <f>VLOOKUP(B80,'ABC расчет'!K:P,6,0)</f>
        <v>B</v>
      </c>
      <c r="AH80" s="74" t="str">
        <f>VLOOKUP(B80,'ABC расчет'!T:Y,6,0)</f>
        <v>A</v>
      </c>
      <c r="AI80" s="74" t="str">
        <f>VLOOKUP(B80,'ABC расчет'!AC:AH,6,0)</f>
        <v>A</v>
      </c>
      <c r="AJ80" s="74"/>
      <c r="AK80" s="74"/>
      <c r="AL80" s="19"/>
    </row>
    <row r="81" spans="1:38" x14ac:dyDescent="0.3">
      <c r="A81" s="51" t="s">
        <v>252</v>
      </c>
      <c r="B81" s="21" t="s">
        <v>8</v>
      </c>
      <c r="C81" s="20">
        <f>IFERROR(VLOOKUP(B81,'Факт продаж'!A:B,2,0),"нет продаж")</f>
        <v>60</v>
      </c>
      <c r="D81" s="47">
        <f>IFERROR(VLOOKUP(B81,'Факт продаж'!A:C,3,0),"нет продаж")</f>
        <v>55893.715299999996</v>
      </c>
      <c r="E81" s="47">
        <f>IFERROR(VLOOKUP(B81,'Факт продаж'!A:E,5,0),"нет продаж")</f>
        <v>19810.897856093838</v>
      </c>
      <c r="F81" s="25">
        <f>IFERROR(VLOOKUP(B81,'Факт продаж'!A:C,3,0)/SUM('План Антонова'!$C$11:$C$13),0)</f>
        <v>4.2440690100369863E-4</v>
      </c>
      <c r="G81" s="5">
        <f>IFERROR(VLOOKUP(B81,'Факт продаж'!J:K,2,0),"нет продаж")</f>
        <v>284</v>
      </c>
      <c r="H81" s="48">
        <f>IFERROR(VLOOKUP(B81,'Факт продаж'!J:L,3,0),"нет продаж")</f>
        <v>374550.6</v>
      </c>
      <c r="I81" s="48">
        <f>IFERROR(VLOOKUP(B81,'Факт продаж'!J:N,5,0),"нет продаж")</f>
        <v>165540.74216295138</v>
      </c>
      <c r="J81" s="7">
        <f>IFERROR(VLOOKUP(B81,'Факт продаж'!J:L,3,0)/SUM('План Антонова'!$C$14:$C$16),0)</f>
        <v>2.5862195423603722E-3</v>
      </c>
      <c r="K81" s="44">
        <f>IFERROR(VLOOKUP(B81,'Факт продаж'!J:O,6,0),"-")</f>
        <v>7.3560444037134349</v>
      </c>
      <c r="L81" s="44">
        <f>IF(AND(F81=0,J81&gt;0),5,IF(J81/F81&gt;5,5,IF(J81/F81=0,0.0000001,J81/F81)))</f>
        <v>5</v>
      </c>
      <c r="M81" s="5">
        <f>IFERROR(VLOOKUP(B81,'Факт продаж'!S:T,2,0),"нет продаж")</f>
        <v>388</v>
      </c>
      <c r="N81" s="48">
        <f>IFERROR(VLOOKUP(B81,'Факт продаж'!S:U,3,0),"нет продаж")</f>
        <v>530989.6</v>
      </c>
      <c r="O81" s="48">
        <f>IFERROR(VLOOKUP(B81,'Факт продаж'!S:W,5,0),"нет продаж")</f>
        <v>223390.60513130075</v>
      </c>
      <c r="P81" s="7">
        <f>IFERROR(VLOOKUP(B81,'Факт продаж'!S:U,3,0)/SUM('План Антонова'!$C$17:$C$19),0)</f>
        <v>3.2342843981998312E-3</v>
      </c>
      <c r="Q81" s="44">
        <f>IFERROR(VLOOKUP(B81,'Факт продаж'!S:X,6,0),"-")</f>
        <v>0.34945997107711624</v>
      </c>
      <c r="R81" s="44">
        <f>IF(AND(J81=0,P81&gt;0),5,IF(P81/J81&gt;5,5,IF(P81/J81=0,0.0000001,P81/J81)))</f>
        <v>1.2505838523082182</v>
      </c>
      <c r="S81" s="16">
        <f>IFERROR(VLOOKUP(B81,'Факт продаж'!AB:AD,2,0),"нет продаж")</f>
        <v>480</v>
      </c>
      <c r="T81" s="16">
        <f>IFERROR(VLOOKUP(B81,'Факт продаж'!AB:AD,3,0),"нет продаж")</f>
        <v>667137.60000000009</v>
      </c>
      <c r="U81" s="16">
        <f>IFERROR(VLOOKUP(B81,'Факт продаж'!AB:AF,5,0),"нет продаж")</f>
        <v>274716.46337774827</v>
      </c>
      <c r="V81" s="7">
        <f>IFERROR(VLOOKUP(B81,'Факт продаж'!AB:AD,3,0)/SUM('План Антонова'!$C$20:$C$22),0)</f>
        <v>4.3355252670148441E-3</v>
      </c>
      <c r="W81" s="44">
        <f>IFERROR(VLOOKUP(B81,'Факт продаж'!AB:AG,6,0),"-")</f>
        <v>0.22975835629381125</v>
      </c>
      <c r="X81" s="44">
        <f>IF(AND(P81=0,V81&gt;0),5,IF(V81/P81&gt;5,5,IF(V81/P81=0,0.0000001,V81/P81)))</f>
        <v>1.3404898064709312</v>
      </c>
      <c r="Y81" s="44">
        <f>IFERROR(VLOOKUP(B81,'Факт продаж'!AB:AH,7,0),"-")</f>
        <v>12.866936540346929</v>
      </c>
      <c r="Z81" s="44">
        <f>IF(AND(F81=0,V81&gt;0),5,IF(V81/F81&gt;5,5,IF(V81/F81=0,0.0000001,V81/F81)))</f>
        <v>5</v>
      </c>
      <c r="AB81" s="10" t="str">
        <f>IFERROR(VLOOKUP(VALUE(IF(L81&lt;1,1,0)&amp;IF(J81&lt;'Факт продаж'!$M$24,0,1)),$AB$1:$AC$4,2,FALSE),"НЕТ ПРОДАЖ")</f>
        <v>Звезда</v>
      </c>
      <c r="AC81" s="10" t="str">
        <f>IFERROR(VLOOKUP(VALUE(IF(R81&lt;1,1,0)&amp;IF(P81&lt;'Факт продаж'!$V$24,0,1)),$AB$1:$AC$4,2,FALSE),"НЕТ ПРОДАЖ")</f>
        <v>Звезда</v>
      </c>
      <c r="AD81" s="10" t="str">
        <f>IFERROR(VLOOKUP(VALUE(IF(X81&lt;1,1,0)&amp;IF(V81&lt;'Факт продаж'!$AE$24,0,1)),$AB$1:$AC$4,2,FALSE),"НЕТ ПРОДАЖ")</f>
        <v>Звезда</v>
      </c>
      <c r="AE81" s="18" t="str">
        <f>IFERROR(VLOOKUP(VALUE(IF(Z81&lt;1,1,0)&amp;IF(V81&lt;'Факт продаж'!$AE$24,0,1)),$AB$1:$AC$4,2,FALSE),"НЕТ ПРОДАЖ")</f>
        <v>Звезда</v>
      </c>
      <c r="AF81" s="74" t="str">
        <f>VLOOKUP(B81,'ABC расчет'!B:G,6,0)</f>
        <v>B</v>
      </c>
      <c r="AG81" s="74" t="str">
        <f>VLOOKUP(B81,'ABC расчет'!K:P,6,0)</f>
        <v>B</v>
      </c>
      <c r="AH81" s="74" t="str">
        <f>VLOOKUP(B81,'ABC расчет'!T:Y,6,0)</f>
        <v>A</v>
      </c>
      <c r="AI81" s="74" t="str">
        <f>VLOOKUP(B81,'ABC расчет'!AC:AH,6,0)</f>
        <v>A</v>
      </c>
      <c r="AJ81" s="74"/>
      <c r="AK81" s="74"/>
      <c r="AL81" s="19"/>
    </row>
    <row r="82" spans="1:38" x14ac:dyDescent="0.3">
      <c r="A82" s="51" t="s">
        <v>251</v>
      </c>
      <c r="B82" s="21" t="s">
        <v>148</v>
      </c>
      <c r="C82" s="20">
        <f>IFERROR(VLOOKUP(B82,'Факт продаж'!A:B,2,0),"нет продаж")</f>
        <v>15</v>
      </c>
      <c r="D82" s="47">
        <f>IFERROR(VLOOKUP(B82,'Факт продаж'!A:C,3,0),"нет продаж")</f>
        <v>65690.805699999997</v>
      </c>
      <c r="E82" s="47">
        <f>IFERROR(VLOOKUP(B82,'Факт продаж'!A:E,5,0),"нет продаж")</f>
        <v>28887.152608709504</v>
      </c>
      <c r="F82" s="25">
        <f>IFERROR(VLOOKUP(B82,'Факт продаж'!A:C,3,0)/SUM('План Антонова'!$C$11:$C$13),0)</f>
        <v>4.9879724620082821E-4</v>
      </c>
      <c r="G82" s="5">
        <f>IFERROR(VLOOKUP(B82,'Факт продаж'!J:K,2,0),"нет продаж")</f>
        <v>184</v>
      </c>
      <c r="H82" s="48">
        <f>IFERROR(VLOOKUP(B82,'Факт продаж'!J:L,3,0),"нет продаж")</f>
        <v>987203.85</v>
      </c>
      <c r="I82" s="48">
        <f>IFERROR(VLOOKUP(B82,'Факт продаж'!J:N,5,0),"нет продаж")</f>
        <v>440568.04133196053</v>
      </c>
      <c r="J82" s="7">
        <f>IFERROR(VLOOKUP(B82,'Факт продаж'!J:L,3,0)/SUM('План Антонова'!$C$14:$C$16),0)</f>
        <v>6.8165046035526247E-3</v>
      </c>
      <c r="K82" s="44">
        <f>IFERROR(VLOOKUP(B82,'Факт продаж'!J:O,6,0),"-")</f>
        <v>14.251348836614961</v>
      </c>
      <c r="L82" s="44">
        <f>IF(AND(F82=0,J82&gt;0),5,IF(J82/F82&gt;5,5,IF(J82/F82=0,0.0000001,J82/F82)))</f>
        <v>5</v>
      </c>
      <c r="M82" s="5">
        <f>IFERROR(VLOOKUP(B82,'Факт продаж'!S:T,2,0),"нет продаж")</f>
        <v>230</v>
      </c>
      <c r="N82" s="48">
        <f>IFERROR(VLOOKUP(B82,'Факт продаж'!S:U,3,0),"нет продаж")</f>
        <v>1274219.4000000001</v>
      </c>
      <c r="O82" s="48">
        <f>IFERROR(VLOOKUP(B82,'Факт продаж'!S:W,5,0),"нет продаж")</f>
        <v>462135.55893411732</v>
      </c>
      <c r="P82" s="7">
        <f>IFERROR(VLOOKUP(B82,'Факт продаж'!S:U,3,0)/SUM('План Антонова'!$C$17:$C$19),0)</f>
        <v>7.7613345446004038E-3</v>
      </c>
      <c r="Q82" s="44">
        <f>IFERROR(VLOOKUP(B82,'Факт продаж'!S:X,6,0),"-")</f>
        <v>4.8953885844629452E-2</v>
      </c>
      <c r="R82" s="44">
        <f>IF(AND(J82=0,P82&gt;0),5,IF(P82/J82&gt;5,5,IF(P82/J82=0,0.0000001,P82/J82)))</f>
        <v>1.1386091546912993</v>
      </c>
      <c r="S82" s="16">
        <f>IFERROR(VLOOKUP(B82,'Факт продаж'!AB:AD,2,0),"нет продаж")</f>
        <v>108</v>
      </c>
      <c r="T82" s="16">
        <f>IFERROR(VLOOKUP(B82,'Факт продаж'!AB:AD,3,0),"нет продаж")</f>
        <v>619156.96</v>
      </c>
      <c r="U82" s="16">
        <f>IFERROR(VLOOKUP(B82,'Факт продаж'!AB:AF,5,0),"нет продаж")</f>
        <v>267403.73059391638</v>
      </c>
      <c r="V82" s="7">
        <f>IFERROR(VLOOKUP(B82,'Факт продаж'!AB:AD,3,0)/SUM('План Антонова'!$C$20:$C$22),0)</f>
        <v>4.0237136151943746E-3</v>
      </c>
      <c r="W82" s="44">
        <f>IFERROR(VLOOKUP(B82,'Факт продаж'!AB:AG,6,0),"-")</f>
        <v>-0.42137382544060453</v>
      </c>
      <c r="X82" s="44">
        <f>IF(AND(P82=0,V82&gt;0),5,IF(V82/P82&gt;5,5,IF(V82/P82=0,0.0000001,V82/P82)))</f>
        <v>0.51843063742094342</v>
      </c>
      <c r="Y82" s="44">
        <f>IFERROR(VLOOKUP(B82,'Факт продаж'!AB:AH,7,0),"-")</f>
        <v>8.2568393367124013</v>
      </c>
      <c r="Z82" s="44">
        <f>IF(AND(F82=0,V82&gt;0),5,IF(V82/F82&gt;5,5,IF(V82/F82=0,0.0000001,V82/F82)))</f>
        <v>5</v>
      </c>
      <c r="AB82" s="10" t="str">
        <f>IFERROR(VLOOKUP(VALUE(IF(L82&lt;1,1,0)&amp;IF(J82&lt;'Факт продаж'!$M$24,0,1)),$AB$1:$AC$4,2,FALSE),"НЕТ ПРОДАЖ")</f>
        <v>Звезда</v>
      </c>
      <c r="AC82" s="10" t="str">
        <f>IFERROR(VLOOKUP(VALUE(IF(R82&lt;1,1,0)&amp;IF(P82&lt;'Факт продаж'!$V$24,0,1)),$AB$1:$AC$4,2,FALSE),"НЕТ ПРОДАЖ")</f>
        <v>Звезда</v>
      </c>
      <c r="AD82" s="10" t="str">
        <f>IFERROR(VLOOKUP(VALUE(IF(X82&lt;1,1,0)&amp;IF(V82&lt;'Факт продаж'!$AE$24,0,1)),$AB$1:$AC$4,2,FALSE),"НЕТ ПРОДАЖ")</f>
        <v>Корова</v>
      </c>
      <c r="AE82" s="18" t="str">
        <f>IFERROR(VLOOKUP(VALUE(IF(Z82&lt;1,1,0)&amp;IF(V82&lt;'Факт продаж'!$AE$24,0,1)),$AB$1:$AC$4,2,FALSE),"НЕТ ПРОДАЖ")</f>
        <v>Звезда</v>
      </c>
      <c r="AF82" s="74" t="str">
        <f>VLOOKUP(B82,'ABC расчет'!B:G,6,0)</f>
        <v>C</v>
      </c>
      <c r="AG82" s="74" t="str">
        <f>VLOOKUP(B82,'ABC расчет'!K:P,6,0)</f>
        <v>B</v>
      </c>
      <c r="AH82" s="74" t="str">
        <f>VLOOKUP(B82,'ABC расчет'!T:Y,6,0)</f>
        <v>A</v>
      </c>
      <c r="AI82" s="74" t="str">
        <f>VLOOKUP(B82,'ABC расчет'!AC:AH,6,0)</f>
        <v>A</v>
      </c>
      <c r="AJ82" s="74" t="s">
        <v>452</v>
      </c>
      <c r="AK82" s="74"/>
      <c r="AL82" s="19"/>
    </row>
    <row r="83" spans="1:38" x14ac:dyDescent="0.3">
      <c r="A83" s="51" t="s">
        <v>251</v>
      </c>
      <c r="B83" s="21" t="s">
        <v>169</v>
      </c>
      <c r="C83" s="20">
        <f>IFERROR(VLOOKUP(B83,'Факт продаж'!A:B,2,0),"нет продаж")</f>
        <v>57</v>
      </c>
      <c r="D83" s="47">
        <f>IFERROR(VLOOKUP(B83,'Факт продаж'!A:C,3,0),"нет продаж")</f>
        <v>209142.72930000001</v>
      </c>
      <c r="E83" s="47">
        <f>IFERROR(VLOOKUP(B83,'Факт продаж'!A:E,5,0),"нет продаж")</f>
        <v>83892.026589311237</v>
      </c>
      <c r="F83" s="25">
        <f>IFERROR(VLOOKUP(B83,'Факт продаж'!A:C,3,0)/SUM('План Антонова'!$C$11:$C$13),0)</f>
        <v>1.5880428977257206E-3</v>
      </c>
      <c r="G83" s="5">
        <f>IFERROR(VLOOKUP(B83,'Факт продаж'!J:K,2,0),"нет продаж")</f>
        <v>102</v>
      </c>
      <c r="H83" s="48">
        <f>IFERROR(VLOOKUP(B83,'Факт продаж'!J:L,3,0),"нет продаж")</f>
        <v>518034.35</v>
      </c>
      <c r="I83" s="48">
        <f>IFERROR(VLOOKUP(B83,'Факт продаж'!J:N,5,0),"нет продаж")</f>
        <v>229476.2760915769</v>
      </c>
      <c r="J83" s="7">
        <f>IFERROR(VLOOKUP(B83,'Факт продаж'!J:L,3,0)/SUM('План Антонова'!$C$14:$C$16),0)</f>
        <v>3.5769547815006917E-3</v>
      </c>
      <c r="K83" s="44">
        <f>IFERROR(VLOOKUP(B83,'Факт продаж'!J:O,6,0),"-")</f>
        <v>1.7353764764196873</v>
      </c>
      <c r="L83" s="44">
        <f>IF(AND(F83=0,J83&gt;0),5,IF(J83/F83&gt;5,5,IF(J83/F83=0,0.0000001,J83/F83)))</f>
        <v>2.2524295701478505</v>
      </c>
      <c r="M83" s="5">
        <f>IFERROR(VLOOKUP(B83,'Факт продаж'!S:T,2,0),"нет продаж")</f>
        <v>188</v>
      </c>
      <c r="N83" s="48">
        <f>IFERROR(VLOOKUP(B83,'Факт продаж'!S:U,3,0),"нет продаж")</f>
        <v>1021339.3399999999</v>
      </c>
      <c r="O83" s="48">
        <f>IFERROR(VLOOKUP(B83,'Факт продаж'!S:W,5,0),"нет продаж")</f>
        <v>446071.87102632801</v>
      </c>
      <c r="P83" s="7">
        <f>IFERROR(VLOOKUP(B83,'Факт продаж'!S:U,3,0)/SUM('План Антонова'!$C$17:$C$19),0)</f>
        <v>6.2210293622129553E-3</v>
      </c>
      <c r="Q83" s="44">
        <f>IFERROR(VLOOKUP(B83,'Факт продаж'!S:X,6,0),"-")</f>
        <v>0.94386922528023987</v>
      </c>
      <c r="R83" s="44">
        <f>IF(AND(J83=0,P83&gt;0),5,IF(P83/J83&gt;5,5,IF(P83/J83=0,0.0000001,P83/J83)))</f>
        <v>1.7391970942397423</v>
      </c>
      <c r="S83" s="16">
        <f>IFERROR(VLOOKUP(B83,'Факт продаж'!AB:AD,2,0),"нет продаж")</f>
        <v>95</v>
      </c>
      <c r="T83" s="16">
        <f>IFERROR(VLOOKUP(B83,'Факт продаж'!AB:AD,3,0),"нет продаж")</f>
        <v>530953.30999999994</v>
      </c>
      <c r="U83" s="16">
        <f>IFERROR(VLOOKUP(B83,'Факт продаж'!AB:AF,5,0),"нет продаж")</f>
        <v>267029.97258128138</v>
      </c>
      <c r="V83" s="7">
        <f>IFERROR(VLOOKUP(B83,'Факт продаж'!AB:AD,3,0)/SUM('План Антонова'!$C$20:$C$22),0)</f>
        <v>3.4505048000744742E-3</v>
      </c>
      <c r="W83" s="44">
        <f>IFERROR(VLOOKUP(B83,'Факт продаж'!AB:AG,6,0),"-")</f>
        <v>-0.40137455435848191</v>
      </c>
      <c r="X83" s="44">
        <f>IF(AND(P83=0,V83&gt;0),5,IF(V83/P83&gt;5,5,IF(V83/P83=0,0.0000001,V83/P83)))</f>
        <v>0.55465174638671932</v>
      </c>
      <c r="Y83" s="44">
        <f>IFERROR(VLOOKUP(B83,'Факт продаж'!AB:AH,7,0),"-")</f>
        <v>2.1830196913529316</v>
      </c>
      <c r="Z83" s="44">
        <f>IF(AND(F83=0,V83&gt;0),5,IF(V83/F83&gt;5,5,IF(V83/F83=0,0.0000001,V83/F83)))</f>
        <v>2.1728032693676198</v>
      </c>
      <c r="AB83" s="10" t="str">
        <f>IFERROR(VLOOKUP(VALUE(IF(L83&lt;1,1,0)&amp;IF(J83&lt;'Факт продаж'!$M$24,0,1)),$AB$1:$AC$4,2,FALSE),"НЕТ ПРОДАЖ")</f>
        <v>Звезда</v>
      </c>
      <c r="AC83" s="10" t="str">
        <f>IFERROR(VLOOKUP(VALUE(IF(R83&lt;1,1,0)&amp;IF(P83&lt;'Факт продаж'!$V$24,0,1)),$AB$1:$AC$4,2,FALSE),"НЕТ ПРОДАЖ")</f>
        <v>Звезда</v>
      </c>
      <c r="AD83" s="10" t="str">
        <f>IFERROR(VLOOKUP(VALUE(IF(X83&lt;1,1,0)&amp;IF(V83&lt;'Факт продаж'!$AE$24,0,1)),$AB$1:$AC$4,2,FALSE),"НЕТ ПРОДАЖ")</f>
        <v>Корова</v>
      </c>
      <c r="AE83" s="18" t="str">
        <f>IFERROR(VLOOKUP(VALUE(IF(Z83&lt;1,1,0)&amp;IF(V83&lt;'Факт продаж'!$AE$24,0,1)),$AB$1:$AC$4,2,FALSE),"НЕТ ПРОДАЖ")</f>
        <v>Звезда</v>
      </c>
      <c r="AF83" s="74" t="str">
        <f>VLOOKUP(B83,'ABC расчет'!B:G,6,0)</f>
        <v>B</v>
      </c>
      <c r="AG83" s="74" t="str">
        <f>VLOOKUP(B83,'ABC расчет'!K:P,6,0)</f>
        <v>B</v>
      </c>
      <c r="AH83" s="74" t="str">
        <f>VLOOKUP(B83,'ABC расчет'!T:Y,6,0)</f>
        <v>B</v>
      </c>
      <c r="AI83" s="74" t="str">
        <f>VLOOKUP(B83,'ABC расчет'!AC:AH,6,0)</f>
        <v>B</v>
      </c>
      <c r="AJ83" s="74"/>
      <c r="AK83" s="74"/>
      <c r="AL83" s="19"/>
    </row>
    <row r="84" spans="1:38" x14ac:dyDescent="0.3">
      <c r="A84" s="51" t="s">
        <v>116</v>
      </c>
      <c r="B84" s="21" t="s">
        <v>280</v>
      </c>
      <c r="C84" s="20">
        <f>IFERROR(VLOOKUP(B84,'Факт продаж'!A:B,2,0),"нет продаж")</f>
        <v>24</v>
      </c>
      <c r="D84" s="47">
        <f>IFERROR(VLOOKUP(B84,'Факт продаж'!A:C,3,0),"нет продаж")</f>
        <v>62903.829099999995</v>
      </c>
      <c r="E84" s="47">
        <f>IFERROR(VLOOKUP(B84,'Факт продаж'!A:E,5,0),"нет продаж")</f>
        <v>24784.209416397789</v>
      </c>
      <c r="F84" s="25">
        <f>IFERROR(VLOOKUP(B84,'Факт продаж'!A:C,3,0)/SUM('План Антонова'!$C$11:$C$13),0)</f>
        <v>4.7763543765710767E-4</v>
      </c>
      <c r="G84" s="5">
        <f>IFERROR(VLOOKUP(B84,'Факт продаж'!J:K,2,0),"нет продаж")</f>
        <v>416</v>
      </c>
      <c r="H84" s="48">
        <f>IFERROR(VLOOKUP(B84,'Факт продаж'!J:L,3,0),"нет продаж")</f>
        <v>1448990.2000000002</v>
      </c>
      <c r="I84" s="48">
        <f>IFERROR(VLOOKUP(B84,'Факт продаж'!J:N,5,0),"нет продаж")</f>
        <v>667798.81315506843</v>
      </c>
      <c r="J84" s="7">
        <f>IFERROR(VLOOKUP(B84,'Факт продаж'!J:L,3,0)/SUM('План Антонова'!$C$14:$C$16),0)</f>
        <v>1.0005074806791565E-2</v>
      </c>
      <c r="K84" s="44">
        <f>IFERROR(VLOOKUP(B84,'Факт продаж'!J:O,6,0),"-")</f>
        <v>25.944527539104708</v>
      </c>
      <c r="L84" s="44">
        <f>IF(AND(F84=0,J84&gt;0),5,IF(J84/F84&gt;5,5,IF(J84/F84=0,0.0000001,J84/F84)))</f>
        <v>5</v>
      </c>
      <c r="M84" s="5">
        <f>IFERROR(VLOOKUP(B84,'Факт продаж'!S:T,2,0),"нет продаж")</f>
        <v>337</v>
      </c>
      <c r="N84" s="48">
        <f>IFERROR(VLOOKUP(B84,'Факт продаж'!S:U,3,0),"нет продаж")</f>
        <v>1230959.05</v>
      </c>
      <c r="O84" s="48">
        <f>IFERROR(VLOOKUP(B84,'Факт продаж'!S:W,5,0),"нет продаж")</f>
        <v>478322.62101456028</v>
      </c>
      <c r="P84" s="7">
        <f>IFERROR(VLOOKUP(B84,'Факт продаж'!S:U,3,0)/SUM('План Антонова'!$C$17:$C$19),0)</f>
        <v>7.4978335738362595E-3</v>
      </c>
      <c r="Q84" s="44">
        <f>IFERROR(VLOOKUP(B84,'Факт продаж'!S:X,6,0),"-")</f>
        <v>-0.28373244816850285</v>
      </c>
      <c r="R84" s="44">
        <f>IF(AND(J84=0,P84&gt;0),5,IF(P84/J84&gt;5,5,IF(P84/J84=0,0.0000001,P84/J84)))</f>
        <v>0.74940304981494388</v>
      </c>
      <c r="S84" s="16">
        <f>IFERROR(VLOOKUP(B84,'Факт продаж'!AB:AD,2,0),"нет продаж")</f>
        <v>151</v>
      </c>
      <c r="T84" s="16">
        <f>IFERROR(VLOOKUP(B84,'Факт продаж'!AB:AD,3,0),"нет продаж")</f>
        <v>579564.6</v>
      </c>
      <c r="U84" s="16">
        <f>IFERROR(VLOOKUP(B84,'Факт продаж'!AB:AF,5,0),"нет продаж")</f>
        <v>256829.14675367798</v>
      </c>
      <c r="V84" s="7">
        <f>IFERROR(VLOOKUP(B84,'Факт продаж'!AB:AD,3,0)/SUM('План Антонова'!$C$20:$C$22),0)</f>
        <v>3.7664148552972441E-3</v>
      </c>
      <c r="W84" s="44">
        <f>IFERROR(VLOOKUP(B84,'Факт продаж'!AB:AG,6,0),"-")</f>
        <v>-0.46306292976710373</v>
      </c>
      <c r="X84" s="44">
        <f>IF(AND(P84=0,V84&gt;0),5,IF(V84/P84&gt;5,5,IF(V84/P84=0,0.0000001,V84/P84)))</f>
        <v>0.50233374990346202</v>
      </c>
      <c r="Y84" s="44">
        <f>IFERROR(VLOOKUP(B84,'Факт продаж'!AB:AH,7,0),"-")</f>
        <v>9.3626120340862702</v>
      </c>
      <c r="Z84" s="44">
        <f>IF(AND(F84=0,V84&gt;0),5,IF(V84/F84&gt;5,5,IF(V84/F84=0,0.0000001,V84/F84)))</f>
        <v>5</v>
      </c>
      <c r="AB84" s="10" t="str">
        <f>IFERROR(VLOOKUP(VALUE(IF(L84&lt;1,1,0)&amp;IF(J84&lt;'Факт продаж'!$M$24,0,1)),$AB$1:$AC$4,2,FALSE),"НЕТ ПРОДАЖ")</f>
        <v>Звезда</v>
      </c>
      <c r="AC84" s="10" t="str">
        <f>IFERROR(VLOOKUP(VALUE(IF(R84&lt;1,1,0)&amp;IF(P84&lt;'Факт продаж'!$V$24,0,1)),$AB$1:$AC$4,2,FALSE),"НЕТ ПРОДАЖ")</f>
        <v>Корова</v>
      </c>
      <c r="AD84" s="10" t="str">
        <f>IFERROR(VLOOKUP(VALUE(IF(X84&lt;1,1,0)&amp;IF(V84&lt;'Факт продаж'!$AE$24,0,1)),$AB$1:$AC$4,2,FALSE),"НЕТ ПРОДАЖ")</f>
        <v>Корова</v>
      </c>
      <c r="AE84" s="18" t="str">
        <f>IFERROR(VLOOKUP(VALUE(IF(Z84&lt;1,1,0)&amp;IF(V84&lt;'Факт продаж'!$AE$24,0,1)),$AB$1:$AC$4,2,FALSE),"НЕТ ПРОДАЖ")</f>
        <v>Звезда</v>
      </c>
      <c r="AF84" s="74" t="str">
        <f>VLOOKUP(B84,'ABC расчет'!B:G,6,0)</f>
        <v>C</v>
      </c>
      <c r="AG84" s="74" t="str">
        <f>VLOOKUP(B84,'ABC расчет'!K:P,6,0)</f>
        <v>A</v>
      </c>
      <c r="AH84" s="74" t="str">
        <f>VLOOKUP(B84,'ABC расчет'!T:Y,6,0)</f>
        <v>A</v>
      </c>
      <c r="AI84" s="74" t="str">
        <f>VLOOKUP(B84,'ABC расчет'!AC:AH,6,0)</f>
        <v>B</v>
      </c>
      <c r="AJ84" s="74" t="s">
        <v>452</v>
      </c>
      <c r="AK84" s="74"/>
      <c r="AL84" s="19"/>
    </row>
    <row r="85" spans="1:38" x14ac:dyDescent="0.3">
      <c r="A85" s="51" t="s">
        <v>116</v>
      </c>
      <c r="B85" s="21" t="s">
        <v>196</v>
      </c>
      <c r="C85" s="20">
        <f>IFERROR(VLOOKUP(B85,'Факт продаж'!A:B,2,0),"нет продаж")</f>
        <v>23</v>
      </c>
      <c r="D85" s="47">
        <f>IFERROR(VLOOKUP(B85,'Факт продаж'!A:C,3,0),"нет продаж")</f>
        <v>85412.019199999995</v>
      </c>
      <c r="E85" s="47">
        <f>IFERROR(VLOOKUP(B85,'Факт продаж'!A:E,5,0),"нет продаж")</f>
        <v>21431.070784115393</v>
      </c>
      <c r="F85" s="25">
        <f>IFERROR(VLOOKUP(B85,'Факт продаж'!A:C,3,0)/SUM('План Антонова'!$C$11:$C$13),0)</f>
        <v>6.4854250934255587E-4</v>
      </c>
      <c r="G85" s="5">
        <f>IFERROR(VLOOKUP(B85,'Факт продаж'!J:K,2,0),"нет продаж")</f>
        <v>148</v>
      </c>
      <c r="H85" s="48">
        <f>IFERROR(VLOOKUP(B85,'Факт продаж'!J:L,3,0),"нет продаж")</f>
        <v>1313993</v>
      </c>
      <c r="I85" s="48">
        <f>IFERROR(VLOOKUP(B85,'Факт продаж'!J:N,5,0),"нет продаж")</f>
        <v>557800.47821000463</v>
      </c>
      <c r="J85" s="7">
        <f>IFERROR(VLOOKUP(B85,'Факт продаж'!J:L,3,0)/SUM('План Антонова'!$C$14:$C$16),0)</f>
        <v>9.0729380092428973E-3</v>
      </c>
      <c r="K85" s="44">
        <f>IFERROR(VLOOKUP(B85,'Факт продаж'!J:O,6,0),"-")</f>
        <v>25.027653206364455</v>
      </c>
      <c r="L85" s="44">
        <f>IF(AND(F85=0,J85&gt;0),5,IF(J85/F85&gt;5,5,IF(J85/F85=0,0.0000001,J85/F85)))</f>
        <v>5</v>
      </c>
      <c r="M85" s="5">
        <f>IFERROR(VLOOKUP(B85,'Факт продаж'!S:T,2,0),"нет продаж")</f>
        <v>44</v>
      </c>
      <c r="N85" s="48">
        <f>IFERROR(VLOOKUP(B85,'Факт продаж'!S:U,3,0),"нет продаж")</f>
        <v>352725.69999999995</v>
      </c>
      <c r="O85" s="48">
        <f>IFERROR(VLOOKUP(B85,'Факт продаж'!S:W,5,0),"нет продаж")</f>
        <v>185924.95382098696</v>
      </c>
      <c r="P85" s="7">
        <f>IFERROR(VLOOKUP(B85,'Факт продаж'!S:U,3,0)/SUM('План Антонова'!$C$17:$C$19),0)</f>
        <v>2.1484700045991748E-3</v>
      </c>
      <c r="Q85" s="44">
        <f>IFERROR(VLOOKUP(B85,'Факт продаж'!S:X,6,0),"-")</f>
        <v>-0.6666819748566285</v>
      </c>
      <c r="R85" s="44">
        <f>IF(AND(J85=0,P85&gt;0),5,IF(P85/J85&gt;5,5,IF(P85/J85=0,0.0000001,P85/J85)))</f>
        <v>0.23679981086726906</v>
      </c>
      <c r="S85" s="16">
        <f>IFERROR(VLOOKUP(B85,'Факт продаж'!AB:AD,2,0),"нет продаж")</f>
        <v>57</v>
      </c>
      <c r="T85" s="16">
        <f>IFERROR(VLOOKUP(B85,'Факт продаж'!AB:AD,3,0),"нет продаж")</f>
        <v>525632.05000000005</v>
      </c>
      <c r="U85" s="16">
        <f>IFERROR(VLOOKUP(B85,'Факт продаж'!AB:AF,5,0),"нет продаж")</f>
        <v>254117.93402553094</v>
      </c>
      <c r="V85" s="7">
        <f>IFERROR(VLOOKUP(B85,'Факт продаж'!AB:AD,3,0)/SUM('План Антонова'!$C$20:$C$22),0)</f>
        <v>3.4159235425012917E-3</v>
      </c>
      <c r="W85" s="44">
        <f>IFERROR(VLOOKUP(B85,'Факт продаж'!AB:AG,6,0),"-")</f>
        <v>0.3667769108077974</v>
      </c>
      <c r="X85" s="44">
        <f>IF(AND(P85=0,V85&gt;0),5,IF(V85/P85&gt;5,5,IF(V85/P85=0,0.0000001,V85/P85)))</f>
        <v>1.5899330850274436</v>
      </c>
      <c r="Y85" s="44">
        <f>IFERROR(VLOOKUP(B85,'Факт продаж'!AB:AH,7,0),"-")</f>
        <v>10.857453908177185</v>
      </c>
      <c r="Z85" s="44">
        <f>IF(AND(F85=0,V85&gt;0),5,IF(V85/F85&gt;5,5,IF(V85/F85=0,0.0000001,V85/F85)))</f>
        <v>5</v>
      </c>
      <c r="AB85" s="10" t="str">
        <f>IFERROR(VLOOKUP(VALUE(IF(L85&lt;1,1,0)&amp;IF(J85&lt;'Факт продаж'!$M$24,0,1)),$AB$1:$AC$4,2,FALSE),"НЕТ ПРОДАЖ")</f>
        <v>Звезда</v>
      </c>
      <c r="AC85" s="10" t="str">
        <f>IFERROR(VLOOKUP(VALUE(IF(R85&lt;1,1,0)&amp;IF(P85&lt;'Факт продаж'!$V$24,0,1)),$AB$1:$AC$4,2,FALSE),"НЕТ ПРОДАЖ")</f>
        <v>Корова</v>
      </c>
      <c r="AD85" s="10" t="str">
        <f>IFERROR(VLOOKUP(VALUE(IF(X85&lt;1,1,0)&amp;IF(V85&lt;'Факт продаж'!$AE$24,0,1)),$AB$1:$AC$4,2,FALSE),"НЕТ ПРОДАЖ")</f>
        <v>Звезда</v>
      </c>
      <c r="AE85" s="18" t="str">
        <f>IFERROR(VLOOKUP(VALUE(IF(Z85&lt;1,1,0)&amp;IF(V85&lt;'Факт продаж'!$AE$24,0,1)),$AB$1:$AC$4,2,FALSE),"НЕТ ПРОДАЖ")</f>
        <v>Звезда</v>
      </c>
      <c r="AF85" s="74" t="str">
        <f>VLOOKUP(B85,'ABC расчет'!B:G,6,0)</f>
        <v>C</v>
      </c>
      <c r="AG85" s="74" t="str">
        <f>VLOOKUP(B85,'ABC расчет'!K:P,6,0)</f>
        <v>A</v>
      </c>
      <c r="AH85" s="74" t="str">
        <f>VLOOKUP(B85,'ABC расчет'!T:Y,6,0)</f>
        <v>B</v>
      </c>
      <c r="AI85" s="74" t="str">
        <f>VLOOKUP(B85,'ABC расчет'!AC:AH,6,0)</f>
        <v>B</v>
      </c>
      <c r="AJ85" s="74" t="s">
        <v>452</v>
      </c>
      <c r="AK85" s="74"/>
      <c r="AL85" s="19"/>
    </row>
    <row r="86" spans="1:38" ht="15" customHeight="1" x14ac:dyDescent="0.3">
      <c r="A86" s="51" t="s">
        <v>116</v>
      </c>
      <c r="B86" s="21" t="s">
        <v>56</v>
      </c>
      <c r="C86" s="20" t="str">
        <f>IFERROR(VLOOKUP(B86,'Факт продаж'!A:B,2,0),"нет продаж")</f>
        <v>нет продаж</v>
      </c>
      <c r="D86" s="47" t="str">
        <f>IFERROR(VLOOKUP(B86,'Факт продаж'!A:C,3,0),"нет продаж")</f>
        <v>нет продаж</v>
      </c>
      <c r="E86" s="47" t="str">
        <f>IFERROR(VLOOKUP(B86,'Факт продаж'!A:E,5,0),"нет продаж")</f>
        <v>нет продаж</v>
      </c>
      <c r="F86" s="25">
        <f>IFERROR(VLOOKUP(B86,'Факт продаж'!A:C,3,0)/SUM('План Антонова'!$C$11:$C$13),0)</f>
        <v>0</v>
      </c>
      <c r="G86" s="5">
        <f>IFERROR(VLOOKUP(B86,'Факт продаж'!J:K,2,0),"нет продаж")</f>
        <v>183</v>
      </c>
      <c r="H86" s="48">
        <f>IFERROR(VLOOKUP(B86,'Факт продаж'!J:L,3,0),"нет продаж")</f>
        <v>297289.8</v>
      </c>
      <c r="I86" s="48">
        <f>IFERROR(VLOOKUP(B86,'Факт продаж'!J:N,5,0),"нет продаж")</f>
        <v>139303.65186840316</v>
      </c>
      <c r="J86" s="7">
        <f>IFERROR(VLOOKUP(B86,'Факт продаж'!J:L,3,0)/SUM('План Антонова'!$C$14:$C$16),0)</f>
        <v>2.052744517040973E-3</v>
      </c>
      <c r="K86" s="44">
        <f>IFERROR(VLOOKUP(B86,'Факт продаж'!J:O,6,0),"-")</f>
        <v>1</v>
      </c>
      <c r="L86" s="44">
        <f>IF(AND(F86=0,J86&gt;0),5,IF(J86/F86&gt;5,5,IF(J86/F86=0,0.0000001,J86/F86)))</f>
        <v>5</v>
      </c>
      <c r="M86" s="5">
        <f>IFERROR(VLOOKUP(B86,'Факт продаж'!S:T,2,0),"нет продаж")</f>
        <v>190</v>
      </c>
      <c r="N86" s="48">
        <f>IFERROR(VLOOKUP(B86,'Факт продаж'!S:U,3,0),"нет продаж")</f>
        <v>314018.72000000009</v>
      </c>
      <c r="O86" s="48">
        <f>IFERROR(VLOOKUP(B86,'Факт продаж'!S:W,5,0),"нет продаж")</f>
        <v>138181.81992029518</v>
      </c>
      <c r="P86" s="7">
        <f>IFERROR(VLOOKUP(B86,'Факт продаж'!S:U,3,0)/SUM('План Антонова'!$C$17:$C$19),0)</f>
        <v>1.9127038398467344E-3</v>
      </c>
      <c r="Q86" s="44">
        <f>IFERROR(VLOOKUP(B86,'Факт продаж'!S:X,6,0),"-")</f>
        <v>-8.0531409841843038E-3</v>
      </c>
      <c r="R86" s="44">
        <f>IF(AND(J86=0,P86&gt;0),5,IF(P86/J86&gt;5,5,IF(P86/J86=0,0.0000001,P86/J86)))</f>
        <v>0.93177880830678972</v>
      </c>
      <c r="S86" s="16">
        <f>IFERROR(VLOOKUP(B86,'Факт продаж'!AB:AD,2,0),"нет продаж")</f>
        <v>339</v>
      </c>
      <c r="T86" s="16">
        <f>IFERROR(VLOOKUP(B86,'Факт продаж'!AB:AD,3,0),"нет продаж")</f>
        <v>539277.75</v>
      </c>
      <c r="U86" s="16">
        <f>IFERROR(VLOOKUP(B86,'Факт продаж'!AB:AF,5,0),"нет продаж")</f>
        <v>246340.92865900137</v>
      </c>
      <c r="V86" s="7">
        <f>IFERROR(VLOOKUP(B86,'Факт продаж'!AB:AD,3,0)/SUM('План Антонова'!$C$20:$C$22),0)</f>
        <v>3.504602815167237E-3</v>
      </c>
      <c r="W86" s="44">
        <f>IFERROR(VLOOKUP(B86,'Факт продаж'!AB:AG,6,0),"-")</f>
        <v>0.78273038234040904</v>
      </c>
      <c r="X86" s="44">
        <f>IF(AND(P86=0,V86&gt;0),5,IF(V86/P86&gt;5,5,IF(V86/P86=0,0.0000001,V86/P86)))</f>
        <v>1.8322767707979621</v>
      </c>
      <c r="Y86" s="44">
        <f>IFERROR(VLOOKUP(B86,'Факт продаж'!AB:AH,7,0),"-")</f>
        <v>1</v>
      </c>
      <c r="Z86" s="44">
        <f>IF(AND(F86=0,V86&gt;0),5,IF(V86/F86&gt;5,5,IF(V86/F86=0,0.0000001,V86/F86)))</f>
        <v>5</v>
      </c>
      <c r="AB86" s="10" t="str">
        <f>IFERROR(VLOOKUP(VALUE(IF(L86&lt;1,1,0)&amp;IF(J86&lt;'Факт продаж'!$M$24,0,1)),$AB$1:$AC$4,2,FALSE),"НЕТ ПРОДАЖ")</f>
        <v>Звезда</v>
      </c>
      <c r="AC86" s="10" t="str">
        <f>IFERROR(VLOOKUP(VALUE(IF(R86&lt;1,1,0)&amp;IF(P86&lt;'Факт продаж'!$V$24,0,1)),$AB$1:$AC$4,2,FALSE),"НЕТ ПРОДАЖ")</f>
        <v>Корова</v>
      </c>
      <c r="AD86" s="10" t="str">
        <f>IFERROR(VLOOKUP(VALUE(IF(X86&lt;1,1,0)&amp;IF(V86&lt;'Факт продаж'!$AE$24,0,1)),$AB$1:$AC$4,2,FALSE),"НЕТ ПРОДАЖ")</f>
        <v>Звезда</v>
      </c>
      <c r="AE86" s="18" t="str">
        <f>IFERROR(VLOOKUP(VALUE(IF(Z86&lt;1,1,0)&amp;IF(V86&lt;'Факт продаж'!$AE$24,0,1)),$AB$1:$AC$4,2,FALSE),"НЕТ ПРОДАЖ")</f>
        <v>Звезда</v>
      </c>
      <c r="AF86" s="74" t="str">
        <f>VLOOKUP(B86,'ABC расчет'!B:G,6,0)</f>
        <v>C</v>
      </c>
      <c r="AG86" s="74" t="str">
        <f>VLOOKUP(B86,'ABC расчет'!K:P,6,0)</f>
        <v>B</v>
      </c>
      <c r="AH86" s="74" t="str">
        <f>VLOOKUP(B86,'ABC расчет'!T:Y,6,0)</f>
        <v>C</v>
      </c>
      <c r="AI86" s="74" t="str">
        <f>VLOOKUP(B86,'ABC расчет'!AC:AH,6,0)</f>
        <v>B</v>
      </c>
      <c r="AJ86" s="74"/>
      <c r="AK86" s="74"/>
      <c r="AL86" s="19"/>
    </row>
    <row r="87" spans="1:38" x14ac:dyDescent="0.3">
      <c r="A87" s="51" t="s">
        <v>251</v>
      </c>
      <c r="B87" s="21" t="s">
        <v>150</v>
      </c>
      <c r="C87" s="20">
        <f>IFERROR(VLOOKUP(B87,'Факт продаж'!A:B,2,0),"нет продаж")</f>
        <v>4</v>
      </c>
      <c r="D87" s="47">
        <f>IFERROR(VLOOKUP(B87,'Факт продаж'!A:C,3,0),"нет продаж")</f>
        <v>16612.667000000001</v>
      </c>
      <c r="E87" s="47">
        <f>IFERROR(VLOOKUP(B87,'Факт продаж'!A:E,5,0),"нет продаж")</f>
        <v>7817.7297569275888</v>
      </c>
      <c r="F87" s="25">
        <f>IFERROR(VLOOKUP(B87,'Факт продаж'!A:C,3,0)/SUM('План Антонова'!$C$11:$C$13),0)</f>
        <v>1.2614174028392799E-4</v>
      </c>
      <c r="G87" s="5">
        <f>IFERROR(VLOOKUP(B87,'Факт продаж'!J:K,2,0),"нет продаж")</f>
        <v>218</v>
      </c>
      <c r="H87" s="48">
        <f>IFERROR(VLOOKUP(B87,'Факт продаж'!J:L,3,0),"нет продаж")</f>
        <v>1184040.3</v>
      </c>
      <c r="I87" s="48">
        <f>IFERROR(VLOOKUP(B87,'Факт продаж'!J:N,5,0),"нет продаж")</f>
        <v>514928.63212916022</v>
      </c>
      <c r="J87" s="7">
        <f>IFERROR(VLOOKUP(B87,'Факт продаж'!J:L,3,0)/SUM('План Антонова'!$C$14:$C$16),0)</f>
        <v>8.1756327791284757E-3</v>
      </c>
      <c r="K87" s="44">
        <f>IFERROR(VLOOKUP(B87,'Факт продаж'!J:O,6,0),"-")</f>
        <v>64.866773109272842</v>
      </c>
      <c r="L87" s="44">
        <f>IF(AND(F87=0,J87&gt;0),5,IF(J87/F87&gt;5,5,IF(J87/F87=0,0.0000001,J87/F87)))</f>
        <v>5</v>
      </c>
      <c r="M87" s="5">
        <f>IFERROR(VLOOKUP(B87,'Факт продаж'!S:T,2,0),"нет продаж")</f>
        <v>221</v>
      </c>
      <c r="N87" s="48">
        <f>IFERROR(VLOOKUP(B87,'Факт продаж'!S:U,3,0),"нет продаж")</f>
        <v>1223379.3999999999</v>
      </c>
      <c r="O87" s="48">
        <f>IFERROR(VLOOKUP(B87,'Факт продаж'!S:W,5,0),"нет продаж")</f>
        <v>529065.71691999515</v>
      </c>
      <c r="P87" s="7">
        <f>IFERROR(VLOOKUP(B87,'Факт продаж'!S:U,3,0)/SUM('План Антонова'!$C$17:$C$19),0)</f>
        <v>7.4516655439185071E-3</v>
      </c>
      <c r="Q87" s="44">
        <f>IFERROR(VLOOKUP(B87,'Факт продаж'!S:X,6,0),"-")</f>
        <v>2.745445467341745E-2</v>
      </c>
      <c r="R87" s="44">
        <f>IF(AND(J87=0,P87&gt;0),5,IF(P87/J87&gt;5,5,IF(P87/J87=0,0.0000001,P87/J87)))</f>
        <v>0.91144817107512699</v>
      </c>
      <c r="S87" s="16">
        <f>IFERROR(VLOOKUP(B87,'Факт продаж'!AB:AD,2,0),"нет продаж")</f>
        <v>90</v>
      </c>
      <c r="T87" s="16">
        <f>IFERROR(VLOOKUP(B87,'Факт продаж'!AB:AD,3,0),"нет продаж")</f>
        <v>482977.85</v>
      </c>
      <c r="U87" s="16">
        <f>IFERROR(VLOOKUP(B87,'Факт продаж'!AB:AF,5,0),"нет продаж")</f>
        <v>234151.53250179702</v>
      </c>
      <c r="V87" s="7">
        <f>IFERROR(VLOOKUP(B87,'Факт продаж'!AB:AD,3,0)/SUM('План Антонова'!$C$20:$C$22),0)</f>
        <v>3.1387268115056098E-3</v>
      </c>
      <c r="W87" s="44">
        <f>IFERROR(VLOOKUP(B87,'Факт продаж'!AB:AG,6,0),"-")</f>
        <v>-0.55742448430616198</v>
      </c>
      <c r="X87" s="44">
        <f>IF(AND(P87=0,V87&gt;0),5,IF(V87/P87&gt;5,5,IF(V87/P87=0,0.0000001,V87/P87)))</f>
        <v>0.42121144501274671</v>
      </c>
      <c r="Y87" s="44">
        <f>IFERROR(VLOOKUP(B87,'Факт продаж'!AB:AH,7,0),"-")</f>
        <v>28.951346462738289</v>
      </c>
      <c r="Z87" s="44">
        <f>IF(AND(F87=0,V87&gt;0),5,IF(V87/F87&gt;5,5,IF(V87/F87=0,0.0000001,V87/F87)))</f>
        <v>5</v>
      </c>
      <c r="AB87" s="10" t="str">
        <f>IFERROR(VLOOKUP(VALUE(IF(L87&lt;1,1,0)&amp;IF(J87&lt;'Факт продаж'!$M$24,0,1)),$AB$1:$AC$4,2,FALSE),"НЕТ ПРОДАЖ")</f>
        <v>Звезда</v>
      </c>
      <c r="AC87" s="10" t="str">
        <f>IFERROR(VLOOKUP(VALUE(IF(R87&lt;1,1,0)&amp;IF(P87&lt;'Факт продаж'!$V$24,0,1)),$AB$1:$AC$4,2,FALSE),"НЕТ ПРОДАЖ")</f>
        <v>Корова</v>
      </c>
      <c r="AD87" s="10" t="str">
        <f>IFERROR(VLOOKUP(VALUE(IF(X87&lt;1,1,0)&amp;IF(V87&lt;'Факт продаж'!$AE$24,0,1)),$AB$1:$AC$4,2,FALSE),"НЕТ ПРОДАЖ")</f>
        <v>Корова</v>
      </c>
      <c r="AE87" s="18" t="str">
        <f>IFERROR(VLOOKUP(VALUE(IF(Z87&lt;1,1,0)&amp;IF(V87&lt;'Факт продаж'!$AE$24,0,1)),$AB$1:$AC$4,2,FALSE),"НЕТ ПРОДАЖ")</f>
        <v>Звезда</v>
      </c>
      <c r="AF87" s="74" t="str">
        <f>VLOOKUP(B87,'ABC расчет'!B:G,6,0)</f>
        <v>C</v>
      </c>
      <c r="AG87" s="74" t="str">
        <f>VLOOKUP(B87,'ABC расчет'!K:P,6,0)</f>
        <v>A</v>
      </c>
      <c r="AH87" s="74" t="str">
        <f>VLOOKUP(B87,'ABC расчет'!T:Y,6,0)</f>
        <v>A</v>
      </c>
      <c r="AI87" s="74" t="str">
        <f>VLOOKUP(B87,'ABC расчет'!AC:AH,6,0)</f>
        <v>B</v>
      </c>
      <c r="AJ87" s="74"/>
      <c r="AK87" s="74"/>
      <c r="AL87" s="19"/>
    </row>
    <row r="88" spans="1:38" x14ac:dyDescent="0.3">
      <c r="A88" s="51" t="s">
        <v>116</v>
      </c>
      <c r="B88" s="21" t="s">
        <v>191</v>
      </c>
      <c r="C88" s="20" t="str">
        <f>IFERROR(VLOOKUP(B88,'Факт продаж'!A:B,2,0),"нет продаж")</f>
        <v>нет продаж</v>
      </c>
      <c r="D88" s="47" t="str">
        <f>IFERROR(VLOOKUP(B88,'Факт продаж'!A:C,3,0),"нет продаж")</f>
        <v>нет продаж</v>
      </c>
      <c r="E88" s="47" t="str">
        <f>IFERROR(VLOOKUP(B88,'Факт продаж'!A:E,5,0),"нет продаж")</f>
        <v>нет продаж</v>
      </c>
      <c r="F88" s="25">
        <f>IFERROR(VLOOKUP(B88,'Факт продаж'!A:C,3,0)/SUM('План Антонова'!$C$11:$C$13),0)</f>
        <v>0</v>
      </c>
      <c r="G88" s="5">
        <f>IFERROR(VLOOKUP(B88,'Факт продаж'!J:K,2,0),"нет продаж")</f>
        <v>148</v>
      </c>
      <c r="H88" s="48">
        <f>IFERROR(VLOOKUP(B88,'Факт продаж'!J:L,3,0),"нет продаж")</f>
        <v>420447.2</v>
      </c>
      <c r="I88" s="48">
        <f>IFERROR(VLOOKUP(B88,'Факт продаж'!J:N,5,0),"нет продаж")</f>
        <v>193396.27160105016</v>
      </c>
      <c r="J88" s="7">
        <f>IFERROR(VLOOKUP(B88,'Факт продаж'!J:L,3,0)/SUM('План Антонова'!$C$14:$C$16),0)</f>
        <v>2.9031291504290741E-3</v>
      </c>
      <c r="K88" s="44">
        <f>IFERROR(VLOOKUP(B88,'Факт продаж'!J:O,6,0),"-")</f>
        <v>1</v>
      </c>
      <c r="L88" s="44">
        <f>IF(AND(F88=0,J88&gt;0),5,IF(J88/F88&gt;5,5,IF(J88/F88=0,0.0000001,J88/F88)))</f>
        <v>5</v>
      </c>
      <c r="M88" s="5">
        <f>IFERROR(VLOOKUP(B88,'Факт продаж'!S:T,2,0),"нет продаж")</f>
        <v>233</v>
      </c>
      <c r="N88" s="48">
        <f>IFERROR(VLOOKUP(B88,'Факт продаж'!S:U,3,0),"нет продаж")</f>
        <v>606927.45000000007</v>
      </c>
      <c r="O88" s="48">
        <f>IFERROR(VLOOKUP(B88,'Факт продаж'!S:W,5,0),"нет продаж")</f>
        <v>268367.79665039247</v>
      </c>
      <c r="P88" s="7">
        <f>IFERROR(VLOOKUP(B88,'Факт продаж'!S:U,3,0)/SUM('План Антонова'!$C$17:$C$19),0)</f>
        <v>3.6968256673467963E-3</v>
      </c>
      <c r="Q88" s="44">
        <f>IFERROR(VLOOKUP(B88,'Факт продаж'!S:X,6,0),"-")</f>
        <v>0.3876575511445135</v>
      </c>
      <c r="R88" s="44">
        <f>IF(AND(J88=0,P88&gt;0),5,IF(P88/J88&gt;5,5,IF(P88/J88=0,0.0000001,P88/J88)))</f>
        <v>1.273393457814447</v>
      </c>
      <c r="S88" s="16">
        <f>IFERROR(VLOOKUP(B88,'Факт продаж'!AB:AD,2,0),"нет продаж")</f>
        <v>193</v>
      </c>
      <c r="T88" s="16">
        <f>IFERROR(VLOOKUP(B88,'Факт продаж'!AB:AD,3,0),"нет продаж")</f>
        <v>501394.20000000007</v>
      </c>
      <c r="U88" s="16">
        <f>IFERROR(VLOOKUP(B88,'Факт продаж'!AB:AF,5,0),"нет продаж")</f>
        <v>220857.34475307708</v>
      </c>
      <c r="V88" s="7">
        <f>IFERROR(VLOOKUP(B88,'Факт продаж'!AB:AD,3,0)/SUM('План Антонова'!$C$20:$C$22),0)</f>
        <v>3.2584090940679915E-3</v>
      </c>
      <c r="W88" s="44">
        <f>IFERROR(VLOOKUP(B88,'Факт продаж'!AB:AG,6,0),"-")</f>
        <v>-0.17703484728910346</v>
      </c>
      <c r="X88" s="44">
        <f>IF(AND(P88=0,V88&gt;0),5,IF(V88/P88&gt;5,5,IF(V88/P88=0,0.0000001,V88/P88)))</f>
        <v>0.88140729027304787</v>
      </c>
      <c r="Y88" s="44">
        <f>IFERROR(VLOOKUP(B88,'Факт продаж'!AB:AH,7,0),"-")</f>
        <v>1</v>
      </c>
      <c r="Z88" s="44">
        <f>IF(AND(F88=0,V88&gt;0),5,IF(V88/F88&gt;5,5,IF(V88/F88=0,0.0000001,V88/F88)))</f>
        <v>5</v>
      </c>
      <c r="AB88" s="10" t="str">
        <f>IFERROR(VLOOKUP(VALUE(IF(L88&lt;1,1,0)&amp;IF(J88&lt;'Факт продаж'!$M$24,0,1)),$AB$1:$AC$4,2,FALSE),"НЕТ ПРОДАЖ")</f>
        <v>Звезда</v>
      </c>
      <c r="AC88" s="10" t="str">
        <f>IFERROR(VLOOKUP(VALUE(IF(R88&lt;1,1,0)&amp;IF(P88&lt;'Факт продаж'!$V$24,0,1)),$AB$1:$AC$4,2,FALSE),"НЕТ ПРОДАЖ")</f>
        <v>Звезда</v>
      </c>
      <c r="AD88" s="10" t="str">
        <f>IFERROR(VLOOKUP(VALUE(IF(X88&lt;1,1,0)&amp;IF(V88&lt;'Факт продаж'!$AE$24,0,1)),$AB$1:$AC$4,2,FALSE),"НЕТ ПРОДАЖ")</f>
        <v>Корова</v>
      </c>
      <c r="AE88" s="18" t="str">
        <f>IFERROR(VLOOKUP(VALUE(IF(Z88&lt;1,1,0)&amp;IF(V88&lt;'Факт продаж'!$AE$24,0,1)),$AB$1:$AC$4,2,FALSE),"НЕТ ПРОДАЖ")</f>
        <v>Звезда</v>
      </c>
      <c r="AF88" s="74" t="str">
        <f>VLOOKUP(B88,'ABC расчет'!B:G,6,0)</f>
        <v>C</v>
      </c>
      <c r="AG88" s="74" t="str">
        <f>VLOOKUP(B88,'ABC расчет'!K:P,6,0)</f>
        <v>B</v>
      </c>
      <c r="AH88" s="74" t="str">
        <f>VLOOKUP(B88,'ABC расчет'!T:Y,6,0)</f>
        <v>B</v>
      </c>
      <c r="AI88" s="74" t="str">
        <f>VLOOKUP(B88,'ABC расчет'!AC:AH,6,0)</f>
        <v>B</v>
      </c>
      <c r="AJ88" s="74"/>
      <c r="AK88" s="74"/>
      <c r="AL88" s="19"/>
    </row>
    <row r="89" spans="1:38" x14ac:dyDescent="0.3">
      <c r="A89" s="51" t="s">
        <v>251</v>
      </c>
      <c r="B89" s="21" t="s">
        <v>67</v>
      </c>
      <c r="C89" s="20">
        <f>IFERROR(VLOOKUP(B89,'Факт продаж'!A:B,2,0),"нет продаж")</f>
        <v>1</v>
      </c>
      <c r="D89" s="47">
        <f>IFERROR(VLOOKUP(B89,'Факт продаж'!A:C,3,0),"нет продаж")</f>
        <v>8085.4246000000003</v>
      </c>
      <c r="E89" s="47">
        <f>IFERROR(VLOOKUP(B89,'Факт продаж'!A:E,5,0),"нет продаж")</f>
        <v>3286.7128873000252</v>
      </c>
      <c r="F89" s="25">
        <f>IFERROR(VLOOKUP(B89,'Факт продаж'!A:C,3,0)/SUM('План Антонова'!$C$11:$C$13),0)</f>
        <v>6.1393485463741757E-5</v>
      </c>
      <c r="G89" s="5">
        <f>IFERROR(VLOOKUP(B89,'Факт продаж'!J:K,2,0),"нет продаж")</f>
        <v>49</v>
      </c>
      <c r="H89" s="48">
        <f>IFERROR(VLOOKUP(B89,'Факт продаж'!J:L,3,0),"нет продаж")</f>
        <v>413159.4</v>
      </c>
      <c r="I89" s="48">
        <f>IFERROR(VLOOKUP(B89,'Факт продаж'!J:N,5,0),"нет продаж")</f>
        <v>173761.05229793306</v>
      </c>
      <c r="J89" s="7">
        <f>IFERROR(VLOOKUP(B89,'Факт продаж'!J:L,3,0)/SUM('План Антонова'!$C$14:$C$16),0)</f>
        <v>2.8528079100390872E-3</v>
      </c>
      <c r="K89" s="44">
        <f>IFERROR(VLOOKUP(B89,'Факт продаж'!J:O,6,0),"-")</f>
        <v>51.867730847240082</v>
      </c>
      <c r="L89" s="44">
        <f>IF(AND(F89=0,J89&gt;0),5,IF(J89/F89&gt;5,5,IF(J89/F89=0,0.0000001,J89/F89)))</f>
        <v>5</v>
      </c>
      <c r="M89" s="5">
        <f>IFERROR(VLOOKUP(B89,'Факт продаж'!S:T,2,0),"нет продаж")</f>
        <v>73</v>
      </c>
      <c r="N89" s="48">
        <f>IFERROR(VLOOKUP(B89,'Факт продаж'!S:U,3,0),"нет продаж")</f>
        <v>635965.61670000001</v>
      </c>
      <c r="O89" s="48">
        <f>IFERROR(VLOOKUP(B89,'Факт продаж'!S:W,5,0),"нет продаж")</f>
        <v>279423.69854574394</v>
      </c>
      <c r="P89" s="7">
        <f>IFERROR(VLOOKUP(B89,'Факт продаж'!S:U,3,0)/SUM('План Антонова'!$C$17:$C$19),0)</f>
        <v>3.8736986032953265E-3</v>
      </c>
      <c r="Q89" s="44">
        <f>IFERROR(VLOOKUP(B89,'Факт продаж'!S:X,6,0),"-")</f>
        <v>0.60809165719507896</v>
      </c>
      <c r="R89" s="44">
        <f>IF(AND(J89=0,P89&gt;0),5,IF(P89/J89&gt;5,5,IF(P89/J89=0,0.0000001,P89/J89)))</f>
        <v>1.3578546910444635</v>
      </c>
      <c r="S89" s="16">
        <f>IFERROR(VLOOKUP(B89,'Факт продаж'!AB:AD,2,0),"нет продаж")</f>
        <v>56</v>
      </c>
      <c r="T89" s="16">
        <f>IFERROR(VLOOKUP(B89,'Факт продаж'!AB:AD,3,0),"нет продаж")</f>
        <v>500569.3</v>
      </c>
      <c r="U89" s="16">
        <f>IFERROR(VLOOKUP(B89,'Факт продаж'!AB:AF,5,0),"нет продаж")</f>
        <v>212419.35129625007</v>
      </c>
      <c r="V89" s="7">
        <f>IFERROR(VLOOKUP(B89,'Факт продаж'!AB:AD,3,0)/SUM('План Антонова'!$C$20:$C$22),0)</f>
        <v>3.2530483187305486E-3</v>
      </c>
      <c r="W89" s="44">
        <f>IFERROR(VLOOKUP(B89,'Факт продаж'!AB:AG,6,0),"-")</f>
        <v>-0.23979479048562058</v>
      </c>
      <c r="X89" s="44">
        <f>IF(AND(P89=0,V89&gt;0),5,IF(V89/P89&gt;5,5,IF(V89/P89=0,0.0000001,V89/P89)))</f>
        <v>0.83977837510724362</v>
      </c>
      <c r="Y89" s="44">
        <f>IFERROR(VLOOKUP(B89,'Факт продаж'!AB:AH,7,0),"-")</f>
        <v>63.629725376088047</v>
      </c>
      <c r="Z89" s="44">
        <f>IF(AND(F89=0,V89&gt;0),5,IF(V89/F89&gt;5,5,IF(V89/F89=0,0.0000001,V89/F89)))</f>
        <v>5</v>
      </c>
      <c r="AB89" s="10" t="str">
        <f>IFERROR(VLOOKUP(VALUE(IF(L89&lt;1,1,0)&amp;IF(J89&lt;'Факт продаж'!$M$24,0,1)),$AB$1:$AC$4,2,FALSE),"НЕТ ПРОДАЖ")</f>
        <v>Звезда</v>
      </c>
      <c r="AC89" s="10" t="str">
        <f>IFERROR(VLOOKUP(VALUE(IF(R89&lt;1,1,0)&amp;IF(P89&lt;'Факт продаж'!$V$24,0,1)),$AB$1:$AC$4,2,FALSE),"НЕТ ПРОДАЖ")</f>
        <v>Звезда</v>
      </c>
      <c r="AD89" s="10" t="str">
        <f>IFERROR(VLOOKUP(VALUE(IF(X89&lt;1,1,0)&amp;IF(V89&lt;'Факт продаж'!$AE$24,0,1)),$AB$1:$AC$4,2,FALSE),"НЕТ ПРОДАЖ")</f>
        <v>Корова</v>
      </c>
      <c r="AE89" s="18" t="str">
        <f>IFERROR(VLOOKUP(VALUE(IF(Z89&lt;1,1,0)&amp;IF(V89&lt;'Факт продаж'!$AE$24,0,1)),$AB$1:$AC$4,2,FALSE),"НЕТ ПРОДАЖ")</f>
        <v>Звезда</v>
      </c>
      <c r="AF89" s="74" t="str">
        <f>VLOOKUP(B89,'ABC расчет'!B:G,6,0)</f>
        <v>C</v>
      </c>
      <c r="AG89" s="74" t="str">
        <f>VLOOKUP(B89,'ABC расчет'!K:P,6,0)</f>
        <v>B</v>
      </c>
      <c r="AH89" s="74" t="str">
        <f>VLOOKUP(B89,'ABC расчет'!T:Y,6,0)</f>
        <v>B</v>
      </c>
      <c r="AI89" s="74" t="str">
        <f>VLOOKUP(B89,'ABC расчет'!AC:AH,6,0)</f>
        <v>B</v>
      </c>
      <c r="AJ89" s="74"/>
      <c r="AK89" s="74"/>
      <c r="AL89" s="19"/>
    </row>
    <row r="90" spans="1:38" ht="15" customHeight="1" x14ac:dyDescent="0.3">
      <c r="A90" s="51" t="s">
        <v>249</v>
      </c>
      <c r="B90" s="21" t="s">
        <v>285</v>
      </c>
      <c r="C90" s="20" t="str">
        <f>IFERROR(VLOOKUP(B90,'Факт продаж'!A:B,2,0),"нет продаж")</f>
        <v>нет продаж</v>
      </c>
      <c r="D90" s="47" t="str">
        <f>IFERROR(VLOOKUP(B90,'Факт продаж'!A:C,3,0),"нет продаж")</f>
        <v>нет продаж</v>
      </c>
      <c r="E90" s="47" t="str">
        <f>IFERROR(VLOOKUP(B90,'Факт продаж'!A:E,5,0),"нет продаж")</f>
        <v>нет продаж</v>
      </c>
      <c r="F90" s="25">
        <f>IFERROR(VLOOKUP(B90,'Факт продаж'!A:C,3,0)/SUM('План Антонова'!$C$11:$C$13),0)</f>
        <v>0</v>
      </c>
      <c r="G90" s="5">
        <f>IFERROR(VLOOKUP(B90,'Факт продаж'!J:K,2,0),"нет продаж")</f>
        <v>267</v>
      </c>
      <c r="H90" s="48">
        <f>IFERROR(VLOOKUP(B90,'Факт продаж'!J:L,3,0),"нет продаж")</f>
        <v>750675.75</v>
      </c>
      <c r="I90" s="48">
        <f>IFERROR(VLOOKUP(B90,'Факт продаж'!J:N,5,0),"нет продаж")</f>
        <v>346830.27334848809</v>
      </c>
      <c r="J90" s="7">
        <f>IFERROR(VLOOKUP(B90,'Факт продаж'!J:L,3,0)/SUM('План Антонова'!$C$14:$C$16),0)</f>
        <v>5.1833111323971431E-3</v>
      </c>
      <c r="K90" s="44">
        <f>IFERROR(VLOOKUP(B90,'Факт продаж'!J:O,6,0),"-")</f>
        <v>1</v>
      </c>
      <c r="L90" s="44">
        <f>IF(AND(F90=0,J90&gt;0),5,IF(J90/F90&gt;5,5,IF(J90/F90=0,0.0000001,J90/F90)))</f>
        <v>5</v>
      </c>
      <c r="M90" s="5">
        <f>IFERROR(VLOOKUP(B90,'Факт продаж'!S:T,2,0),"нет продаж")</f>
        <v>202</v>
      </c>
      <c r="N90" s="48">
        <f>IFERROR(VLOOKUP(B90,'Факт продаж'!S:U,3,0),"нет продаж")</f>
        <v>554218.92000000004</v>
      </c>
      <c r="O90" s="48">
        <f>IFERROR(VLOOKUP(B90,'Факт продаж'!S:W,5,0),"нет продаж")</f>
        <v>186728.72932812385</v>
      </c>
      <c r="P90" s="7">
        <f>IFERROR(VLOOKUP(B90,'Факт продаж'!S:U,3,0)/SUM('План Антонова'!$C$17:$C$19),0)</f>
        <v>3.3757753563217821E-3</v>
      </c>
      <c r="Q90" s="44">
        <f>IFERROR(VLOOKUP(B90,'Факт продаж'!S:X,6,0),"-")</f>
        <v>-0.46161352201080041</v>
      </c>
      <c r="R90" s="44">
        <f>IF(AND(J90=0,P90&gt;0),5,IF(P90/J90&gt;5,5,IF(P90/J90=0,0.0000001,P90/J90)))</f>
        <v>0.65127777787102969</v>
      </c>
      <c r="S90" s="16">
        <f>IFERROR(VLOOKUP(B90,'Факт продаж'!AB:AD,2,0),"нет продаж")</f>
        <v>192</v>
      </c>
      <c r="T90" s="16">
        <f>IFERROR(VLOOKUP(B90,'Факт продаж'!AB:AD,3,0),"нет продаж")</f>
        <v>581432.80000000005</v>
      </c>
      <c r="U90" s="16">
        <f>IFERROR(VLOOKUP(B90,'Факт продаж'!AB:AF,5,0),"нет продаж")</f>
        <v>209985.33608959441</v>
      </c>
      <c r="V90" s="7">
        <f>IFERROR(VLOOKUP(B90,'Факт продаж'!AB:AD,3,0)/SUM('План Антонова'!$C$20:$C$22),0)</f>
        <v>3.7785557214451535E-3</v>
      </c>
      <c r="W90" s="44">
        <f>IFERROR(VLOOKUP(B90,'Факт продаж'!AB:AG,6,0),"-")</f>
        <v>0.12454755540377249</v>
      </c>
      <c r="X90" s="44">
        <f>IF(AND(P90=0,V90&gt;0),5,IF(V90/P90&gt;5,5,IF(V90/P90=0,0.0000001,V90/P90)))</f>
        <v>1.1193149195692447</v>
      </c>
      <c r="Y90" s="44">
        <f>IFERROR(VLOOKUP(B90,'Факт продаж'!AB:AH,7,0),"-")</f>
        <v>1</v>
      </c>
      <c r="Z90" s="44">
        <f>IF(AND(F90=0,V90&gt;0),5,IF(V90/F90&gt;5,5,IF(V90/F90=0,0.0000001,V90/F90)))</f>
        <v>5</v>
      </c>
      <c r="AB90" s="10" t="str">
        <f>IFERROR(VLOOKUP(VALUE(IF(L90&lt;1,1,0)&amp;IF(J90&lt;'Факт продаж'!$M$24,0,1)),$AB$1:$AC$4,2,FALSE),"НЕТ ПРОДАЖ")</f>
        <v>Звезда</v>
      </c>
      <c r="AC90" s="10" t="str">
        <f>IFERROR(VLOOKUP(VALUE(IF(R90&lt;1,1,0)&amp;IF(P90&lt;'Факт продаж'!$V$24,0,1)),$AB$1:$AC$4,2,FALSE),"НЕТ ПРОДАЖ")</f>
        <v>Корова</v>
      </c>
      <c r="AD90" s="10" t="str">
        <f>IFERROR(VLOOKUP(VALUE(IF(X90&lt;1,1,0)&amp;IF(V90&lt;'Факт продаж'!$AE$24,0,1)),$AB$1:$AC$4,2,FALSE),"НЕТ ПРОДАЖ")</f>
        <v>Звезда</v>
      </c>
      <c r="AE90" s="18" t="str">
        <f>IFERROR(VLOOKUP(VALUE(IF(Z90&lt;1,1,0)&amp;IF(V90&lt;'Факт продаж'!$AE$24,0,1)),$AB$1:$AC$4,2,FALSE),"НЕТ ПРОДАЖ")</f>
        <v>Звезда</v>
      </c>
      <c r="AF90" s="74" t="str">
        <f>VLOOKUP(B90,'ABC расчет'!B:G,6,0)</f>
        <v>C</v>
      </c>
      <c r="AG90" s="74" t="str">
        <f>VLOOKUP(B90,'ABC расчет'!K:P,6,0)</f>
        <v>B</v>
      </c>
      <c r="AH90" s="74" t="str">
        <f>VLOOKUP(B90,'ABC расчет'!T:Y,6,0)</f>
        <v>A</v>
      </c>
      <c r="AI90" s="74" t="str">
        <f>VLOOKUP(B90,'ABC расчет'!AC:AH,6,0)</f>
        <v>A</v>
      </c>
      <c r="AJ90" s="74" t="s">
        <v>452</v>
      </c>
      <c r="AK90" s="74"/>
      <c r="AL90" s="19"/>
    </row>
    <row r="91" spans="1:38" x14ac:dyDescent="0.3">
      <c r="A91" s="51" t="s">
        <v>251</v>
      </c>
      <c r="B91" s="21" t="s">
        <v>37</v>
      </c>
      <c r="C91" s="20">
        <f>IFERROR(VLOOKUP(B91,'Факт продаж'!A:B,2,0),"нет продаж")</f>
        <v>27</v>
      </c>
      <c r="D91" s="47">
        <f>IFERROR(VLOOKUP(B91,'Факт продаж'!A:C,3,0),"нет продаж")</f>
        <v>214456.94770000002</v>
      </c>
      <c r="E91" s="47">
        <f>IFERROR(VLOOKUP(B91,'Факт продаж'!A:E,5,0),"нет продаж")</f>
        <v>88950.184494025743</v>
      </c>
      <c r="F91" s="25">
        <f>IFERROR(VLOOKUP(B91,'Факт продаж'!A:C,3,0)/SUM('План Антонова'!$C$11:$C$13),0)</f>
        <v>1.6283943209634748E-3</v>
      </c>
      <c r="G91" s="5">
        <f>IFERROR(VLOOKUP(B91,'Факт продаж'!J:K,2,0),"нет продаж")</f>
        <v>52</v>
      </c>
      <c r="H91" s="48">
        <f>IFERROR(VLOOKUP(B91,'Факт продаж'!J:L,3,0),"нет продаж")</f>
        <v>543235.19999999995</v>
      </c>
      <c r="I91" s="48">
        <f>IFERROR(VLOOKUP(B91,'Факт продаж'!J:N,5,0),"нет продаж")</f>
        <v>281942.93950987491</v>
      </c>
      <c r="J91" s="7">
        <f>IFERROR(VLOOKUP(B91,'Факт продаж'!J:L,3,0)/SUM('План Антонова'!$C$14:$C$16),0)</f>
        <v>3.7509631284479194E-3</v>
      </c>
      <c r="K91" s="44">
        <f>IFERROR(VLOOKUP(B91,'Факт продаж'!J:O,6,0),"-")</f>
        <v>2.1696723409135967</v>
      </c>
      <c r="L91" s="44">
        <f>IF(AND(F91=0,J91&gt;0),5,IF(J91/F91&gt;5,5,IF(J91/F91=0,0.0000001,J91/F91)))</f>
        <v>2.3034734770068348</v>
      </c>
      <c r="M91" s="5">
        <f>IFERROR(VLOOKUP(B91,'Факт продаж'!S:T,2,0),"нет продаж")</f>
        <v>47</v>
      </c>
      <c r="N91" s="48">
        <f>IFERROR(VLOOKUP(B91,'Факт продаж'!S:U,3,0),"нет продаж")</f>
        <v>535392.33000000007</v>
      </c>
      <c r="O91" s="48">
        <f>IFERROR(VLOOKUP(B91,'Факт продаж'!S:W,5,0),"нет продаж")</f>
        <v>294121.68784192472</v>
      </c>
      <c r="P91" s="7">
        <f>IFERROR(VLOOKUP(B91,'Факт продаж'!S:U,3,0)/SUM('План Антонова'!$C$17:$C$19),0)</f>
        <v>3.2611016483841786E-3</v>
      </c>
      <c r="Q91" s="44">
        <f>IFERROR(VLOOKUP(B91,'Факт продаж'!S:X,6,0),"-")</f>
        <v>4.3195791152710328E-2</v>
      </c>
      <c r="R91" s="44">
        <f>IF(AND(J91=0,P91&gt;0),5,IF(P91/J91&gt;5,5,IF(P91/J91=0,0.0000001,P91/J91)))</f>
        <v>0.86940381355696328</v>
      </c>
      <c r="S91" s="16">
        <f>IFERROR(VLOOKUP(B91,'Факт продаж'!AB:AD,2,0),"нет продаж")</f>
        <v>33</v>
      </c>
      <c r="T91" s="16">
        <f>IFERROR(VLOOKUP(B91,'Факт продаж'!AB:AD,3,0),"нет продаж")</f>
        <v>382478</v>
      </c>
      <c r="U91" s="16">
        <f>IFERROR(VLOOKUP(B91,'Факт продаж'!AB:AF,5,0),"нет продаж")</f>
        <v>205358.98501052576</v>
      </c>
      <c r="V91" s="7">
        <f>IFERROR(VLOOKUP(B91,'Факт продаж'!AB:AD,3,0)/SUM('План Антонова'!$C$20:$C$22),0)</f>
        <v>2.4856087156192416E-3</v>
      </c>
      <c r="W91" s="44">
        <f>IFERROR(VLOOKUP(B91,'Факт продаж'!AB:AG,6,0),"-")</f>
        <v>-0.30178904344892898</v>
      </c>
      <c r="X91" s="44">
        <f>IF(AND(P91=0,V91&gt;0),5,IF(V91/P91&gt;5,5,IF(V91/P91=0,0.0000001,V91/P91)))</f>
        <v>0.76219909209233616</v>
      </c>
      <c r="Y91" s="44">
        <f>IFERROR(VLOOKUP(B91,'Факт продаж'!AB:AH,7,0),"-")</f>
        <v>1.308696560649838</v>
      </c>
      <c r="Z91" s="44">
        <f>IF(AND(F91=0,V91&gt;0),5,IF(V91/F91&gt;5,5,IF(V91/F91=0,0.0000001,V91/F91)))</f>
        <v>1.5264169640118723</v>
      </c>
      <c r="AB91" s="10" t="str">
        <f>IFERROR(VLOOKUP(VALUE(IF(L91&lt;1,1,0)&amp;IF(J91&lt;'Факт продаж'!$M$24,0,1)),$AB$1:$AC$4,2,FALSE),"НЕТ ПРОДАЖ")</f>
        <v>Звезда</v>
      </c>
      <c r="AC91" s="10" t="str">
        <f>IFERROR(VLOOKUP(VALUE(IF(R91&lt;1,1,0)&amp;IF(P91&lt;'Факт продаж'!$V$24,0,1)),$AB$1:$AC$4,2,FALSE),"НЕТ ПРОДАЖ")</f>
        <v>Корова</v>
      </c>
      <c r="AD91" s="10" t="str">
        <f>IFERROR(VLOOKUP(VALUE(IF(X91&lt;1,1,0)&amp;IF(V91&lt;'Факт продаж'!$AE$24,0,1)),$AB$1:$AC$4,2,FALSE),"НЕТ ПРОДАЖ")</f>
        <v>Корова</v>
      </c>
      <c r="AE91" s="18" t="str">
        <f>IFERROR(VLOOKUP(VALUE(IF(Z91&lt;1,1,0)&amp;IF(V91&lt;'Факт продаж'!$AE$24,0,1)),$AB$1:$AC$4,2,FALSE),"НЕТ ПРОДАЖ")</f>
        <v>Звезда</v>
      </c>
      <c r="AF91" s="74" t="str">
        <f>VLOOKUP(B91,'ABC расчет'!B:G,6,0)</f>
        <v>B</v>
      </c>
      <c r="AG91" s="74" t="str">
        <f>VLOOKUP(B91,'ABC расчет'!K:P,6,0)</f>
        <v>B</v>
      </c>
      <c r="AH91" s="74" t="str">
        <f>VLOOKUP(B91,'ABC расчет'!T:Y,6,0)</f>
        <v>B</v>
      </c>
      <c r="AI91" s="74" t="str">
        <f>VLOOKUP(B91,'ABC расчет'!AC:AH,6,0)</f>
        <v>B</v>
      </c>
      <c r="AJ91" s="74"/>
      <c r="AK91" s="74"/>
      <c r="AL91" s="19"/>
    </row>
    <row r="92" spans="1:38" x14ac:dyDescent="0.3">
      <c r="A92" s="51" t="s">
        <v>116</v>
      </c>
      <c r="B92" s="21" t="s">
        <v>126</v>
      </c>
      <c r="C92" s="20">
        <f>IFERROR(VLOOKUP(B92,'Факт продаж'!A:B,2,0),"нет продаж")</f>
        <v>104</v>
      </c>
      <c r="D92" s="47">
        <f>IFERROR(VLOOKUP(B92,'Факт продаж'!A:C,3,0),"нет продаж")</f>
        <v>178701.54430000001</v>
      </c>
      <c r="E92" s="47">
        <f>IFERROR(VLOOKUP(B92,'Факт продаж'!A:E,5,0),"нет продаж")</f>
        <v>57004.908221465026</v>
      </c>
      <c r="F92" s="25">
        <f>IFERROR(VLOOKUP(B92,'Факт продаж'!A:C,3,0)/SUM('План Антонова'!$C$11:$C$13),0)</f>
        <v>1.3568997554352623E-3</v>
      </c>
      <c r="G92" s="5">
        <f>IFERROR(VLOOKUP(B92,'Факт продаж'!J:K,2,0),"нет продаж")</f>
        <v>279</v>
      </c>
      <c r="H92" s="48">
        <f>IFERROR(VLOOKUP(B92,'Факт продаж'!J:L,3,0),"нет продаж")</f>
        <v>712236.55</v>
      </c>
      <c r="I92" s="48">
        <f>IFERROR(VLOOKUP(B92,'Факт продаж'!J:N,5,0),"нет продаж")</f>
        <v>336992.71131046227</v>
      </c>
      <c r="J92" s="7">
        <f>IFERROR(VLOOKUP(B92,'Факт продаж'!J:L,3,0)/SUM('План Антонова'!$C$14:$C$16),0)</f>
        <v>4.9178938290135718E-3</v>
      </c>
      <c r="K92" s="44">
        <f>IFERROR(VLOOKUP(B92,'Факт продаж'!J:O,6,0),"-")</f>
        <v>4.9116437833956317</v>
      </c>
      <c r="L92" s="44">
        <f>IF(AND(F92=0,J92&gt;0),5,IF(J92/F92&gt;5,5,IF(J92/F92=0,0.0000001,J92/F92)))</f>
        <v>3.6243604653285715</v>
      </c>
      <c r="M92" s="5">
        <f>IFERROR(VLOOKUP(B92,'Факт продаж'!S:T,2,0),"нет продаж")</f>
        <v>291</v>
      </c>
      <c r="N92" s="48">
        <f>IFERROR(VLOOKUP(B92,'Факт продаж'!S:U,3,0),"нет продаж")</f>
        <v>819027.05</v>
      </c>
      <c r="O92" s="48">
        <f>IFERROR(VLOOKUP(B92,'Факт продаж'!S:W,5,0),"нет продаж")</f>
        <v>338848.91365770029</v>
      </c>
      <c r="P92" s="7">
        <f>IFERROR(VLOOKUP(B92,'Факт продаж'!S:U,3,0)/SUM('План Антонова'!$C$17:$C$19),0)</f>
        <v>4.9887350138658705E-3</v>
      </c>
      <c r="Q92" s="44">
        <f>IFERROR(VLOOKUP(B92,'Факт продаж'!S:X,6,0),"-")</f>
        <v>5.5081379654171592E-3</v>
      </c>
      <c r="R92" s="44">
        <f>IF(AND(J92=0,P92&gt;0),5,IF(P92/J92&gt;5,5,IF(P92/J92=0,0.0000001,P92/J92)))</f>
        <v>1.0144047812570423</v>
      </c>
      <c r="S92" s="16">
        <f>IFERROR(VLOOKUP(B92,'Факт продаж'!AB:AD,2,0),"нет продаж")</f>
        <v>171</v>
      </c>
      <c r="T92" s="16">
        <f>IFERROR(VLOOKUP(B92,'Факт продаж'!AB:AD,3,0),"нет продаж")</f>
        <v>496168.2</v>
      </c>
      <c r="U92" s="16">
        <f>IFERROR(VLOOKUP(B92,'Факт продаж'!AB:AF,5,0),"нет продаж")</f>
        <v>204215.61432009179</v>
      </c>
      <c r="V92" s="7">
        <f>IFERROR(VLOOKUP(B92,'Факт продаж'!AB:AD,3,0)/SUM('План Антонова'!$C$20:$C$22),0)</f>
        <v>3.2244469023920619E-3</v>
      </c>
      <c r="W92" s="44">
        <f>IFERROR(VLOOKUP(B92,'Факт продаж'!AB:AG,6,0),"-")</f>
        <v>-0.39732545660043905</v>
      </c>
      <c r="X92" s="44">
        <f>IF(AND(P92=0,V92&gt;0),5,IF(V92/P92&gt;5,5,IF(V92/P92=0,0.0000001,V92/P92)))</f>
        <v>0.64634559531222191</v>
      </c>
      <c r="Y92" s="44">
        <f>IFERROR(VLOOKUP(B92,'Факт продаж'!AB:AH,7,0),"-")</f>
        <v>2.5824215965178068</v>
      </c>
      <c r="Z92" s="44">
        <f>IF(AND(F92=0,V92&gt;0),5,IF(V92/F92&gt;5,5,IF(V92/F92=0,0.0000001,V92/F92)))</f>
        <v>2.3763339107963311</v>
      </c>
      <c r="AB92" s="10" t="str">
        <f>IFERROR(VLOOKUP(VALUE(IF(L92&lt;1,1,0)&amp;IF(J92&lt;'Факт продаж'!$M$24,0,1)),$AB$1:$AC$4,2,FALSE),"НЕТ ПРОДАЖ")</f>
        <v>Звезда</v>
      </c>
      <c r="AC92" s="10" t="str">
        <f>IFERROR(VLOOKUP(VALUE(IF(R92&lt;1,1,0)&amp;IF(P92&lt;'Факт продаж'!$V$24,0,1)),$AB$1:$AC$4,2,FALSE),"НЕТ ПРОДАЖ")</f>
        <v>Звезда</v>
      </c>
      <c r="AD92" s="10" t="str">
        <f>IFERROR(VLOOKUP(VALUE(IF(X92&lt;1,1,0)&amp;IF(V92&lt;'Факт продаж'!$AE$24,0,1)),$AB$1:$AC$4,2,FALSE),"НЕТ ПРОДАЖ")</f>
        <v>Корова</v>
      </c>
      <c r="AE92" s="18" t="str">
        <f>IFERROR(VLOOKUP(VALUE(IF(Z92&lt;1,1,0)&amp;IF(V92&lt;'Факт продаж'!$AE$24,0,1)),$AB$1:$AC$4,2,FALSE),"НЕТ ПРОДАЖ")</f>
        <v>Звезда</v>
      </c>
      <c r="AF92" s="74" t="str">
        <f>VLOOKUP(B92,'ABC расчет'!B:G,6,0)</f>
        <v>B</v>
      </c>
      <c r="AG92" s="74" t="str">
        <f>VLOOKUP(B92,'ABC расчет'!K:P,6,0)</f>
        <v>B</v>
      </c>
      <c r="AH92" s="74" t="str">
        <f>VLOOKUP(B92,'ABC расчет'!T:Y,6,0)</f>
        <v>A</v>
      </c>
      <c r="AI92" s="74" t="str">
        <f>VLOOKUP(B92,'ABC расчет'!AC:AH,6,0)</f>
        <v>B</v>
      </c>
      <c r="AJ92" s="74"/>
      <c r="AK92" s="74"/>
      <c r="AL92" s="19"/>
    </row>
    <row r="93" spans="1:38" x14ac:dyDescent="0.3">
      <c r="A93" s="51" t="s">
        <v>251</v>
      </c>
      <c r="B93" s="21" t="s">
        <v>327</v>
      </c>
      <c r="C93" s="20">
        <f>IFERROR(VLOOKUP(B93,'Факт продаж'!A:B,2,0),"нет продаж")</f>
        <v>158</v>
      </c>
      <c r="D93" s="47">
        <f>IFERROR(VLOOKUP(B93,'Факт продаж'!A:C,3,0),"нет продаж")</f>
        <v>345749.7071</v>
      </c>
      <c r="E93" s="47">
        <f>IFERROR(VLOOKUP(B93,'Факт продаж'!A:E,5,0),"нет продаж")</f>
        <v>138444.99835632491</v>
      </c>
      <c r="F93" s="25">
        <f>IFERROR(VLOOKUP(B93,'Факт продаж'!A:C,3,0)/SUM('План Антонова'!$C$11:$C$13),0)</f>
        <v>2.6253141507171828E-3</v>
      </c>
      <c r="G93" s="5">
        <f>IFERROR(VLOOKUP(B93,'Факт продаж'!J:K,2,0),"нет продаж")</f>
        <v>169</v>
      </c>
      <c r="H93" s="48">
        <f>IFERROR(VLOOKUP(B93,'Факт продаж'!J:L,3,0),"нет продаж")</f>
        <v>484054.3</v>
      </c>
      <c r="I93" s="48">
        <f>IFERROR(VLOOKUP(B93,'Факт продаж'!J:N,5,0),"нет продаж")</f>
        <v>223884.07633790956</v>
      </c>
      <c r="J93" s="7">
        <f>IFERROR(VLOOKUP(B93,'Факт продаж'!J:L,3,0)/SUM('План Антонова'!$C$14:$C$16),0)</f>
        <v>3.3423272856152688E-3</v>
      </c>
      <c r="K93" s="44">
        <f>IFERROR(VLOOKUP(B93,'Факт продаж'!J:O,6,0),"-")</f>
        <v>0.61713372816607315</v>
      </c>
      <c r="L93" s="44">
        <f>IF(AND(F93=0,J93&gt;0),5,IF(J93/F93&gt;5,5,IF(J93/F93=0,0.0000001,J93/F93)))</f>
        <v>1.2731151754551784</v>
      </c>
      <c r="M93" s="5">
        <f>IFERROR(VLOOKUP(B93,'Факт продаж'!S:T,2,0),"нет продаж")</f>
        <v>134</v>
      </c>
      <c r="N93" s="48">
        <f>IFERROR(VLOOKUP(B93,'Факт продаж'!S:U,3,0),"нет продаж")</f>
        <v>404400.60000000003</v>
      </c>
      <c r="O93" s="48">
        <f>IFERROR(VLOOKUP(B93,'Факт продаж'!S:W,5,0),"нет продаж")</f>
        <v>181714.77034999116</v>
      </c>
      <c r="P93" s="7">
        <f>IFERROR(VLOOKUP(B93,'Факт продаж'!S:U,3,0)/SUM('План Антонова'!$C$17:$C$19),0)</f>
        <v>2.4632244232328671E-3</v>
      </c>
      <c r="Q93" s="44">
        <f>IFERROR(VLOOKUP(B93,'Факт продаж'!S:X,6,0),"-")</f>
        <v>-0.18835330621849145</v>
      </c>
      <c r="R93" s="44">
        <f>IF(AND(J93=0,P93&gt;0),5,IF(P93/J93&gt;5,5,IF(P93/J93=0,0.0000001,P93/J93)))</f>
        <v>0.73697882126448522</v>
      </c>
      <c r="S93" s="16">
        <f>IFERROR(VLOOKUP(B93,'Факт продаж'!AB:AD,2,0),"нет продаж")</f>
        <v>143</v>
      </c>
      <c r="T93" s="16">
        <f>IFERROR(VLOOKUP(B93,'Факт продаж'!AB:AD,3,0),"нет продаж")</f>
        <v>450023.6</v>
      </c>
      <c r="U93" s="16">
        <f>IFERROR(VLOOKUP(B93,'Факт продаж'!AB:AF,5,0),"нет продаж")</f>
        <v>203674.94142299</v>
      </c>
      <c r="V93" s="7">
        <f>IFERROR(VLOOKUP(B93,'Факт продаж'!AB:AD,3,0)/SUM('План Антонова'!$C$20:$C$22),0)</f>
        <v>2.9245671186168805E-3</v>
      </c>
      <c r="W93" s="44">
        <f>IFERROR(VLOOKUP(B93,'Факт продаж'!AB:AG,6,0),"-")</f>
        <v>0.12084967573468308</v>
      </c>
      <c r="X93" s="44">
        <f>IF(AND(P93=0,V93&gt;0),5,IF(V93/P93&gt;5,5,IF(V93/P93=0,0.0000001,V93/P93)))</f>
        <v>1.1872921894703052</v>
      </c>
      <c r="Y93" s="44">
        <f>IFERROR(VLOOKUP(B93,'Факт продаж'!AB:AH,7,0),"-")</f>
        <v>0.47116142757847079</v>
      </c>
      <c r="Z93" s="44">
        <f>IF(AND(F93=0,V93&gt;0),5,IF(V93/F93&gt;5,5,IF(V93/F93=0,0.0000001,V93/F93)))</f>
        <v>1.113987489008867</v>
      </c>
      <c r="AB93" s="10" t="str">
        <f>IFERROR(VLOOKUP(VALUE(IF(L93&lt;1,1,0)&amp;IF(J93&lt;'Факт продаж'!$M$24,0,1)),$AB$1:$AC$4,2,FALSE),"НЕТ ПРОДАЖ")</f>
        <v>Звезда</v>
      </c>
      <c r="AC93" s="10" t="str">
        <f>IFERROR(VLOOKUP(VALUE(IF(R93&lt;1,1,0)&amp;IF(P93&lt;'Факт продаж'!$V$24,0,1)),$AB$1:$AC$4,2,FALSE),"НЕТ ПРОДАЖ")</f>
        <v>Корова</v>
      </c>
      <c r="AD93" s="10" t="str">
        <f>IFERROR(VLOOKUP(VALUE(IF(X93&lt;1,1,0)&amp;IF(V93&lt;'Факт продаж'!$AE$24,0,1)),$AB$1:$AC$4,2,FALSE),"НЕТ ПРОДАЖ")</f>
        <v>Звезда</v>
      </c>
      <c r="AE93" s="18" t="str">
        <f>IFERROR(VLOOKUP(VALUE(IF(Z93&lt;1,1,0)&amp;IF(V93&lt;'Факт продаж'!$AE$24,0,1)),$AB$1:$AC$4,2,FALSE),"НЕТ ПРОДАЖ")</f>
        <v>Звезда</v>
      </c>
      <c r="AF93" s="74" t="str">
        <f>VLOOKUP(B93,'ABC расчет'!B:G,6,0)</f>
        <v>A</v>
      </c>
      <c r="AG93" s="74" t="str">
        <f>VLOOKUP(B93,'ABC расчет'!K:P,6,0)</f>
        <v>B</v>
      </c>
      <c r="AH93" s="74" t="str">
        <f>VLOOKUP(B93,'ABC расчет'!T:Y,6,0)</f>
        <v>B</v>
      </c>
      <c r="AI93" s="74" t="str">
        <f>VLOOKUP(B93,'ABC расчет'!AC:AH,6,0)</f>
        <v>B</v>
      </c>
      <c r="AJ93" s="74"/>
      <c r="AK93" s="74"/>
      <c r="AL93" s="19"/>
    </row>
    <row r="94" spans="1:38" x14ac:dyDescent="0.3">
      <c r="A94" s="51" t="s">
        <v>250</v>
      </c>
      <c r="B94" s="21" t="s">
        <v>170</v>
      </c>
      <c r="C94" s="20">
        <f>IFERROR(VLOOKUP(B94,'Факт продаж'!A:B,2,0),"нет продаж")</f>
        <v>225</v>
      </c>
      <c r="D94" s="47">
        <f>IFERROR(VLOOKUP(B94,'Факт продаж'!A:C,3,0),"нет продаж")</f>
        <v>520646.34129999997</v>
      </c>
      <c r="E94" s="47">
        <f>IFERROR(VLOOKUP(B94,'Факт продаж'!A:E,5,0),"нет продаж")</f>
        <v>138982.02505669635</v>
      </c>
      <c r="F94" s="25">
        <f>IFERROR(VLOOKUP(B94,'Факт продаж'!A:C,3,0)/SUM('План Антонова'!$C$11:$C$13),0)</f>
        <v>3.9533228207151759E-3</v>
      </c>
      <c r="G94" s="5">
        <f>IFERROR(VLOOKUP(B94,'Факт продаж'!J:K,2,0),"нет продаж")</f>
        <v>45</v>
      </c>
      <c r="H94" s="48">
        <f>IFERROR(VLOOKUP(B94,'Факт продаж'!J:L,3,0),"нет продаж")</f>
        <v>148405.34000000003</v>
      </c>
      <c r="I94" s="48">
        <f>IFERROR(VLOOKUP(B94,'Факт продаж'!J:N,5,0),"нет продаж")</f>
        <v>80775.100074067537</v>
      </c>
      <c r="J94" s="7">
        <f>IFERROR(VLOOKUP(B94,'Факт продаж'!J:L,3,0)/SUM('План Антонова'!$C$14:$C$16),0)</f>
        <v>1.0247181302035975E-3</v>
      </c>
      <c r="K94" s="44">
        <f>IFERROR(VLOOKUP(B94,'Факт продаж'!J:O,6,0),"-")</f>
        <v>-0.41880901475484955</v>
      </c>
      <c r="L94" s="44">
        <f>IF(AND(F94=0,J94&gt;0),5,IF(J94/F94&gt;5,5,IF(J94/F94=0,0.0000001,J94/F94)))</f>
        <v>0.25920426352083759</v>
      </c>
      <c r="M94" s="5">
        <f>IFERROR(VLOOKUP(B94,'Факт продаж'!S:T,2,0),"нет продаж")</f>
        <v>98</v>
      </c>
      <c r="N94" s="48">
        <f>IFERROR(VLOOKUP(B94,'Факт продаж'!S:U,3,0),"нет продаж")</f>
        <v>312711.25</v>
      </c>
      <c r="O94" s="48">
        <f>IFERROR(VLOOKUP(B94,'Факт продаж'!S:W,5,0),"нет продаж")</f>
        <v>168781.4558278273</v>
      </c>
      <c r="P94" s="7">
        <f>IFERROR(VLOOKUP(B94,'Факт продаж'!S:U,3,0)/SUM('План Антонова'!$C$17:$C$19),0)</f>
        <v>1.904739974222785E-3</v>
      </c>
      <c r="Q94" s="44">
        <f>IFERROR(VLOOKUP(B94,'Факт продаж'!S:X,6,0),"-")</f>
        <v>1.0895233267809195</v>
      </c>
      <c r="R94" s="44">
        <f>IF(AND(J94=0,P94&gt;0),5,IF(P94/J94&gt;5,5,IF(P94/J94=0,0.0000001,P94/J94)))</f>
        <v>1.8587940606109306</v>
      </c>
      <c r="S94" s="16">
        <f>IFERROR(VLOOKUP(B94,'Факт продаж'!AB:AD,2,0),"нет продаж")</f>
        <v>117</v>
      </c>
      <c r="T94" s="16">
        <f>IFERROR(VLOOKUP(B94,'Факт продаж'!AB:AD,3,0),"нет продаж")</f>
        <v>387454.4</v>
      </c>
      <c r="U94" s="16">
        <f>IFERROR(VLOOKUP(B94,'Факт продаж'!AB:AF,5,0),"нет продаж")</f>
        <v>200725.66384675886</v>
      </c>
      <c r="V94" s="7">
        <f>IFERROR(VLOOKUP(B94,'Факт продаж'!AB:AD,3,0)/SUM('План Антонова'!$C$20:$C$22),0)</f>
        <v>2.5179488324688581E-3</v>
      </c>
      <c r="W94" s="44">
        <f>IFERROR(VLOOKUP(B94,'Факт продаж'!AB:AG,6,0),"-")</f>
        <v>0.18926373079467695</v>
      </c>
      <c r="X94" s="44">
        <f>IF(AND(P94=0,V94&gt;0),5,IF(V94/P94&gt;5,5,IF(V94/P94=0,0.0000001,V94/P94)))</f>
        <v>1.3219383572271004</v>
      </c>
      <c r="Y94" s="44">
        <f>IFERROR(VLOOKUP(B94,'Факт продаж'!AB:AH,7,0),"-")</f>
        <v>0.44425628972433517</v>
      </c>
      <c r="Z94" s="44">
        <f>IF(AND(F94=0,V94&gt;0),5,IF(V94/F94&gt;5,5,IF(V94/F94=0,0.0000001,V94/F94)))</f>
        <v>0.63691961083343773</v>
      </c>
      <c r="AB94" s="10" t="str">
        <f>IFERROR(VLOOKUP(VALUE(IF(L94&lt;1,1,0)&amp;IF(J94&lt;'Факт продаж'!$M$24,0,1)),$AB$1:$AC$4,2,FALSE),"НЕТ ПРОДАЖ")</f>
        <v>Корова</v>
      </c>
      <c r="AC94" s="10" t="str">
        <f>IFERROR(VLOOKUP(VALUE(IF(R94&lt;1,1,0)&amp;IF(P94&lt;'Факт продаж'!$V$24,0,1)),$AB$1:$AC$4,2,FALSE),"НЕТ ПРОДАЖ")</f>
        <v>Звезда</v>
      </c>
      <c r="AD94" s="10" t="str">
        <f>IFERROR(VLOOKUP(VALUE(IF(X94&lt;1,1,0)&amp;IF(V94&lt;'Факт продаж'!$AE$24,0,1)),$AB$1:$AC$4,2,FALSE),"НЕТ ПРОДАЖ")</f>
        <v>Звезда</v>
      </c>
      <c r="AE94" s="18" t="str">
        <f>IFERROR(VLOOKUP(VALUE(IF(Z94&lt;1,1,0)&amp;IF(V94&lt;'Факт продаж'!$AE$24,0,1)),$AB$1:$AC$4,2,FALSE),"НЕТ ПРОДАЖ")</f>
        <v>Корова</v>
      </c>
      <c r="AF94" s="74" t="str">
        <f>VLOOKUP(B94,'ABC расчет'!B:G,6,0)</f>
        <v>A</v>
      </c>
      <c r="AG94" s="74" t="str">
        <f>VLOOKUP(B94,'ABC расчет'!K:P,6,0)</f>
        <v>C</v>
      </c>
      <c r="AH94" s="74" t="str">
        <f>VLOOKUP(B94,'ABC расчет'!T:Y,6,0)</f>
        <v>B</v>
      </c>
      <c r="AI94" s="74" t="str">
        <f>VLOOKUP(B94,'ABC расчет'!AC:AH,6,0)</f>
        <v>B</v>
      </c>
      <c r="AJ94" s="74"/>
      <c r="AK94" s="74"/>
      <c r="AL94" s="19"/>
    </row>
    <row r="95" spans="1:38" x14ac:dyDescent="0.3">
      <c r="A95" s="51" t="s">
        <v>251</v>
      </c>
      <c r="B95" s="21" t="s">
        <v>145</v>
      </c>
      <c r="C95" s="20">
        <f>IFERROR(VLOOKUP(B95,'Факт продаж'!A:B,2,0),"нет продаж")</f>
        <v>4</v>
      </c>
      <c r="D95" s="47">
        <f>IFERROR(VLOOKUP(B95,'Факт продаж'!A:C,3,0),"нет продаж")</f>
        <v>18115.555899999999</v>
      </c>
      <c r="E95" s="47">
        <f>IFERROR(VLOOKUP(B95,'Факт продаж'!A:E,5,0),"нет продаж")</f>
        <v>7719.0883766353954</v>
      </c>
      <c r="F95" s="25">
        <f>IFERROR(VLOOKUP(B95,'Факт продаж'!A:C,3,0)/SUM('План Антонова'!$C$11:$C$13),0)</f>
        <v>1.3755333490021675E-4</v>
      </c>
      <c r="G95" s="5">
        <f>IFERROR(VLOOKUP(B95,'Факт продаж'!J:K,2,0),"нет продаж")</f>
        <v>67</v>
      </c>
      <c r="H95" s="48">
        <f>IFERROR(VLOOKUP(B95,'Факт продаж'!J:L,3,0),"нет продаж")</f>
        <v>357585.9</v>
      </c>
      <c r="I95" s="48">
        <f>IFERROR(VLOOKUP(B95,'Факт продаж'!J:N,5,0),"нет продаж")</f>
        <v>160867.64721987597</v>
      </c>
      <c r="J95" s="7">
        <f>IFERROR(VLOOKUP(B95,'Факт продаж'!J:L,3,0)/SUM('План Антонова'!$C$14:$C$16),0)</f>
        <v>2.469080660003006E-3</v>
      </c>
      <c r="K95" s="44">
        <f>IFERROR(VLOOKUP(B95,'Факт продаж'!J:O,6,0),"-")</f>
        <v>19.840239076261895</v>
      </c>
      <c r="L95" s="44">
        <f>IF(AND(F95=0,J95&gt;0),5,IF(J95/F95&gt;5,5,IF(J95/F95=0,0.0000001,J95/F95)))</f>
        <v>5</v>
      </c>
      <c r="M95" s="5">
        <f>IFERROR(VLOOKUP(B95,'Факт продаж'!S:T,2,0),"нет продаж")</f>
        <v>151</v>
      </c>
      <c r="N95" s="48">
        <f>IFERROR(VLOOKUP(B95,'Факт продаж'!S:U,3,0),"нет продаж")</f>
        <v>800455.15</v>
      </c>
      <c r="O95" s="48">
        <f>IFERROR(VLOOKUP(B95,'Факт продаж'!S:W,5,0),"нет продаж")</f>
        <v>335125.27040523198</v>
      </c>
      <c r="P95" s="7">
        <f>IFERROR(VLOOKUP(B95,'Факт продаж'!S:U,3,0)/SUM('План Антонова'!$C$17:$C$19),0)</f>
        <v>4.8756126355463565E-3</v>
      </c>
      <c r="Q95" s="44">
        <f>IFERROR(VLOOKUP(B95,'Факт продаж'!S:X,6,0),"-")</f>
        <v>1.083235978127898</v>
      </c>
      <c r="R95" s="44">
        <f>IF(AND(J95=0,P95&gt;0),5,IF(P95/J95&gt;5,5,IF(P95/J95=0,0.0000001,P95/J95)))</f>
        <v>1.9746672170444284</v>
      </c>
      <c r="S95" s="16">
        <f>IFERROR(VLOOKUP(B95,'Факт продаж'!AB:AD,2,0),"нет продаж")</f>
        <v>67</v>
      </c>
      <c r="T95" s="16">
        <f>IFERROR(VLOOKUP(B95,'Факт продаж'!AB:AD,3,0),"нет продаж")</f>
        <v>430711.4</v>
      </c>
      <c r="U95" s="16">
        <f>IFERROR(VLOOKUP(B95,'Факт продаж'!AB:AF,5,0),"нет продаж")</f>
        <v>199011.98346148053</v>
      </c>
      <c r="V95" s="7">
        <f>IFERROR(VLOOKUP(B95,'Факт продаж'!AB:AD,3,0)/SUM('План Антонова'!$C$20:$C$22),0)</f>
        <v>2.799062978149241E-3</v>
      </c>
      <c r="W95" s="44">
        <f>IFERROR(VLOOKUP(B95,'Факт продаж'!AB:AG,6,0),"-")</f>
        <v>-0.40615644048317778</v>
      </c>
      <c r="X95" s="44">
        <f>IF(AND(P95=0,V95&gt;0),5,IF(V95/P95&gt;5,5,IF(V95/P95=0,0.0000001,V95/P95)))</f>
        <v>0.574094618949477</v>
      </c>
      <c r="Y95" s="44">
        <f>IFERROR(VLOOKUP(B95,'Факт продаж'!AB:AH,7,0),"-")</f>
        <v>24.7817988020272</v>
      </c>
      <c r="Z95" s="44">
        <f>IF(AND(F95=0,V95&gt;0),5,IF(V95/F95&gt;5,5,IF(V95/F95=0,0.0000001,V95/F95)))</f>
        <v>5</v>
      </c>
      <c r="AB95" s="10" t="str">
        <f>IFERROR(VLOOKUP(VALUE(IF(L95&lt;1,1,0)&amp;IF(J95&lt;'Факт продаж'!$M$24,0,1)),$AB$1:$AC$4,2,FALSE),"НЕТ ПРОДАЖ")</f>
        <v>Звезда</v>
      </c>
      <c r="AC95" s="10" t="str">
        <f>IFERROR(VLOOKUP(VALUE(IF(R95&lt;1,1,0)&amp;IF(P95&lt;'Факт продаж'!$V$24,0,1)),$AB$1:$AC$4,2,FALSE),"НЕТ ПРОДАЖ")</f>
        <v>Звезда</v>
      </c>
      <c r="AD95" s="10" t="str">
        <f>IFERROR(VLOOKUP(VALUE(IF(X95&lt;1,1,0)&amp;IF(V95&lt;'Факт продаж'!$AE$24,0,1)),$AB$1:$AC$4,2,FALSE),"НЕТ ПРОДАЖ")</f>
        <v>Корова</v>
      </c>
      <c r="AE95" s="18" t="str">
        <f>IFERROR(VLOOKUP(VALUE(IF(Z95&lt;1,1,0)&amp;IF(V95&lt;'Факт продаж'!$AE$24,0,1)),$AB$1:$AC$4,2,FALSE),"НЕТ ПРОДАЖ")</f>
        <v>Звезда</v>
      </c>
      <c r="AF95" s="74" t="str">
        <f>VLOOKUP(B95,'ABC расчет'!B:G,6,0)</f>
        <v>C</v>
      </c>
      <c r="AG95" s="74" t="str">
        <f>VLOOKUP(B95,'ABC расчет'!K:P,6,0)</f>
        <v>B</v>
      </c>
      <c r="AH95" s="74" t="str">
        <f>VLOOKUP(B95,'ABC расчет'!T:Y,6,0)</f>
        <v>B</v>
      </c>
      <c r="AI95" s="74" t="str">
        <f>VLOOKUP(B95,'ABC расчет'!AC:AH,6,0)</f>
        <v>B</v>
      </c>
      <c r="AJ95" s="74"/>
      <c r="AK95" s="74"/>
      <c r="AL95" s="19"/>
    </row>
    <row r="96" spans="1:38" ht="15.75" customHeight="1" x14ac:dyDescent="0.3">
      <c r="A96" s="51" t="s">
        <v>256</v>
      </c>
      <c r="B96" s="21" t="s">
        <v>140</v>
      </c>
      <c r="C96" s="20" t="str">
        <f>IFERROR(VLOOKUP(B96,'Факт продаж'!A:B,2,0),"нет продаж")</f>
        <v>нет продаж</v>
      </c>
      <c r="D96" s="47" t="str">
        <f>IFERROR(VLOOKUP(B96,'Факт продаж'!A:C,3,0),"нет продаж")</f>
        <v>нет продаж</v>
      </c>
      <c r="E96" s="47" t="str">
        <f>IFERROR(VLOOKUP(B96,'Факт продаж'!A:E,5,0),"нет продаж")</f>
        <v>нет продаж</v>
      </c>
      <c r="F96" s="25">
        <f>IFERROR(VLOOKUP(B96,'Факт продаж'!A:C,3,0)/SUM('План Антонова'!$C$11:$C$13),0)</f>
        <v>0</v>
      </c>
      <c r="G96" s="5">
        <f>IFERROR(VLOOKUP(B96,'Факт продаж'!J:K,2,0),"нет продаж")</f>
        <v>429</v>
      </c>
      <c r="H96" s="48">
        <f>IFERROR(VLOOKUP(B96,'Факт продаж'!J:L,3,0),"нет продаж")</f>
        <v>713364.65000000095</v>
      </c>
      <c r="I96" s="48">
        <f>IFERROR(VLOOKUP(B96,'Факт продаж'!J:N,5,0),"нет продаж")</f>
        <v>315814.21000007546</v>
      </c>
      <c r="J96" s="7">
        <f>IFERROR(VLOOKUP(B96,'Факт продаж'!J:L,3,0)/SUM('План Антонова'!$C$14:$C$16),0)</f>
        <v>4.9256832018399373E-3</v>
      </c>
      <c r="K96" s="44">
        <f>IFERROR(VLOOKUP(B96,'Факт продаж'!J:O,6,0),"-")</f>
        <v>1</v>
      </c>
      <c r="L96" s="44">
        <f>IF(AND(F96=0,J96&gt;0),5,IF(J96/F96&gt;5,5,IF(J96/F96=0,0.0000001,J96/F96)))</f>
        <v>5</v>
      </c>
      <c r="M96" s="5">
        <f>IFERROR(VLOOKUP(B96,'Факт продаж'!S:T,2,0),"нет продаж")</f>
        <v>393</v>
      </c>
      <c r="N96" s="48">
        <f>IFERROR(VLOOKUP(B96,'Факт продаж'!S:U,3,0),"нет продаж")</f>
        <v>659318.90000000084</v>
      </c>
      <c r="O96" s="48">
        <f>IFERROR(VLOOKUP(B96,'Факт продаж'!S:W,5,0),"нет продаж")</f>
        <v>248580.06151345008</v>
      </c>
      <c r="P96" s="7">
        <f>IFERROR(VLOOKUP(B96,'Факт продаж'!S:U,3,0)/SUM('План Антонова'!$C$17:$C$19),0)</f>
        <v>4.0159446281212994E-3</v>
      </c>
      <c r="Q96" s="44">
        <f>IFERROR(VLOOKUP(B96,'Факт продаж'!S:X,6,0),"-")</f>
        <v>-0.21289146073132459</v>
      </c>
      <c r="R96" s="44">
        <f>IF(AND(J96=0,P96&gt;0),5,IF(P96/J96&gt;5,5,IF(P96/J96=0,0.0000001,P96/J96)))</f>
        <v>0.81530712868850064</v>
      </c>
      <c r="S96" s="16">
        <f>IFERROR(VLOOKUP(B96,'Факт продаж'!AB:AD,2,0),"нет продаж")</f>
        <v>320</v>
      </c>
      <c r="T96" s="16">
        <f>IFERROR(VLOOKUP(B96,'Факт продаж'!AB:AD,3,0),"нет продаж")</f>
        <v>535181.80000000028</v>
      </c>
      <c r="U96" s="16">
        <f>IFERROR(VLOOKUP(B96,'Факт продаж'!AB:AF,5,0),"нет продаж")</f>
        <v>196371.038381455</v>
      </c>
      <c r="V96" s="7">
        <f>IFERROR(VLOOKUP(B96,'Факт продаж'!AB:AD,3,0)/SUM('План Антонова'!$C$20:$C$22),0)</f>
        <v>3.4779844762856805E-3</v>
      </c>
      <c r="W96" s="44">
        <f>IFERROR(VLOOKUP(B96,'Факт продаж'!AB:AG,6,0),"-")</f>
        <v>-0.21002900560136106</v>
      </c>
      <c r="X96" s="44">
        <f>IF(AND(P96=0,V96&gt;0),5,IF(V96/P96&gt;5,5,IF(V96/P96=0,0.0000001,V96/P96)))</f>
        <v>0.86604393196345386</v>
      </c>
      <c r="Y96" s="44">
        <f>IFERROR(VLOOKUP(B96,'Факт продаж'!AB:AH,7,0),"-")</f>
        <v>1</v>
      </c>
      <c r="Z96" s="44">
        <f>IF(AND(F96=0,V96&gt;0),5,IF(V96/F96&gt;5,5,IF(V96/F96=0,0.0000001,V96/F96)))</f>
        <v>5</v>
      </c>
      <c r="AB96" s="10" t="str">
        <f>IFERROR(VLOOKUP(VALUE(IF(L96&lt;1,1,0)&amp;IF(J96&lt;'Факт продаж'!$M$24,0,1)),$AB$1:$AC$4,2,FALSE),"НЕТ ПРОДАЖ")</f>
        <v>Звезда</v>
      </c>
      <c r="AC96" s="10" t="str">
        <f>IFERROR(VLOOKUP(VALUE(IF(R96&lt;1,1,0)&amp;IF(P96&lt;'Факт продаж'!$V$24,0,1)),$AB$1:$AC$4,2,FALSE),"НЕТ ПРОДАЖ")</f>
        <v>Корова</v>
      </c>
      <c r="AD96" s="10" t="str">
        <f>IFERROR(VLOOKUP(VALUE(IF(X96&lt;1,1,0)&amp;IF(V96&lt;'Факт продаж'!$AE$24,0,1)),$AB$1:$AC$4,2,FALSE),"НЕТ ПРОДАЖ")</f>
        <v>Корова</v>
      </c>
      <c r="AE96" s="18" t="str">
        <f>IFERROR(VLOOKUP(VALUE(IF(Z96&lt;1,1,0)&amp;IF(V96&lt;'Факт продаж'!$AE$24,0,1)),$AB$1:$AC$4,2,FALSE),"НЕТ ПРОДАЖ")</f>
        <v>Звезда</v>
      </c>
      <c r="AF96" s="74" t="str">
        <f>VLOOKUP(B96,'ABC расчет'!B:G,6,0)</f>
        <v>C</v>
      </c>
      <c r="AG96" s="74" t="str">
        <f>VLOOKUP(B96,'ABC расчет'!K:P,6,0)</f>
        <v>A</v>
      </c>
      <c r="AH96" s="74" t="str">
        <f>VLOOKUP(B96,'ABC расчет'!T:Y,6,0)</f>
        <v>A</v>
      </c>
      <c r="AI96" s="74" t="str">
        <f>VLOOKUP(B96,'ABC расчет'!AC:AH,6,0)</f>
        <v>A</v>
      </c>
      <c r="AJ96" s="74"/>
      <c r="AK96" s="74"/>
      <c r="AL96" s="19"/>
    </row>
    <row r="97" spans="1:38" x14ac:dyDescent="0.3">
      <c r="A97" s="51" t="s">
        <v>252</v>
      </c>
      <c r="B97" s="21" t="s">
        <v>19</v>
      </c>
      <c r="C97" s="20" t="str">
        <f>IFERROR(VLOOKUP(B97,'Факт продаж'!A:B,2,0),"нет продаж")</f>
        <v>нет продаж</v>
      </c>
      <c r="D97" s="47" t="str">
        <f>IFERROR(VLOOKUP(B97,'Факт продаж'!A:C,3,0),"нет продаж")</f>
        <v>нет продаж</v>
      </c>
      <c r="E97" s="47" t="str">
        <f>IFERROR(VLOOKUP(B97,'Факт продаж'!A:E,5,0),"нет продаж")</f>
        <v>нет продаж</v>
      </c>
      <c r="F97" s="25">
        <f>IFERROR(VLOOKUP(B97,'Факт продаж'!A:C,3,0)/SUM('План Антонова'!$C$11:$C$13),0)</f>
        <v>0</v>
      </c>
      <c r="G97" s="5">
        <f>IFERROR(VLOOKUP(B97,'Факт продаж'!J:K,2,0),"нет продаж")</f>
        <v>718</v>
      </c>
      <c r="H97" s="48">
        <f>IFERROR(VLOOKUP(B97,'Факт продаж'!J:L,3,0),"нет продаж")</f>
        <v>488779</v>
      </c>
      <c r="I97" s="48">
        <f>IFERROR(VLOOKUP(B97,'Факт продаж'!J:N,5,0),"нет продаж")</f>
        <v>245772.054149937</v>
      </c>
      <c r="J97" s="7">
        <f>IFERROR(VLOOKUP(B97,'Факт продаж'!J:L,3,0)/SUM('План Антонова'!$C$14:$C$16),0)</f>
        <v>3.3749506787477059E-3</v>
      </c>
      <c r="K97" s="44">
        <f>IFERROR(VLOOKUP(B97,'Факт продаж'!J:O,6,0),"-")</f>
        <v>1</v>
      </c>
      <c r="L97" s="44">
        <f>IF(AND(F97=0,J97&gt;0),5,IF(J97/F97&gt;5,5,IF(J97/F97=0,0.0000001,J97/F97)))</f>
        <v>5</v>
      </c>
      <c r="M97" s="5">
        <f>IFERROR(VLOOKUP(B97,'Факт продаж'!S:T,2,0),"нет продаж")</f>
        <v>460</v>
      </c>
      <c r="N97" s="48">
        <f>IFERROR(VLOOKUP(B97,'Факт продаж'!S:U,3,0),"нет продаж")</f>
        <v>329896.2</v>
      </c>
      <c r="O97" s="48">
        <f>IFERROR(VLOOKUP(B97,'Факт продаж'!S:W,5,0),"нет продаж")</f>
        <v>143393.33007717313</v>
      </c>
      <c r="P97" s="7">
        <f>IFERROR(VLOOKUP(B97,'Факт продаж'!S:U,3,0)/SUM('План Антонова'!$C$17:$C$19),0)</f>
        <v>2.0094143702351444E-3</v>
      </c>
      <c r="Q97" s="44">
        <f>IFERROR(VLOOKUP(B97,'Факт продаж'!S:X,6,0),"-")</f>
        <v>-0.41655966308645553</v>
      </c>
      <c r="R97" s="44">
        <f>IF(AND(J97=0,P97&gt;0),5,IF(P97/J97&gt;5,5,IF(P97/J97=0,0.0000001,P97/J97)))</f>
        <v>0.59539073648944363</v>
      </c>
      <c r="S97" s="16">
        <f>IFERROR(VLOOKUP(B97,'Факт продаж'!AB:AD,2,0),"нет продаж")</f>
        <v>608</v>
      </c>
      <c r="T97" s="16">
        <f>IFERROR(VLOOKUP(B97,'Факт продаж'!AB:AD,3,0),"нет продаж")</f>
        <v>432385.4</v>
      </c>
      <c r="U97" s="16">
        <f>IFERROR(VLOOKUP(B97,'Факт продаж'!AB:AF,5,0),"нет продаж")</f>
        <v>190533.40278997217</v>
      </c>
      <c r="V97" s="7">
        <f>IFERROR(VLOOKUP(B97,'Факт продаж'!AB:AD,3,0)/SUM('План Антонова'!$C$20:$C$22),0)</f>
        <v>2.8099417972968694E-3</v>
      </c>
      <c r="W97" s="44">
        <f>IFERROR(VLOOKUP(B97,'Факт продаж'!AB:AG,6,0),"-")</f>
        <v>0.32874662083256334</v>
      </c>
      <c r="X97" s="44">
        <f>IF(AND(P97=0,V97&gt;0),5,IF(V97/P97&gt;5,5,IF(V97/P97=0,0.0000001,V97/P97)))</f>
        <v>1.3983884254635077</v>
      </c>
      <c r="Y97" s="44">
        <f>IFERROR(VLOOKUP(B97,'Факт продаж'!AB:AH,7,0),"-")</f>
        <v>1</v>
      </c>
      <c r="Z97" s="44">
        <f>IF(AND(F97=0,V97&gt;0),5,IF(V97/F97&gt;5,5,IF(V97/F97=0,0.0000001,V97/F97)))</f>
        <v>5</v>
      </c>
      <c r="AB97" s="10" t="str">
        <f>IFERROR(VLOOKUP(VALUE(IF(L97&lt;1,1,0)&amp;IF(J97&lt;'Факт продаж'!$M$24,0,1)),$AB$1:$AC$4,2,FALSE),"НЕТ ПРОДАЖ")</f>
        <v>Звезда</v>
      </c>
      <c r="AC97" s="10" t="str">
        <f>IFERROR(VLOOKUP(VALUE(IF(R97&lt;1,1,0)&amp;IF(P97&lt;'Факт продаж'!$V$24,0,1)),$AB$1:$AC$4,2,FALSE),"НЕТ ПРОДАЖ")</f>
        <v>Корова</v>
      </c>
      <c r="AD97" s="10" t="str">
        <f>IFERROR(VLOOKUP(VALUE(IF(X97&lt;1,1,0)&amp;IF(V97&lt;'Факт продаж'!$AE$24,0,1)),$AB$1:$AC$4,2,FALSE),"НЕТ ПРОДАЖ")</f>
        <v>Звезда</v>
      </c>
      <c r="AE97" s="18" t="str">
        <f>IFERROR(VLOOKUP(VALUE(IF(Z97&lt;1,1,0)&amp;IF(V97&lt;'Факт продаж'!$AE$24,0,1)),$AB$1:$AC$4,2,FALSE),"НЕТ ПРОДАЖ")</f>
        <v>Звезда</v>
      </c>
      <c r="AF97" s="74" t="str">
        <f>VLOOKUP(B97,'ABC расчет'!B:G,6,0)</f>
        <v>C</v>
      </c>
      <c r="AG97" s="74" t="str">
        <f>VLOOKUP(B97,'ABC расчет'!K:P,6,0)</f>
        <v>A</v>
      </c>
      <c r="AH97" s="74" t="str">
        <f>VLOOKUP(B97,'ABC расчет'!T:Y,6,0)</f>
        <v>B</v>
      </c>
      <c r="AI97" s="74" t="str">
        <f>VLOOKUP(B97,'ABC расчет'!AC:AH,6,0)</f>
        <v>B</v>
      </c>
      <c r="AJ97" s="74"/>
      <c r="AK97" s="74"/>
      <c r="AL97" s="19"/>
    </row>
    <row r="98" spans="1:38" x14ac:dyDescent="0.3">
      <c r="A98" s="51" t="s">
        <v>251</v>
      </c>
      <c r="B98" s="21" t="s">
        <v>149</v>
      </c>
      <c r="C98" s="20">
        <f>IFERROR(VLOOKUP(B98,'Факт продаж'!A:B,2,0),"нет продаж")</f>
        <v>32</v>
      </c>
      <c r="D98" s="47">
        <f>IFERROR(VLOOKUP(B98,'Факт продаж'!A:C,3,0),"нет продаж")</f>
        <v>132199.92320000002</v>
      </c>
      <c r="E98" s="47">
        <f>IFERROR(VLOOKUP(B98,'Факт продаж'!A:E,5,0),"нет продаж")</f>
        <v>57600.9909613458</v>
      </c>
      <c r="F98" s="25">
        <f>IFERROR(VLOOKUP(B98,'Факт продаж'!A:C,3,0)/SUM('План Антонова'!$C$11:$C$13),0)</f>
        <v>1.0038080205815013E-3</v>
      </c>
      <c r="G98" s="5">
        <f>IFERROR(VLOOKUP(B98,'Факт продаж'!J:K,2,0),"нет продаж")</f>
        <v>165</v>
      </c>
      <c r="H98" s="48">
        <f>IFERROR(VLOOKUP(B98,'Факт продаж'!J:L,3,0),"нет продаж")</f>
        <v>903665.4</v>
      </c>
      <c r="I98" s="48">
        <f>IFERROR(VLOOKUP(B98,'Факт продаж'!J:N,5,0),"нет продаж")</f>
        <v>360159.7514880863</v>
      </c>
      <c r="J98" s="7">
        <f>IFERROR(VLOOKUP(B98,'Факт продаж'!J:L,3,0)/SUM('План Антонова'!$C$14:$C$16),0)</f>
        <v>6.2396832824053753E-3</v>
      </c>
      <c r="K98" s="44">
        <f>IFERROR(VLOOKUP(B98,'Факт продаж'!J:O,6,0),"-")</f>
        <v>5.2526658912826356</v>
      </c>
      <c r="L98" s="44">
        <f>IF(AND(F98=0,J98&gt;0),5,IF(J98/F98&gt;5,5,IF(J98/F98=0,0.0000001,J98/F98)))</f>
        <v>5</v>
      </c>
      <c r="M98" s="5">
        <f>IFERROR(VLOOKUP(B98,'Факт продаж'!S:T,2,0),"нет продаж")</f>
        <v>138</v>
      </c>
      <c r="N98" s="48">
        <f>IFERROR(VLOOKUP(B98,'Факт продаж'!S:U,3,0),"нет продаж")</f>
        <v>731779.03330000001</v>
      </c>
      <c r="O98" s="48">
        <f>IFERROR(VLOOKUP(B98,'Факт продаж'!S:W,5,0),"нет продаж")</f>
        <v>289463.00342252303</v>
      </c>
      <c r="P98" s="7">
        <f>IFERROR(VLOOKUP(B98,'Факт продаж'!S:U,3,0)/SUM('План Антонова'!$C$17:$C$19),0)</f>
        <v>4.4573029496847863E-3</v>
      </c>
      <c r="Q98" s="44">
        <f>IFERROR(VLOOKUP(B98,'Факт продаж'!S:X,6,0),"-")</f>
        <v>-0.19629275001846458</v>
      </c>
      <c r="R98" s="44">
        <f>IF(AND(J98=0,P98&gt;0),5,IF(P98/J98&gt;5,5,IF(P98/J98=0,0.0000001,P98/J98)))</f>
        <v>0.71434762758767978</v>
      </c>
      <c r="S98" s="16">
        <f>IFERROR(VLOOKUP(B98,'Факт продаж'!AB:AD,2,0),"нет продаж")</f>
        <v>83</v>
      </c>
      <c r="T98" s="16">
        <f>IFERROR(VLOOKUP(B98,'Факт продаж'!AB:AD,3,0),"нет продаж")</f>
        <v>470243.16000000003</v>
      </c>
      <c r="U98" s="16">
        <f>IFERROR(VLOOKUP(B98,'Факт продаж'!AB:AF,5,0),"нет продаж")</f>
        <v>189830.15945702977</v>
      </c>
      <c r="V98" s="7">
        <f>IFERROR(VLOOKUP(B98,'Факт продаж'!AB:AD,3,0)/SUM('План Антонова'!$C$20:$C$22),0)</f>
        <v>3.0559679169947906E-3</v>
      </c>
      <c r="W98" s="44">
        <f>IFERROR(VLOOKUP(B98,'Факт продаж'!AB:AG,6,0),"-")</f>
        <v>-0.34419888824293476</v>
      </c>
      <c r="X98" s="44">
        <f>IF(AND(P98=0,V98&gt;0),5,IF(V98/P98&gt;5,5,IF(V98/P98=0,0.0000001,V98/P98)))</f>
        <v>0.68560920168347628</v>
      </c>
      <c r="Y98" s="44">
        <f>IFERROR(VLOOKUP(B98,'Факт продаж'!AB:AH,7,0),"-")</f>
        <v>2.2956057923451141</v>
      </c>
      <c r="Z98" s="44">
        <f>IF(AND(F98=0,V98&gt;0),5,IF(V98/F98&gt;5,5,IF(V98/F98=0,0.0000001,V98/F98)))</f>
        <v>3.0443748748136947</v>
      </c>
      <c r="AB98" s="10" t="str">
        <f>IFERROR(VLOOKUP(VALUE(IF(L98&lt;1,1,0)&amp;IF(J98&lt;'Факт продаж'!$M$24,0,1)),$AB$1:$AC$4,2,FALSE),"НЕТ ПРОДАЖ")</f>
        <v>Звезда</v>
      </c>
      <c r="AC98" s="10" t="str">
        <f>IFERROR(VLOOKUP(VALUE(IF(R98&lt;1,1,0)&amp;IF(P98&lt;'Факт продаж'!$V$24,0,1)),$AB$1:$AC$4,2,FALSE),"НЕТ ПРОДАЖ")</f>
        <v>Корова</v>
      </c>
      <c r="AD98" s="10" t="str">
        <f>IFERROR(VLOOKUP(VALUE(IF(X98&lt;1,1,0)&amp;IF(V98&lt;'Факт продаж'!$AE$24,0,1)),$AB$1:$AC$4,2,FALSE),"НЕТ ПРОДАЖ")</f>
        <v>Корова</v>
      </c>
      <c r="AE98" s="18" t="str">
        <f>IFERROR(VLOOKUP(VALUE(IF(Z98&lt;1,1,0)&amp;IF(V98&lt;'Факт продаж'!$AE$24,0,1)),$AB$1:$AC$4,2,FALSE),"НЕТ ПРОДАЖ")</f>
        <v>Звезда</v>
      </c>
      <c r="AF98" s="74" t="str">
        <f>VLOOKUP(B98,'ABC расчет'!B:G,6,0)</f>
        <v>B</v>
      </c>
      <c r="AG98" s="74" t="str">
        <f>VLOOKUP(B98,'ABC расчет'!K:P,6,0)</f>
        <v>B</v>
      </c>
      <c r="AH98" s="74" t="str">
        <f>VLOOKUP(B98,'ABC расчет'!T:Y,6,0)</f>
        <v>B</v>
      </c>
      <c r="AI98" s="74" t="str">
        <f>VLOOKUP(B98,'ABC расчет'!AC:AH,6,0)</f>
        <v>B</v>
      </c>
      <c r="AJ98" s="74"/>
      <c r="AK98" s="74"/>
      <c r="AL98" s="19"/>
    </row>
    <row r="99" spans="1:38" x14ac:dyDescent="0.3">
      <c r="A99" s="51" t="s">
        <v>116</v>
      </c>
      <c r="B99" s="21" t="s">
        <v>154</v>
      </c>
      <c r="C99" s="20">
        <f>IFERROR(VLOOKUP(B99,'Факт продаж'!A:B,2,0),"нет продаж")</f>
        <v>6</v>
      </c>
      <c r="D99" s="47">
        <f>IFERROR(VLOOKUP(B99,'Факт продаж'!A:C,3,0),"нет продаж")</f>
        <v>15234.5373</v>
      </c>
      <c r="E99" s="47">
        <f>IFERROR(VLOOKUP(B99,'Факт продаж'!A:E,5,0),"нет продаж")</f>
        <v>6444.6798879551989</v>
      </c>
      <c r="F99" s="25">
        <f>IFERROR(VLOOKUP(B99,'Факт продаж'!A:C,3,0)/SUM('План Антонова'!$C$11:$C$13),0)</f>
        <v>1.1567745548877933E-4</v>
      </c>
      <c r="G99" s="5">
        <f>IFERROR(VLOOKUP(B99,'Факт продаж'!J:K,2,0),"нет продаж")</f>
        <v>104</v>
      </c>
      <c r="H99" s="48">
        <f>IFERROR(VLOOKUP(B99,'Факт продаж'!J:L,3,0),"нет продаж")</f>
        <v>316857.34999999998</v>
      </c>
      <c r="I99" s="48">
        <f>IFERROR(VLOOKUP(B99,'Факт продаж'!J:N,5,0),"нет продаж")</f>
        <v>141817.5930400521</v>
      </c>
      <c r="J99" s="7">
        <f>IFERROR(VLOOKUP(B99,'Факт продаж'!J:L,3,0)/SUM('План Антонова'!$C$14:$C$16),0)</f>
        <v>2.187855714850064E-3</v>
      </c>
      <c r="K99" s="44">
        <f>IFERROR(VLOOKUP(B99,'Факт продаж'!J:O,6,0),"-")</f>
        <v>21.005374278573939</v>
      </c>
      <c r="L99" s="44">
        <f>IF(AND(F99=0,J99&gt;0),5,IF(J99/F99&gt;5,5,IF(J99/F99=0,0.0000001,J99/F99)))</f>
        <v>5</v>
      </c>
      <c r="M99" s="5">
        <f>IFERROR(VLOOKUP(B99,'Факт продаж'!S:T,2,0),"нет продаж")</f>
        <v>103</v>
      </c>
      <c r="N99" s="48">
        <f>IFERROR(VLOOKUP(B99,'Факт продаж'!S:U,3,0),"нет продаж")</f>
        <v>342671.95999999979</v>
      </c>
      <c r="O99" s="48">
        <f>IFERROR(VLOOKUP(B99,'Факт продаж'!S:W,5,0),"нет продаж")</f>
        <v>165423.98329954717</v>
      </c>
      <c r="P99" s="7">
        <f>IFERROR(VLOOKUP(B99,'Факт продаж'!S:U,3,0)/SUM('План Антонова'!$C$17:$C$19),0)</f>
        <v>2.0872321678777812E-3</v>
      </c>
      <c r="Q99" s="44">
        <f>IFERROR(VLOOKUP(B99,'Факт продаж'!S:X,6,0),"-")</f>
        <v>0.16645600699786334</v>
      </c>
      <c r="R99" s="44">
        <f>IF(AND(J99=0,P99&gt;0),5,IF(P99/J99&gt;5,5,IF(P99/J99=0,0.0000001,P99/J99)))</f>
        <v>0.95400814309220627</v>
      </c>
      <c r="S99" s="16">
        <f>IFERROR(VLOOKUP(B99,'Факт продаж'!AB:AD,2,0),"нет продаж")</f>
        <v>115</v>
      </c>
      <c r="T99" s="16">
        <f>IFERROR(VLOOKUP(B99,'Факт продаж'!AB:AD,3,0),"нет продаж")</f>
        <v>388784.2</v>
      </c>
      <c r="U99" s="16">
        <f>IFERROR(VLOOKUP(B99,'Факт продаж'!AB:AF,5,0),"нет продаж")</f>
        <v>189150.64791944521</v>
      </c>
      <c r="V99" s="7">
        <f>IFERROR(VLOOKUP(B99,'Факт продаж'!AB:AD,3,0)/SUM('План Антонова'!$C$20:$C$22),0)</f>
        <v>2.5265908000330854E-3</v>
      </c>
      <c r="W99" s="44">
        <f>IFERROR(VLOOKUP(B99,'Факт продаж'!AB:AG,6,0),"-")</f>
        <v>0.14342941178567914</v>
      </c>
      <c r="X99" s="44">
        <f>IF(AND(P99=0,V99&gt;0),5,IF(V99/P99&gt;5,5,IF(V99/P99=0,0.0000001,V99/P99)))</f>
        <v>1.2104982085447771</v>
      </c>
      <c r="Y99" s="44">
        <f>IFERROR(VLOOKUP(B99,'Факт продаж'!AB:AH,7,0),"-")</f>
        <v>28.349890329379868</v>
      </c>
      <c r="Z99" s="44">
        <f>IF(AND(F99=0,V99&gt;0),5,IF(V99/F99&gt;5,5,IF(V99/F99=0,0.0000001,V99/F99)))</f>
        <v>5</v>
      </c>
      <c r="AB99" s="10" t="str">
        <f>IFERROR(VLOOKUP(VALUE(IF(L99&lt;1,1,0)&amp;IF(J99&lt;'Факт продаж'!$M$24,0,1)),$AB$1:$AC$4,2,FALSE),"НЕТ ПРОДАЖ")</f>
        <v>Звезда</v>
      </c>
      <c r="AC99" s="10" t="str">
        <f>IFERROR(VLOOKUP(VALUE(IF(R99&lt;1,1,0)&amp;IF(P99&lt;'Факт продаж'!$V$24,0,1)),$AB$1:$AC$4,2,FALSE),"НЕТ ПРОДАЖ")</f>
        <v>Корова</v>
      </c>
      <c r="AD99" s="10" t="str">
        <f>IFERROR(VLOOKUP(VALUE(IF(X99&lt;1,1,0)&amp;IF(V99&lt;'Факт продаж'!$AE$24,0,1)),$AB$1:$AC$4,2,FALSE),"НЕТ ПРОДАЖ")</f>
        <v>Звезда</v>
      </c>
      <c r="AE99" s="18" t="str">
        <f>IFERROR(VLOOKUP(VALUE(IF(Z99&lt;1,1,0)&amp;IF(V99&lt;'Факт продаж'!$AE$24,0,1)),$AB$1:$AC$4,2,FALSE),"НЕТ ПРОДАЖ")</f>
        <v>Звезда</v>
      </c>
      <c r="AF99" s="74" t="str">
        <f>VLOOKUP(B99,'ABC расчет'!B:G,6,0)</f>
        <v>C</v>
      </c>
      <c r="AG99" s="74" t="str">
        <f>VLOOKUP(B99,'ABC расчет'!K:P,6,0)</f>
        <v>B</v>
      </c>
      <c r="AH99" s="74" t="str">
        <f>VLOOKUP(B99,'ABC расчет'!T:Y,6,0)</f>
        <v>C</v>
      </c>
      <c r="AI99" s="74" t="str">
        <f>VLOOKUP(B99,'ABC расчет'!AC:AH,6,0)</f>
        <v>B</v>
      </c>
      <c r="AJ99" s="74" t="s">
        <v>452</v>
      </c>
      <c r="AK99" s="74"/>
      <c r="AL99" s="19"/>
    </row>
    <row r="100" spans="1:38" x14ac:dyDescent="0.3">
      <c r="A100" s="51" t="s">
        <v>116</v>
      </c>
      <c r="B100" s="21" t="s">
        <v>26</v>
      </c>
      <c r="C100" s="20">
        <f>IFERROR(VLOOKUP(B100,'Факт продаж'!A:B,2,0),"нет продаж")</f>
        <v>48</v>
      </c>
      <c r="D100" s="47">
        <f>IFERROR(VLOOKUP(B100,'Факт продаж'!A:C,3,0),"нет продаж")</f>
        <v>75532.068199999994</v>
      </c>
      <c r="E100" s="47">
        <f>IFERROR(VLOOKUP(B100,'Факт продаж'!A:E,5,0),"нет продаж")</f>
        <v>33961.373395361894</v>
      </c>
      <c r="F100" s="25">
        <f>IFERROR(VLOOKUP(B100,'Факт продаж'!A:C,3,0)/SUM('План Антонова'!$C$11:$C$13),0)</f>
        <v>5.7352299483233698E-4</v>
      </c>
      <c r="G100" s="5">
        <f>IFERROR(VLOOKUP(B100,'Факт продаж'!J:K,2,0),"нет продаж")</f>
        <v>685</v>
      </c>
      <c r="H100" s="48">
        <f>IFERROR(VLOOKUP(B100,'Факт продаж'!J:L,3,0),"нет продаж")</f>
        <v>1130543.05</v>
      </c>
      <c r="I100" s="48">
        <f>IFERROR(VLOOKUP(B100,'Факт продаж'!J:N,5,0),"нет продаж")</f>
        <v>439507.0081936745</v>
      </c>
      <c r="J100" s="7">
        <f>IFERROR(VLOOKUP(B100,'Факт продаж'!J:L,3,0)/SUM('План Антонова'!$C$14:$C$16),0)</f>
        <v>7.8062417451465827E-3</v>
      </c>
      <c r="K100" s="44">
        <f>IFERROR(VLOOKUP(B100,'Факт продаж'!J:O,6,0),"-")</f>
        <v>11.941379109647491</v>
      </c>
      <c r="L100" s="44">
        <f>IF(AND(F100=0,J100&gt;0),5,IF(J100/F100&gt;5,5,IF(J100/F100=0,0.0000001,J100/F100)))</f>
        <v>5</v>
      </c>
      <c r="M100" s="5">
        <f>IFERROR(VLOOKUP(B100,'Факт продаж'!S:T,2,0),"нет продаж")</f>
        <v>438</v>
      </c>
      <c r="N100" s="48">
        <f>IFERROR(VLOOKUP(B100,'Факт продаж'!S:U,3,0),"нет продаж")</f>
        <v>768469.96330000018</v>
      </c>
      <c r="O100" s="48">
        <f>IFERROR(VLOOKUP(B100,'Факт продаж'!S:W,5,0),"нет продаж")</f>
        <v>308656.96236791555</v>
      </c>
      <c r="P100" s="7">
        <f>IFERROR(VLOOKUP(B100,'Факт продаж'!S:U,3,0)/SUM('План Антонова'!$C$17:$C$19),0)</f>
        <v>4.6807892523439022E-3</v>
      </c>
      <c r="Q100" s="44">
        <f>IFERROR(VLOOKUP(B100,'Факт продаж'!S:X,6,0),"-")</f>
        <v>-0.29772004401827001</v>
      </c>
      <c r="R100" s="44">
        <f>IF(AND(J100=0,P100&gt;0),5,IF(P100/J100&gt;5,5,IF(P100/J100=0,0.0000001,P100/J100)))</f>
        <v>0.59962135495664282</v>
      </c>
      <c r="S100" s="16">
        <f>IFERROR(VLOOKUP(B100,'Факт продаж'!AB:AD,2,0),"нет продаж")</f>
        <v>275</v>
      </c>
      <c r="T100" s="16">
        <f>IFERROR(VLOOKUP(B100,'Факт продаж'!AB:AD,3,0),"нет продаж")</f>
        <v>488648.19999999995</v>
      </c>
      <c r="U100" s="16">
        <f>IFERROR(VLOOKUP(B100,'Факт продаж'!AB:AF,5,0),"нет продаж")</f>
        <v>188110.30486681539</v>
      </c>
      <c r="V100" s="7">
        <f>IFERROR(VLOOKUP(B100,'Факт продаж'!AB:AD,3,0)/SUM('План Антонова'!$C$20:$C$22),0)</f>
        <v>3.1755766992916041E-3</v>
      </c>
      <c r="W100" s="44">
        <f>IFERROR(VLOOKUP(B100,'Факт продаж'!AB:AG,6,0),"-")</f>
        <v>-0.39055220584141537</v>
      </c>
      <c r="X100" s="44">
        <f>IF(AND(P100=0,V100&gt;0),5,IF(V100/P100&gt;5,5,IF(V100/P100=0,0.0000001,V100/P100)))</f>
        <v>0.6784276172445568</v>
      </c>
      <c r="Y100" s="44">
        <f>IFERROR(VLOOKUP(B100,'Факт продаж'!AB:AH,7,0),"-")</f>
        <v>4.5389486955349581</v>
      </c>
      <c r="Z100" s="44">
        <f>IF(AND(F100=0,V100&gt;0),5,IF(V100/F100&gt;5,5,IF(V100/F100=0,0.0000001,V100/F100)))</f>
        <v>5</v>
      </c>
      <c r="AB100" s="10" t="str">
        <f>IFERROR(VLOOKUP(VALUE(IF(L100&lt;1,1,0)&amp;IF(J100&lt;'Факт продаж'!$M$24,0,1)),$AB$1:$AC$4,2,FALSE),"НЕТ ПРОДАЖ")</f>
        <v>Звезда</v>
      </c>
      <c r="AC100" s="10" t="str">
        <f>IFERROR(VLOOKUP(VALUE(IF(R100&lt;1,1,0)&amp;IF(P100&lt;'Факт продаж'!$V$24,0,1)),$AB$1:$AC$4,2,FALSE),"НЕТ ПРОДАЖ")</f>
        <v>Корова</v>
      </c>
      <c r="AD100" s="10" t="str">
        <f>IFERROR(VLOOKUP(VALUE(IF(X100&lt;1,1,0)&amp;IF(V100&lt;'Факт продаж'!$AE$24,0,1)),$AB$1:$AC$4,2,FALSE),"НЕТ ПРОДАЖ")</f>
        <v>Корова</v>
      </c>
      <c r="AE100" s="18" t="str">
        <f>IFERROR(VLOOKUP(VALUE(IF(Z100&lt;1,1,0)&amp;IF(V100&lt;'Факт продаж'!$AE$24,0,1)),$AB$1:$AC$4,2,FALSE),"НЕТ ПРОДАЖ")</f>
        <v>Звезда</v>
      </c>
      <c r="AF100" s="74" t="str">
        <f>VLOOKUP(B100,'ABC расчет'!B:G,6,0)</f>
        <v>C</v>
      </c>
      <c r="AG100" s="74" t="str">
        <f>VLOOKUP(B100,'ABC расчет'!K:P,6,0)</f>
        <v>A</v>
      </c>
      <c r="AH100" s="74" t="str">
        <f>VLOOKUP(B100,'ABC расчет'!T:Y,6,0)</f>
        <v>A</v>
      </c>
      <c r="AI100" s="74" t="str">
        <f>VLOOKUP(B100,'ABC расчет'!AC:AH,6,0)</f>
        <v>B</v>
      </c>
      <c r="AJ100" s="74"/>
      <c r="AK100" s="74"/>
      <c r="AL100" s="19"/>
    </row>
    <row r="101" spans="1:38" x14ac:dyDescent="0.3">
      <c r="A101" s="51" t="s">
        <v>251</v>
      </c>
      <c r="B101" s="21" t="s">
        <v>45</v>
      </c>
      <c r="C101" s="20">
        <f>IFERROR(VLOOKUP(B101,'Факт продаж'!A:B,2,0),"нет продаж")</f>
        <v>6</v>
      </c>
      <c r="D101" s="47">
        <f>IFERROR(VLOOKUP(B101,'Факт продаж'!A:C,3,0),"нет продаж")</f>
        <v>37942.671300000002</v>
      </c>
      <c r="E101" s="47">
        <f>IFERROR(VLOOKUP(B101,'Факт продаж'!A:E,5,0),"нет продаж")</f>
        <v>16576.120684739541</v>
      </c>
      <c r="F101" s="25">
        <f>IFERROR(VLOOKUP(B101,'Факт продаж'!A:C,3,0)/SUM('План Антонова'!$C$11:$C$13),0)</f>
        <v>2.8810272238666122E-4</v>
      </c>
      <c r="G101" s="5">
        <f>IFERROR(VLOOKUP(B101,'Факт продаж'!J:K,2,0),"нет продаж")</f>
        <v>44</v>
      </c>
      <c r="H101" s="48">
        <f>IFERROR(VLOOKUP(B101,'Факт продаж'!J:L,3,0),"нет продаж")</f>
        <v>250897.95</v>
      </c>
      <c r="I101" s="48">
        <f>IFERROR(VLOOKUP(B101,'Факт продаж'!J:N,5,0),"нет продаж")</f>
        <v>116523.68498918472</v>
      </c>
      <c r="J101" s="7">
        <f>IFERROR(VLOOKUP(B101,'Факт продаж'!J:L,3,0)/SUM('План Антонова'!$C$14:$C$16),0)</f>
        <v>1.73241527694297E-3</v>
      </c>
      <c r="K101" s="44">
        <f>IFERROR(VLOOKUP(B101,'Факт продаж'!J:O,6,0),"-")</f>
        <v>6.0296112827206807</v>
      </c>
      <c r="L101" s="44">
        <f>IF(AND(F101=0,J101&gt;0),5,IF(J101/F101&gt;5,5,IF(J101/F101=0,0.0000001,J101/F101)))</f>
        <v>5</v>
      </c>
      <c r="M101" s="5">
        <f>IFERROR(VLOOKUP(B101,'Факт продаж'!S:T,2,0),"нет продаж")</f>
        <v>39</v>
      </c>
      <c r="N101" s="48">
        <f>IFERROR(VLOOKUP(B101,'Факт продаж'!S:U,3,0),"нет продаж")</f>
        <v>266365.5</v>
      </c>
      <c r="O101" s="48">
        <f>IFERROR(VLOOKUP(B101,'Факт продаж'!S:W,5,0),"нет продаж")</f>
        <v>128723.02655590122</v>
      </c>
      <c r="P101" s="7">
        <f>IFERROR(VLOOKUP(B101,'Факт продаж'!S:U,3,0)/SUM('План Антонова'!$C$17:$C$19),0)</f>
        <v>1.622445676654867E-3</v>
      </c>
      <c r="Q101" s="44">
        <f>IFERROR(VLOOKUP(B101,'Факт продаж'!S:X,6,0),"-")</f>
        <v>0.10469409346133185</v>
      </c>
      <c r="R101" s="44">
        <f>IF(AND(J101=0,P101&gt;0),5,IF(P101/J101&gt;5,5,IF(P101/J101=0,0.0000001,P101/J101)))</f>
        <v>0.93652237904403846</v>
      </c>
      <c r="S101" s="16">
        <f>IFERROR(VLOOKUP(B101,'Факт продаж'!AB:AD,2,0),"нет продаж")</f>
        <v>53</v>
      </c>
      <c r="T101" s="16">
        <f>IFERROR(VLOOKUP(B101,'Факт продаж'!AB:AD,3,0),"нет продаж")</f>
        <v>400303.59999999992</v>
      </c>
      <c r="U101" s="16">
        <f>IFERROR(VLOOKUP(B101,'Факт продаж'!AB:AF,5,0),"нет продаж")</f>
        <v>184104.4640494849</v>
      </c>
      <c r="V101" s="7">
        <f>IFERROR(VLOOKUP(B101,'Факт продаж'!AB:AD,3,0)/SUM('План Антонова'!$C$20:$C$22),0)</f>
        <v>2.6014518927984314E-3</v>
      </c>
      <c r="W101" s="44">
        <f>IFERROR(VLOOKUP(B101,'Факт продаж'!AB:AG,6,0),"-")</f>
        <v>0.43023722309335932</v>
      </c>
      <c r="X101" s="44">
        <f>IF(AND(P101=0,V101&gt;0),5,IF(V101/P101&gt;5,5,IF(V101/P101=0,0.0000001,V101/P101)))</f>
        <v>1.6034138647785507</v>
      </c>
      <c r="Y101" s="44">
        <f>IFERROR(VLOOKUP(B101,'Факт продаж'!AB:AH,7,0),"-")</f>
        <v>10.106607363143587</v>
      </c>
      <c r="Z101" s="44">
        <f>IF(AND(F101=0,V101&gt;0),5,IF(V101/F101&gt;5,5,IF(V101/F101=0,0.0000001,V101/F101)))</f>
        <v>5</v>
      </c>
      <c r="AB101" s="10" t="str">
        <f>IFERROR(VLOOKUP(VALUE(IF(L101&lt;1,1,0)&amp;IF(J101&lt;'Факт продаж'!$M$24,0,1)),$AB$1:$AC$4,2,FALSE),"НЕТ ПРОДАЖ")</f>
        <v>Звезда</v>
      </c>
      <c r="AC101" s="10" t="str">
        <f>IFERROR(VLOOKUP(VALUE(IF(R101&lt;1,1,0)&amp;IF(P101&lt;'Факт продаж'!$V$24,0,1)),$AB$1:$AC$4,2,FALSE),"НЕТ ПРОДАЖ")</f>
        <v>Корова</v>
      </c>
      <c r="AD101" s="10" t="str">
        <f>IFERROR(VLOOKUP(VALUE(IF(X101&lt;1,1,0)&amp;IF(V101&lt;'Факт продаж'!$AE$24,0,1)),$AB$1:$AC$4,2,FALSE),"НЕТ ПРОДАЖ")</f>
        <v>Звезда</v>
      </c>
      <c r="AE101" s="18" t="str">
        <f>IFERROR(VLOOKUP(VALUE(IF(Z101&lt;1,1,0)&amp;IF(V101&lt;'Факт продаж'!$AE$24,0,1)),$AB$1:$AC$4,2,FALSE),"НЕТ ПРОДАЖ")</f>
        <v>Звезда</v>
      </c>
      <c r="AF101" s="74" t="str">
        <f>VLOOKUP(B101,'ABC расчет'!B:G,6,0)</f>
        <v>C</v>
      </c>
      <c r="AG101" s="74" t="str">
        <f>VLOOKUP(B101,'ABC расчет'!K:P,6,0)</f>
        <v>C</v>
      </c>
      <c r="AH101" s="74" t="str">
        <f>VLOOKUP(B101,'ABC расчет'!T:Y,6,0)</f>
        <v>C</v>
      </c>
      <c r="AI101" s="74" t="str">
        <f>VLOOKUP(B101,'ABC расчет'!AC:AH,6,0)</f>
        <v>B</v>
      </c>
      <c r="AJ101" s="74"/>
      <c r="AK101" s="74"/>
      <c r="AL101" s="19"/>
    </row>
    <row r="102" spans="1:38" x14ac:dyDescent="0.3">
      <c r="A102" s="5" t="s">
        <v>252</v>
      </c>
      <c r="B102" s="21" t="s">
        <v>94</v>
      </c>
      <c r="C102" s="20">
        <f>IFERROR(VLOOKUP(B102,'Факт продаж'!A:B,2,0),"нет продаж")</f>
        <v>552</v>
      </c>
      <c r="D102" s="47">
        <f>IFERROR(VLOOKUP(B102,'Факт продаж'!A:C,3,0),"нет продаж")</f>
        <v>307907.38090000005</v>
      </c>
      <c r="E102" s="47">
        <f>IFERROR(VLOOKUP(B102,'Факт продаж'!A:E,5,0),"нет продаж")</f>
        <v>129039.51040760573</v>
      </c>
      <c r="F102" s="25">
        <f>IFERROR(VLOOKUP(B102,'Факт продаж'!A:C,3,0)/SUM('План Антонова'!$C$11:$C$13),0)</f>
        <v>2.3379733593042159E-3</v>
      </c>
      <c r="G102" s="5">
        <f>IFERROR(VLOOKUP(B102,'Факт продаж'!J:K,2,0),"нет продаж")</f>
        <v>642</v>
      </c>
      <c r="H102" s="48">
        <f>IFERROR(VLOOKUP(B102,'Факт продаж'!J:L,3,0),"нет продаж")</f>
        <v>406849.6</v>
      </c>
      <c r="I102" s="48">
        <f>IFERROR(VLOOKUP(B102,'Факт продаж'!J:N,5,0),"нет продаж")</f>
        <v>162284.24891905801</v>
      </c>
      <c r="J102" s="7">
        <f>IFERROR(VLOOKUP(B102,'Факт продаж'!J:L,3,0)/SUM('План Антонова'!$C$14:$C$16),0)</f>
        <v>2.8092396229548169E-3</v>
      </c>
      <c r="K102" s="44">
        <f>IFERROR(VLOOKUP(B102,'Факт продаж'!J:O,6,0),"-")</f>
        <v>0.25763224307376786</v>
      </c>
      <c r="L102" s="44">
        <f>IF(AND(F102=0,J102&gt;0),5,IF(J102/F102&gt;5,5,IF(J102/F102=0,0.0000001,J102/F102)))</f>
        <v>1.2015704164357333</v>
      </c>
      <c r="M102" s="5">
        <f>IFERROR(VLOOKUP(B102,'Факт продаж'!S:T,2,0),"нет продаж")</f>
        <v>570</v>
      </c>
      <c r="N102" s="48">
        <f>IFERROR(VLOOKUP(B102,'Факт продаж'!S:U,3,0),"нет продаж")</f>
        <v>366786.96000000014</v>
      </c>
      <c r="O102" s="48">
        <f>IFERROR(VLOOKUP(B102,'Факт продаж'!S:W,5,0),"нет продаж")</f>
        <v>140005.89772188792</v>
      </c>
      <c r="P102" s="7">
        <f>IFERROR(VLOOKUP(B102,'Факт продаж'!S:U,3,0)/SUM('План Антонова'!$C$17:$C$19),0)</f>
        <v>2.2341178474891898E-3</v>
      </c>
      <c r="Q102" s="44">
        <f>IFERROR(VLOOKUP(B102,'Факт продаж'!S:X,6,0),"-")</f>
        <v>-0.13727981209243412</v>
      </c>
      <c r="R102" s="44">
        <f>IF(AND(J102=0,P102&gt;0),5,IF(P102/J102&gt;5,5,IF(P102/J102=0,0.0000001,P102/J102)))</f>
        <v>0.79527493106454838</v>
      </c>
      <c r="S102" s="16">
        <f>IFERROR(VLOOKUP(B102,'Факт продаж'!AB:AD,2,0),"нет продаж")</f>
        <v>726</v>
      </c>
      <c r="T102" s="16">
        <f>IFERROR(VLOOKUP(B102,'Факт продаж'!AB:AD,3,0),"нет продаж")</f>
        <v>473996.60000000003</v>
      </c>
      <c r="U102" s="16">
        <f>IFERROR(VLOOKUP(B102,'Факт продаж'!AB:AF,5,0),"нет продаж")</f>
        <v>176235.05078183123</v>
      </c>
      <c r="V102" s="7">
        <f>IFERROR(VLOOKUP(B102,'Факт продаж'!AB:AD,3,0)/SUM('План Антонова'!$C$20:$C$22),0)</f>
        <v>3.0803603870912508E-3</v>
      </c>
      <c r="W102" s="44">
        <f>IFERROR(VLOOKUP(B102,'Факт продаж'!AB:AG,6,0),"-")</f>
        <v>0.25876876366958501</v>
      </c>
      <c r="X102" s="44">
        <f>IF(AND(P102=0,V102&gt;0),5,IF(V102/P102&gt;5,5,IF(V102/P102=0,0.0000001,V102/P102)))</f>
        <v>1.378781513496752</v>
      </c>
      <c r="Y102" s="44">
        <f>IFERROR(VLOOKUP(B102,'Факт продаж'!AB:AH,7,0),"-")</f>
        <v>0.36574488096820734</v>
      </c>
      <c r="Z102" s="44">
        <f>IF(AND(F102=0,V102&gt;0),5,IF(V102/F102&gt;5,5,IF(V102/F102=0,0.0000001,V102/F102)))</f>
        <v>1.3175344256309107</v>
      </c>
      <c r="AB102" s="10" t="str">
        <f>IFERROR(VLOOKUP(VALUE(IF(L102&lt;1,1,0)&amp;IF(J102&lt;'Факт продаж'!$M$24,0,1)),$AB$1:$AC$4,2,FALSE),"НЕТ ПРОДАЖ")</f>
        <v>Звезда</v>
      </c>
      <c r="AC102" s="10" t="str">
        <f>IFERROR(VLOOKUP(VALUE(IF(R102&lt;1,1,0)&amp;IF(P102&lt;'Факт продаж'!$V$24,0,1)),$AB$1:$AC$4,2,FALSE),"НЕТ ПРОДАЖ")</f>
        <v>Корова</v>
      </c>
      <c r="AD102" s="10" t="str">
        <f>IFERROR(VLOOKUP(VALUE(IF(X102&lt;1,1,0)&amp;IF(V102&lt;'Факт продаж'!$AE$24,0,1)),$AB$1:$AC$4,2,FALSE),"НЕТ ПРОДАЖ")</f>
        <v>Звезда</v>
      </c>
      <c r="AE102" s="18" t="str">
        <f>IFERROR(VLOOKUP(VALUE(IF(Z102&lt;1,1,0)&amp;IF(V102&lt;'Факт продаж'!$AE$24,0,1)),$AB$1:$AC$4,2,FALSE),"НЕТ ПРОДАЖ")</f>
        <v>Звезда</v>
      </c>
      <c r="AF102" s="74" t="str">
        <f>VLOOKUP(B102,'ABC расчет'!B:G,6,0)</f>
        <v>A</v>
      </c>
      <c r="AG102" s="74" t="str">
        <f>VLOOKUP(B102,'ABC расчет'!K:P,6,0)</f>
        <v>B</v>
      </c>
      <c r="AH102" s="74" t="str">
        <f>VLOOKUP(B102,'ABC расчет'!T:Y,6,0)</f>
        <v>B</v>
      </c>
      <c r="AI102" s="74" t="str">
        <f>VLOOKUP(B102,'ABC расчет'!AC:AH,6,0)</f>
        <v>A</v>
      </c>
      <c r="AJ102" s="74"/>
      <c r="AK102" s="74"/>
      <c r="AL102" s="19"/>
    </row>
    <row r="103" spans="1:38" x14ac:dyDescent="0.3">
      <c r="A103" s="51" t="s">
        <v>246</v>
      </c>
      <c r="B103" s="21" t="s">
        <v>105</v>
      </c>
      <c r="C103" s="20">
        <f>IFERROR(VLOOKUP(B103,'Факт продаж'!A:B,2,0),"нет продаж")</f>
        <v>63</v>
      </c>
      <c r="D103" s="47">
        <f>IFERROR(VLOOKUP(B103,'Факт продаж'!A:C,3,0),"нет продаж")</f>
        <v>60158.892599999999</v>
      </c>
      <c r="E103" s="47">
        <f>IFERROR(VLOOKUP(B103,'Факт продаж'!A:E,5,0),"нет продаж")</f>
        <v>30759.594436222753</v>
      </c>
      <c r="F103" s="25">
        <f>IFERROR(VLOOKUP(B103,'Факт продаж'!A:C,3,0)/SUM('План Антонова'!$C$11:$C$13),0)</f>
        <v>4.5679284404592693E-4</v>
      </c>
      <c r="G103" s="5">
        <f>IFERROR(VLOOKUP(B103,'Факт продаж'!J:K,2,0),"нет продаж")</f>
        <v>207</v>
      </c>
      <c r="H103" s="48">
        <f>IFERROR(VLOOKUP(B103,'Факт продаж'!J:L,3,0),"нет продаж")</f>
        <v>214920.65</v>
      </c>
      <c r="I103" s="48">
        <f>IFERROR(VLOOKUP(B103,'Факт продаж'!J:N,5,0),"нет продаж")</f>
        <v>110787.58218157143</v>
      </c>
      <c r="J103" s="7">
        <f>IFERROR(VLOOKUP(B103,'Факт продаж'!J:L,3,0)/SUM('План Антонова'!$C$14:$C$16),0)</f>
        <v>1.4839970489615923E-3</v>
      </c>
      <c r="K103" s="44">
        <f>IFERROR(VLOOKUP(B103,'Факт продаж'!J:O,6,0),"-")</f>
        <v>2.6017244119157521</v>
      </c>
      <c r="L103" s="44">
        <f>IF(AND(F103=0,J103&gt;0),5,IF(J103/F103&gt;5,5,IF(J103/F103=0,0.0000001,J103/F103)))</f>
        <v>3.2487309473096477</v>
      </c>
      <c r="M103" s="5">
        <f>IFERROR(VLOOKUP(B103,'Факт продаж'!S:T,2,0),"нет продаж")</f>
        <v>123</v>
      </c>
      <c r="N103" s="48">
        <f>IFERROR(VLOOKUP(B103,'Факт продаж'!S:U,3,0),"нет продаж")</f>
        <v>142173.29999999996</v>
      </c>
      <c r="O103" s="48">
        <f>IFERROR(VLOOKUP(B103,'Факт продаж'!S:W,5,0),"нет продаж")</f>
        <v>74021.624140066415</v>
      </c>
      <c r="P103" s="7">
        <f>IFERROR(VLOOKUP(B103,'Факт продаж'!S:U,3,0)/SUM('План Антонова'!$C$17:$C$19),0)</f>
        <v>8.6598473120864125E-4</v>
      </c>
      <c r="Q103" s="44">
        <f>IFERROR(VLOOKUP(B103,'Факт продаж'!S:X,6,0),"-")</f>
        <v>-0.33185991893250932</v>
      </c>
      <c r="R103" s="44">
        <f>IF(AND(J103=0,P103&gt;0),5,IF(P103/J103&gt;5,5,IF(P103/J103=0,0.0000001,P103/J103)))</f>
        <v>0.58354882296740607</v>
      </c>
      <c r="S103" s="16">
        <f>IFERROR(VLOOKUP(B103,'Факт продаж'!AB:AD,2,0),"нет продаж")</f>
        <v>313</v>
      </c>
      <c r="T103" s="16">
        <f>IFERROR(VLOOKUP(B103,'Факт продаж'!AB:AD,3,0),"нет продаж")</f>
        <v>354117.80999999988</v>
      </c>
      <c r="U103" s="16">
        <f>IFERROR(VLOOKUP(B103,'Факт продаж'!AB:AF,5,0),"нет продаж")</f>
        <v>172719.51809417384</v>
      </c>
      <c r="V103" s="7">
        <f>IFERROR(VLOOKUP(B103,'Факт продаж'!AB:AD,3,0)/SUM('План Антонова'!$C$20:$C$22),0)</f>
        <v>2.301304427684725E-3</v>
      </c>
      <c r="W103" s="44">
        <f>IFERROR(VLOOKUP(B103,'Факт продаж'!AB:AG,6,0),"-")</f>
        <v>1.3333656901035793</v>
      </c>
      <c r="X103" s="44">
        <f>IF(AND(P103=0,V103&gt;0),5,IF(V103/P103&gt;5,5,IF(V103/P103=0,0.0000001,V103/P103)))</f>
        <v>2.6574422674552594</v>
      </c>
      <c r="Y103" s="44">
        <f>IFERROR(VLOOKUP(B103,'Факт продаж'!AB:AH,7,0),"-")</f>
        <v>4.6151428931318383</v>
      </c>
      <c r="Z103" s="44">
        <f>IF(AND(F103=0,V103&gt;0),5,IF(V103/F103&gt;5,5,IF(V103/F103=0,0.0000001,V103/F103)))</f>
        <v>5</v>
      </c>
      <c r="AB103" s="10" t="str">
        <f>IFERROR(VLOOKUP(VALUE(IF(L103&lt;1,1,0)&amp;IF(J103&lt;'Факт продаж'!$M$24,0,1)),$AB$1:$AC$4,2,FALSE),"НЕТ ПРОДАЖ")</f>
        <v>Звезда</v>
      </c>
      <c r="AC103" s="10" t="str">
        <f>IFERROR(VLOOKUP(VALUE(IF(R103&lt;1,1,0)&amp;IF(P103&lt;'Факт продаж'!$V$24,0,1)),$AB$1:$AC$4,2,FALSE),"НЕТ ПРОДАЖ")</f>
        <v>Собака</v>
      </c>
      <c r="AD103" s="10" t="str">
        <f>IFERROR(VLOOKUP(VALUE(IF(X103&lt;1,1,0)&amp;IF(V103&lt;'Факт продаж'!$AE$24,0,1)),$AB$1:$AC$4,2,FALSE),"НЕТ ПРОДАЖ")</f>
        <v>Звезда</v>
      </c>
      <c r="AE103" s="18" t="str">
        <f>IFERROR(VLOOKUP(VALUE(IF(Z103&lt;1,1,0)&amp;IF(V103&lt;'Факт продаж'!$AE$24,0,1)),$AB$1:$AC$4,2,FALSE),"НЕТ ПРОДАЖ")</f>
        <v>Звезда</v>
      </c>
      <c r="AF103" s="74" t="str">
        <f>VLOOKUP(B103,'ABC расчет'!B:G,6,0)</f>
        <v>C</v>
      </c>
      <c r="AG103" s="74" t="str">
        <f>VLOOKUP(B103,'ABC расчет'!K:P,6,0)</f>
        <v>B</v>
      </c>
      <c r="AH103" s="74" t="str">
        <f>VLOOKUP(B103,'ABC расчет'!T:Y,6,0)</f>
        <v>C</v>
      </c>
      <c r="AI103" s="74" t="str">
        <f>VLOOKUP(B103,'ABC расчет'!AC:AH,6,0)</f>
        <v>B</v>
      </c>
      <c r="AJ103" s="74"/>
      <c r="AK103" s="74"/>
      <c r="AL103" s="19"/>
    </row>
    <row r="104" spans="1:38" x14ac:dyDescent="0.3">
      <c r="A104" s="51" t="s">
        <v>271</v>
      </c>
      <c r="B104" s="21" t="s">
        <v>86</v>
      </c>
      <c r="C104" s="20">
        <f>IFERROR(VLOOKUP(B104,'Факт продаж'!A:B,2,0),"нет продаж")</f>
        <v>17</v>
      </c>
      <c r="D104" s="47">
        <f>IFERROR(VLOOKUP(B104,'Факт продаж'!A:C,3,0),"нет продаж")</f>
        <v>96299.424100000004</v>
      </c>
      <c r="E104" s="47">
        <f>IFERROR(VLOOKUP(B104,'Факт продаж'!A:E,5,0),"нет продаж")</f>
        <v>49725.527520329961</v>
      </c>
      <c r="F104" s="25">
        <f>IFERROR(VLOOKUP(B104,'Факт продаж'!A:C,3,0)/SUM('План Антонова'!$C$11:$C$13),0)</f>
        <v>7.3121172803343589E-4</v>
      </c>
      <c r="G104" s="5">
        <f>IFERROR(VLOOKUP(B104,'Факт продаж'!J:K,2,0),"нет продаж")</f>
        <v>40</v>
      </c>
      <c r="H104" s="48">
        <f>IFERROR(VLOOKUP(B104,'Факт продаж'!J:L,3,0),"нет продаж")</f>
        <v>252819.15000000002</v>
      </c>
      <c r="I104" s="48">
        <f>IFERROR(VLOOKUP(B104,'Факт продаж'!J:N,5,0),"нет продаж")</f>
        <v>130825.57922303784</v>
      </c>
      <c r="J104" s="7">
        <f>IFERROR(VLOOKUP(B104,'Факт продаж'!J:L,3,0)/SUM('План Антонова'!$C$14:$C$16),0)</f>
        <v>1.7456808944183735E-3</v>
      </c>
      <c r="K104" s="44">
        <f>IFERROR(VLOOKUP(B104,'Факт продаж'!J:O,6,0),"-")</f>
        <v>1.630954074233816</v>
      </c>
      <c r="L104" s="44">
        <f>IF(AND(F104=0,J104&gt;0),5,IF(J104/F104&gt;5,5,IF(J104/F104=0,0.0000001,J104/F104)))</f>
        <v>2.387380874091436</v>
      </c>
      <c r="M104" s="5">
        <f>IFERROR(VLOOKUP(B104,'Факт продаж'!S:T,2,0),"нет продаж")</f>
        <v>46</v>
      </c>
      <c r="N104" s="48">
        <f>IFERROR(VLOOKUP(B104,'Факт продаж'!S:U,3,0),"нет продаж")</f>
        <v>305862.59999999998</v>
      </c>
      <c r="O104" s="48">
        <f>IFERROR(VLOOKUP(B104,'Факт продаж'!S:W,5,0),"нет продаж")</f>
        <v>136708.83989178605</v>
      </c>
      <c r="P104" s="7">
        <f>IFERROR(VLOOKUP(B104,'Факт продаж'!S:U,3,0)/SUM('План Антонова'!$C$17:$C$19),0)</f>
        <v>1.8630245021236491E-3</v>
      </c>
      <c r="Q104" s="44">
        <f>IFERROR(VLOOKUP(B104,'Факт продаж'!S:X,6,0),"-")</f>
        <v>4.4970262724525201E-2</v>
      </c>
      <c r="R104" s="44">
        <f>IF(AND(J104=0,P104&gt;0),5,IF(P104/J104&gt;5,5,IF(P104/J104=0,0.0000001,P104/J104)))</f>
        <v>1.067219391631351</v>
      </c>
      <c r="S104" s="16">
        <f>IFERROR(VLOOKUP(B104,'Факт продаж'!AB:AD,2,0),"нет продаж")</f>
        <v>46</v>
      </c>
      <c r="T104" s="16">
        <f>IFERROR(VLOOKUP(B104,'Факт продаж'!AB:AD,3,0),"нет продаж")</f>
        <v>364751.45999999996</v>
      </c>
      <c r="U104" s="16">
        <f>IFERROR(VLOOKUP(B104,'Факт продаж'!AB:AF,5,0),"нет продаж")</f>
        <v>167134.25975388888</v>
      </c>
      <c r="V104" s="7">
        <f>IFERROR(VLOOKUP(B104,'Факт продаж'!AB:AD,3,0)/SUM('План Антонова'!$C$20:$C$22),0)</f>
        <v>2.3704092993867441E-3</v>
      </c>
      <c r="W104" s="44">
        <f>IFERROR(VLOOKUP(B104,'Факт продаж'!AB:AG,6,0),"-")</f>
        <v>0.2225563459260318</v>
      </c>
      <c r="X104" s="44">
        <f>IF(AND(P104=0,V104&gt;0),5,IF(V104/P104&gt;5,5,IF(V104/P104=0,0.0000001,V104/P104)))</f>
        <v>1.2723446721633185</v>
      </c>
      <c r="Y104" s="44">
        <f>IFERROR(VLOOKUP(B104,'Факт продаж'!AB:AH,7,0),"-")</f>
        <v>2.3611359816254764</v>
      </c>
      <c r="Z104" s="44">
        <f>IF(AND(F104=0,V104&gt;0),5,IF(V104/F104&gt;5,5,IF(V104/F104=0,0.0000001,V104/F104)))</f>
        <v>3.2417550327890159</v>
      </c>
      <c r="AB104" s="10" t="str">
        <f>IFERROR(VLOOKUP(VALUE(IF(L104&lt;1,1,0)&amp;IF(J104&lt;'Факт продаж'!$M$24,0,1)),$AB$1:$AC$4,2,FALSE),"НЕТ ПРОДАЖ")</f>
        <v>Звезда</v>
      </c>
      <c r="AC104" s="10" t="str">
        <f>IFERROR(VLOOKUP(VALUE(IF(R104&lt;1,1,0)&amp;IF(P104&lt;'Факт продаж'!$V$24,0,1)),$AB$1:$AC$4,2,FALSE),"НЕТ ПРОДАЖ")</f>
        <v>Звезда</v>
      </c>
      <c r="AD104" s="10" t="str">
        <f>IFERROR(VLOOKUP(VALUE(IF(X104&lt;1,1,0)&amp;IF(V104&lt;'Факт продаж'!$AE$24,0,1)),$AB$1:$AC$4,2,FALSE),"НЕТ ПРОДАЖ")</f>
        <v>Звезда</v>
      </c>
      <c r="AE104" s="18" t="str">
        <f>IFERROR(VLOOKUP(VALUE(IF(Z104&lt;1,1,0)&amp;IF(V104&lt;'Факт продаж'!$AE$24,0,1)),$AB$1:$AC$4,2,FALSE),"НЕТ ПРОДАЖ")</f>
        <v>Звезда</v>
      </c>
      <c r="AF104" s="74" t="str">
        <f>VLOOKUP(B104,'ABC расчет'!B:G,6,0)</f>
        <v>B</v>
      </c>
      <c r="AG104" s="74" t="str">
        <f>VLOOKUP(B104,'ABC расчет'!K:P,6,0)</f>
        <v>B</v>
      </c>
      <c r="AH104" s="74" t="str">
        <f>VLOOKUP(B104,'ABC расчет'!T:Y,6,0)</f>
        <v>C</v>
      </c>
      <c r="AI104" s="74" t="str">
        <f>VLOOKUP(B104,'ABC расчет'!AC:AH,6,0)</f>
        <v>B</v>
      </c>
      <c r="AJ104" s="74"/>
      <c r="AK104" s="74"/>
      <c r="AL104" s="19"/>
    </row>
    <row r="105" spans="1:38" x14ac:dyDescent="0.3">
      <c r="A105" s="51" t="s">
        <v>256</v>
      </c>
      <c r="B105" s="21" t="s">
        <v>312</v>
      </c>
      <c r="C105" s="20">
        <f>IFERROR(VLOOKUP(B105,'Факт продаж'!A:B,2,0),"нет продаж")</f>
        <v>9</v>
      </c>
      <c r="D105" s="47">
        <f>IFERROR(VLOOKUP(B105,'Факт продаж'!A:C,3,0),"нет продаж")</f>
        <v>15611.5337</v>
      </c>
      <c r="E105" s="47">
        <f>IFERROR(VLOOKUP(B105,'Факт продаж'!A:E,5,0),"нет продаж")</f>
        <v>6213.575330285199</v>
      </c>
      <c r="F105" s="25">
        <f>IFERROR(VLOOKUP(B105,'Факт продаж'!A:C,3,0)/SUM('План Антонова'!$C$11:$C$13),0)</f>
        <v>1.1854002908859782E-4</v>
      </c>
      <c r="G105" s="5">
        <f>IFERROR(VLOOKUP(B105,'Факт продаж'!J:K,2,0),"нет продаж")</f>
        <v>69</v>
      </c>
      <c r="H105" s="48">
        <f>IFERROR(VLOOKUP(B105,'Факт продаж'!J:L,3,0),"нет продаж")</f>
        <v>140383.50000000003</v>
      </c>
      <c r="I105" s="48">
        <f>IFERROR(VLOOKUP(B105,'Факт продаж'!J:N,5,0),"нет продаж")</f>
        <v>50734.161668808316</v>
      </c>
      <c r="J105" s="7">
        <f>IFERROR(VLOOKUP(B105,'Факт продаж'!J:L,3,0)/SUM('План Антонова'!$C$14:$C$16),0)</f>
        <v>9.6932844620979761E-4</v>
      </c>
      <c r="K105" s="44">
        <f>IFERROR(VLOOKUP(B105,'Факт продаж'!J:O,6,0),"-")</f>
        <v>7.165051354817912</v>
      </c>
      <c r="L105" s="44">
        <f>IF(AND(F105=0,J105&gt;0),5,IF(J105/F105&gt;5,5,IF(J105/F105=0,0.0000001,J105/F105)))</f>
        <v>5</v>
      </c>
      <c r="M105" s="5">
        <f>IFERROR(VLOOKUP(B105,'Факт продаж'!S:T,2,0),"нет продаж")</f>
        <v>126</v>
      </c>
      <c r="N105" s="48">
        <f>IFERROR(VLOOKUP(B105,'Факт продаж'!S:U,3,0),"нет продаж")</f>
        <v>300335.39999999991</v>
      </c>
      <c r="O105" s="48">
        <f>IFERROR(VLOOKUP(B105,'Факт продаж'!S:W,5,0),"нет продаж")</f>
        <v>107006.26581077493</v>
      </c>
      <c r="P105" s="7">
        <f>IFERROR(VLOOKUP(B105,'Факт продаж'!S:U,3,0)/SUM('План Антонова'!$C$17:$C$19),0)</f>
        <v>1.8293580485325988E-3</v>
      </c>
      <c r="Q105" s="44">
        <f>IFERROR(VLOOKUP(B105,'Факт продаж'!S:X,6,0),"-")</f>
        <v>1.1091560851898943</v>
      </c>
      <c r="R105" s="44">
        <f>IF(AND(J105=0,P105&gt;0),5,IF(P105/J105&gt;5,5,IF(P105/J105=0,0.0000001,P105/J105)))</f>
        <v>1.8872427149802842</v>
      </c>
      <c r="S105" s="16">
        <f>IFERROR(VLOOKUP(B105,'Факт продаж'!AB:AD,2,0),"нет продаж")</f>
        <v>199</v>
      </c>
      <c r="T105" s="16">
        <f>IFERROR(VLOOKUP(B105,'Факт продаж'!AB:AD,3,0),"нет продаж")</f>
        <v>483196.96999999986</v>
      </c>
      <c r="U105" s="16">
        <f>IFERROR(VLOOKUP(B105,'Факт продаж'!AB:AF,5,0),"нет продаж")</f>
        <v>161508.59941283864</v>
      </c>
      <c r="V105" s="7">
        <f>IFERROR(VLOOKUP(B105,'Факт продаж'!AB:AD,3,0)/SUM('План Антонова'!$C$20:$C$22),0)</f>
        <v>3.1401508060406318E-3</v>
      </c>
      <c r="W105" s="44">
        <f>IFERROR(VLOOKUP(B105,'Факт продаж'!AB:AG,6,0),"-")</f>
        <v>0.50933777745728626</v>
      </c>
      <c r="X105" s="44">
        <f>IF(AND(P105=0,V105&gt;0),5,IF(V105/P105&gt;5,5,IF(V105/P105=0,0.0000001,V105/P105)))</f>
        <v>1.7165315497201175</v>
      </c>
      <c r="Y105" s="44">
        <f>IFERROR(VLOOKUP(B105,'Факт продаж'!AB:AH,7,0),"-")</f>
        <v>24.992860925921292</v>
      </c>
      <c r="Z105" s="44">
        <f>IF(AND(F105=0,V105&gt;0),5,IF(V105/F105&gt;5,5,IF(V105/F105=0,0.0000001,V105/F105)))</f>
        <v>5</v>
      </c>
      <c r="AB105" s="10" t="str">
        <f>IFERROR(VLOOKUP(VALUE(IF(L105&lt;1,1,0)&amp;IF(J105&lt;'Факт продаж'!$M$24,0,1)),$AB$1:$AC$4,2,FALSE),"НЕТ ПРОДАЖ")</f>
        <v>Звезда</v>
      </c>
      <c r="AC105" s="10" t="str">
        <f>IFERROR(VLOOKUP(VALUE(IF(R105&lt;1,1,0)&amp;IF(P105&lt;'Факт продаж'!$V$24,0,1)),$AB$1:$AC$4,2,FALSE),"НЕТ ПРОДАЖ")</f>
        <v>Звезда</v>
      </c>
      <c r="AD105" s="10" t="str">
        <f>IFERROR(VLOOKUP(VALUE(IF(X105&lt;1,1,0)&amp;IF(V105&lt;'Факт продаж'!$AE$24,0,1)),$AB$1:$AC$4,2,FALSE),"НЕТ ПРОДАЖ")</f>
        <v>Звезда</v>
      </c>
      <c r="AE105" s="18" t="str">
        <f>IFERROR(VLOOKUP(VALUE(IF(Z105&lt;1,1,0)&amp;IF(V105&lt;'Факт продаж'!$AE$24,0,1)),$AB$1:$AC$4,2,FALSE),"НЕТ ПРОДАЖ")</f>
        <v>Звезда</v>
      </c>
      <c r="AF105" s="74" t="str">
        <f>VLOOKUP(B105,'ABC расчет'!B:G,6,0)</f>
        <v>B</v>
      </c>
      <c r="AG105" s="74" t="str">
        <f>VLOOKUP(B105,'ABC расчет'!K:P,6,0)</f>
        <v>C</v>
      </c>
      <c r="AH105" s="74" t="str">
        <f>VLOOKUP(B105,'ABC расчет'!T:Y,6,0)</f>
        <v>A</v>
      </c>
      <c r="AI105" s="74" t="str">
        <f>VLOOKUP(B105,'ABC расчет'!AC:AH,6,0)</f>
        <v>A</v>
      </c>
      <c r="AJ105" s="74" t="s">
        <v>452</v>
      </c>
      <c r="AK105" s="74"/>
      <c r="AL105" s="19"/>
    </row>
    <row r="106" spans="1:38" x14ac:dyDescent="0.3">
      <c r="A106" s="51" t="s">
        <v>116</v>
      </c>
      <c r="B106" s="21" t="s">
        <v>135</v>
      </c>
      <c r="C106" s="20">
        <f>IFERROR(VLOOKUP(B106,'Факт продаж'!A:B,2,0),"нет продаж")</f>
        <v>13</v>
      </c>
      <c r="D106" s="47">
        <f>IFERROR(VLOOKUP(B106,'Факт продаж'!A:C,3,0),"нет продаж")</f>
        <v>67503.61069999999</v>
      </c>
      <c r="E106" s="47">
        <f>IFERROR(VLOOKUP(B106,'Факт продаж'!A:E,5,0),"нет продаж")</f>
        <v>31726.166556468164</v>
      </c>
      <c r="F106" s="25">
        <f>IFERROR(VLOOKUP(B106,'Факт продаж'!A:C,3,0)/SUM('План Антонова'!$C$11:$C$13),0)</f>
        <v>5.125620665933279E-4</v>
      </c>
      <c r="G106" s="5">
        <f>IFERROR(VLOOKUP(B106,'Факт продаж'!J:K,2,0),"нет продаж")</f>
        <v>7</v>
      </c>
      <c r="H106" s="48">
        <f>IFERROR(VLOOKUP(B106,'Факт продаж'!J:L,3,0),"нет продаж")</f>
        <v>45265.299999999996</v>
      </c>
      <c r="I106" s="48">
        <f>IFERROR(VLOOKUP(B106,'Факт продаж'!J:N,5,0),"нет продаж")</f>
        <v>24612.41511667216</v>
      </c>
      <c r="J106" s="7">
        <f>IFERROR(VLOOKUP(B106,'Факт продаж'!J:L,3,0)/SUM('План Антонова'!$C$14:$C$16),0)</f>
        <v>3.1255056980500085E-4</v>
      </c>
      <c r="K106" s="44">
        <f>IFERROR(VLOOKUP(B106,'Факт продаж'!J:O,6,0),"-")</f>
        <v>-0.2242234789738784</v>
      </c>
      <c r="L106" s="44">
        <f>IF(AND(F106=0,J106&gt;0),5,IF(J106/F106&gt;5,5,IF(J106/F106=0,0.0000001,J106/F106)))</f>
        <v>0.60978092249846838</v>
      </c>
      <c r="M106" s="5">
        <f>IFERROR(VLOOKUP(B106,'Факт продаж'!S:T,2,0),"нет продаж")</f>
        <v>41</v>
      </c>
      <c r="N106" s="48">
        <f>IFERROR(VLOOKUP(B106,'Факт продаж'!S:U,3,0),"нет продаж")</f>
        <v>240488.60000000003</v>
      </c>
      <c r="O106" s="48">
        <f>IFERROR(VLOOKUP(B106,'Факт продаж'!S:W,5,0),"нет продаж")</f>
        <v>112292.58124839768</v>
      </c>
      <c r="P106" s="7">
        <f>IFERROR(VLOOKUP(B106,'Факт продаж'!S:U,3,0)/SUM('План Антонова'!$C$17:$C$19),0)</f>
        <v>1.4648281754010249E-3</v>
      </c>
      <c r="Q106" s="44">
        <f>IFERROR(VLOOKUP(B106,'Факт продаж'!S:X,6,0),"-")</f>
        <v>3.5624365067827908</v>
      </c>
      <c r="R106" s="44">
        <f>IF(AND(J106=0,P106&gt;0),5,IF(P106/J106&gt;5,5,IF(P106/J106=0,0.0000001,P106/J106)))</f>
        <v>4.6866917450028192</v>
      </c>
      <c r="S106" s="16">
        <f>IFERROR(VLOOKUP(B106,'Факт продаж'!AB:AD,2,0),"нет продаж")</f>
        <v>82</v>
      </c>
      <c r="T106" s="16">
        <f>IFERROR(VLOOKUP(B106,'Факт продаж'!AB:AD,3,0),"нет продаж")</f>
        <v>398543.4</v>
      </c>
      <c r="U106" s="16">
        <f>IFERROR(VLOOKUP(B106,'Факт продаж'!AB:AF,5,0),"нет продаж")</f>
        <v>154297.64984127338</v>
      </c>
      <c r="V106" s="7">
        <f>IFERROR(VLOOKUP(B106,'Факт продаж'!AB:AD,3,0)/SUM('План Антонова'!$C$20:$C$22),0)</f>
        <v>2.59001288595037E-3</v>
      </c>
      <c r="W106" s="44">
        <f>IFERROR(VLOOKUP(B106,'Факт продаж'!AB:AG,6,0),"-")</f>
        <v>0.37406806510180823</v>
      </c>
      <c r="X106" s="44">
        <f>IF(AND(P106=0,V106&gt;0),5,IF(V106/P106&gt;5,5,IF(V106/P106=0,0.0000001,V106/P106)))</f>
        <v>1.7681342627378833</v>
      </c>
      <c r="Y106" s="44">
        <f>IFERROR(VLOOKUP(B106,'Факт продаж'!AB:AH,7,0),"-")</f>
        <v>3.8634192714914048</v>
      </c>
      <c r="Z106" s="44">
        <f>IF(AND(F106=0,V106&gt;0),5,IF(V106/F106&gt;5,5,IF(V106/F106=0,0.0000001,V106/F106)))</f>
        <v>5</v>
      </c>
      <c r="AB106" s="10" t="str">
        <f>IFERROR(VLOOKUP(VALUE(IF(L106&lt;1,1,0)&amp;IF(J106&lt;'Факт продаж'!$M$24,0,1)),$AB$1:$AC$4,2,FALSE),"НЕТ ПРОДАЖ")</f>
        <v>Собака</v>
      </c>
      <c r="AC106" s="10" t="str">
        <f>IFERROR(VLOOKUP(VALUE(IF(R106&lt;1,1,0)&amp;IF(P106&lt;'Факт продаж'!$V$24,0,1)),$AB$1:$AC$4,2,FALSE),"НЕТ ПРОДАЖ")</f>
        <v>Звезда</v>
      </c>
      <c r="AD106" s="10" t="str">
        <f>IFERROR(VLOOKUP(VALUE(IF(X106&lt;1,1,0)&amp;IF(V106&lt;'Факт продаж'!$AE$24,0,1)),$AB$1:$AC$4,2,FALSE),"НЕТ ПРОДАЖ")</f>
        <v>Звезда</v>
      </c>
      <c r="AE106" s="18" t="str">
        <f>IFERROR(VLOOKUP(VALUE(IF(Z106&lt;1,1,0)&amp;IF(V106&lt;'Факт продаж'!$AE$24,0,1)),$AB$1:$AC$4,2,FALSE),"НЕТ ПРОДАЖ")</f>
        <v>Звезда</v>
      </c>
      <c r="AF106" s="74" t="str">
        <f>VLOOKUP(B106,'ABC расчет'!B:G,6,0)</f>
        <v>C</v>
      </c>
      <c r="AG106" s="74" t="str">
        <f>VLOOKUP(B106,'ABC расчет'!K:P,6,0)</f>
        <v>C</v>
      </c>
      <c r="AH106" s="74" t="str">
        <f>VLOOKUP(B106,'ABC расчет'!T:Y,6,0)</f>
        <v>C</v>
      </c>
      <c r="AI106" s="74" t="str">
        <f>VLOOKUP(B106,'ABC расчет'!AC:AH,6,0)</f>
        <v>B</v>
      </c>
      <c r="AJ106" s="74"/>
      <c r="AK106" s="74"/>
      <c r="AL106" s="19"/>
    </row>
    <row r="107" spans="1:38" x14ac:dyDescent="0.3">
      <c r="A107" s="51" t="s">
        <v>252</v>
      </c>
      <c r="B107" s="20" t="s">
        <v>278</v>
      </c>
      <c r="C107" s="20">
        <f>IFERROR(VLOOKUP(B107,'Факт продаж'!A:B,2,0),"нет продаж")</f>
        <v>41</v>
      </c>
      <c r="D107" s="47">
        <f>IFERROR(VLOOKUP(B107,'Факт продаж'!A:C,3,0),"нет продаж")</f>
        <v>40022.090499999998</v>
      </c>
      <c r="E107" s="47">
        <f>IFERROR(VLOOKUP(B107,'Факт продаж'!A:E,5,0),"нет продаж")</f>
        <v>9402.3130855299951</v>
      </c>
      <c r="F107" s="25">
        <f>IFERROR(VLOOKUP(B107,'Факт продаж'!A:C,3,0)/SUM('План Антонова'!$C$11:$C$13),0)</f>
        <v>3.0389197264177152E-4</v>
      </c>
      <c r="G107" s="5">
        <f>IFERROR(VLOOKUP(B107,'Факт продаж'!J:K,2,0),"нет продаж")</f>
        <v>565</v>
      </c>
      <c r="H107" s="48">
        <f>IFERROR(VLOOKUP(B107,'Факт продаж'!J:L,3,0),"нет продаж")</f>
        <v>840703.54</v>
      </c>
      <c r="I107" s="48">
        <f>IFERROR(VLOOKUP(B107,'Факт продаж'!J:N,5,0),"нет продаж")</f>
        <v>333288.63206896547</v>
      </c>
      <c r="J107" s="7">
        <f>IFERROR(VLOOKUP(B107,'Факт продаж'!J:L,3,0)/SUM('План Антонова'!$C$14:$C$16),0)</f>
        <v>5.8049404392344992E-3</v>
      </c>
      <c r="K107" s="44">
        <f>IFERROR(VLOOKUP(B107,'Факт продаж'!J:O,6,0),"-")</f>
        <v>34.447514780367307</v>
      </c>
      <c r="L107" s="44">
        <f>IF(AND(F107=0,J107&gt;0),5,IF(J107/F107&gt;5,5,IF(J107/F107=0,0.0000001,J107/F107)))</f>
        <v>5</v>
      </c>
      <c r="M107" s="5">
        <f>IFERROR(VLOOKUP(B107,'Факт продаж'!S:T,2,0),"нет продаж")</f>
        <v>231</v>
      </c>
      <c r="N107" s="48">
        <f>IFERROR(VLOOKUP(B107,'Факт продаж'!S:U,3,0),"нет продаж")</f>
        <v>362606.14</v>
      </c>
      <c r="O107" s="48">
        <f>IFERROR(VLOOKUP(B107,'Факт продаж'!S:W,5,0),"нет продаж")</f>
        <v>96667.367569922295</v>
      </c>
      <c r="P107" s="7">
        <f>IFERROR(VLOOKUP(B107,'Факт продаж'!S:U,3,0)/SUM('План Антонова'!$C$17:$C$19),0)</f>
        <v>2.2086522622918863E-3</v>
      </c>
      <c r="Q107" s="44">
        <f>IFERROR(VLOOKUP(B107,'Факт продаж'!S:X,6,0),"-")</f>
        <v>-0.70995900169220449</v>
      </c>
      <c r="R107" s="44">
        <f>IF(AND(J107=0,P107&gt;0),5,IF(P107/J107&gt;5,5,IF(P107/J107=0,0.0000001,P107/J107)))</f>
        <v>0.3804780230584317</v>
      </c>
      <c r="S107" s="16">
        <f>IFERROR(VLOOKUP(B107,'Факт продаж'!AB:AD,2,0),"нет продаж")</f>
        <v>310</v>
      </c>
      <c r="T107" s="16">
        <f>IFERROR(VLOOKUP(B107,'Факт продаж'!AB:AD,3,0),"нет продаж")</f>
        <v>496491.2</v>
      </c>
      <c r="U107" s="16">
        <f>IFERROR(VLOOKUP(B107,'Факт продаж'!AB:AF,5,0),"нет продаж")</f>
        <v>151894.78033263452</v>
      </c>
      <c r="V107" s="7">
        <f>IFERROR(VLOOKUP(B107,'Факт продаж'!AB:AD,3,0)/SUM('План Антонова'!$C$20:$C$22),0)</f>
        <v>3.2265459815943817E-3</v>
      </c>
      <c r="W107" s="44">
        <f>IFERROR(VLOOKUP(B107,'Факт продаж'!AB:AG,6,0),"-")</f>
        <v>0.57131392062336483</v>
      </c>
      <c r="X107" s="44">
        <f>IF(AND(P107=0,V107&gt;0),5,IF(V107/P107&gt;5,5,IF(V107/P107=0,0.0000001,V107/P107)))</f>
        <v>1.4608664463305971</v>
      </c>
      <c r="Y107" s="44">
        <f>IFERROR(VLOOKUP(B107,'Факт продаж'!AB:AH,7,0),"-")</f>
        <v>15.155043865365222</v>
      </c>
      <c r="Z107" s="44">
        <f>IF(AND(F107=0,V107&gt;0),5,IF(V107/F107&gt;5,5,IF(V107/F107=0,0.0000001,V107/F107)))</f>
        <v>5</v>
      </c>
      <c r="AB107" s="10" t="str">
        <f>IFERROR(VLOOKUP(VALUE(IF(L107&lt;1,1,0)&amp;IF(J107&lt;'Факт продаж'!$M$24,0,1)),$AB$1:$AC$4,2,FALSE),"НЕТ ПРОДАЖ")</f>
        <v>Звезда</v>
      </c>
      <c r="AC107" s="10" t="str">
        <f>IFERROR(VLOOKUP(VALUE(IF(R107&lt;1,1,0)&amp;IF(P107&lt;'Факт продаж'!$V$24,0,1)),$AB$1:$AC$4,2,FALSE),"НЕТ ПРОДАЖ")</f>
        <v>Корова</v>
      </c>
      <c r="AD107" s="10" t="str">
        <f>IFERROR(VLOOKUP(VALUE(IF(X107&lt;1,1,0)&amp;IF(V107&lt;'Факт продаж'!$AE$24,0,1)),$AB$1:$AC$4,2,FALSE),"НЕТ ПРОДАЖ")</f>
        <v>Звезда</v>
      </c>
      <c r="AE107" s="18" t="str">
        <f>IFERROR(VLOOKUP(VALUE(IF(Z107&lt;1,1,0)&amp;IF(V107&lt;'Факт продаж'!$AE$24,0,1)),$AB$1:$AC$4,2,FALSE),"НЕТ ПРОДАЖ")</f>
        <v>Звезда</v>
      </c>
      <c r="AF107" s="74" t="str">
        <f>VLOOKUP(B107,'ABC расчет'!B:G,6,0)</f>
        <v>C</v>
      </c>
      <c r="AG107" s="74" t="str">
        <f>VLOOKUP(B107,'ABC расчет'!K:P,6,0)</f>
        <v>A</v>
      </c>
      <c r="AH107" s="74" t="str">
        <f>VLOOKUP(B107,'ABC расчет'!T:Y,6,0)</f>
        <v>B</v>
      </c>
      <c r="AI107" s="74" t="str">
        <f>VLOOKUP(B107,'ABC расчет'!AC:AH,6,0)</f>
        <v>A</v>
      </c>
      <c r="AJ107" s="74" t="s">
        <v>452</v>
      </c>
      <c r="AK107" s="74"/>
      <c r="AL107" s="19"/>
    </row>
    <row r="108" spans="1:38" ht="15" customHeight="1" x14ac:dyDescent="0.3">
      <c r="A108" s="51" t="s">
        <v>260</v>
      </c>
      <c r="B108" s="21" t="s">
        <v>225</v>
      </c>
      <c r="C108" s="20">
        <f>IFERROR(VLOOKUP(B108,'Факт продаж'!A:B,2,0),"нет продаж")</f>
        <v>192</v>
      </c>
      <c r="D108" s="47">
        <f>IFERROR(VLOOKUP(B108,'Факт продаж'!A:C,3,0),"нет продаж")</f>
        <v>130327.7414</v>
      </c>
      <c r="E108" s="47">
        <f>IFERROR(VLOOKUP(B108,'Факт продаж'!A:E,5,0),"нет продаж")</f>
        <v>44639.111652336032</v>
      </c>
      <c r="F108" s="25">
        <f>IFERROR(VLOOKUP(B108,'Факт продаж'!A:C,3,0)/SUM('План Антонова'!$C$11:$C$13),0)</f>
        <v>9.8959234585691306E-4</v>
      </c>
      <c r="G108" s="5">
        <f>IFERROR(VLOOKUP(B108,'Факт продаж'!J:K,2,0),"нет продаж")</f>
        <v>4</v>
      </c>
      <c r="H108" s="48">
        <f>IFERROR(VLOOKUP(B108,'Факт продаж'!J:L,3,0),"нет продаж")</f>
        <v>3978</v>
      </c>
      <c r="I108" s="48">
        <f>IFERROR(VLOOKUP(B108,'Факт продаж'!J:N,5,0),"нет продаж")</f>
        <v>1578.5183176653313</v>
      </c>
      <c r="J108" s="7">
        <f>IFERROR(VLOOKUP(B108,'Факт продаж'!J:L,3,0)/SUM('План Антонова'!$C$14:$C$16),0)</f>
        <v>2.7467533998102155E-5</v>
      </c>
      <c r="K108" s="44">
        <f>IFERROR(VLOOKUP(B108,'Факт продаж'!J:O,6,0),"-")</f>
        <v>-0.96463822286699286</v>
      </c>
      <c r="L108" s="44">
        <f>IF(AND(F108=0,J108&gt;0),5,IF(J108/F108&gt;5,5,IF(J108/F108=0,0.0000001,J108/F108)))</f>
        <v>2.7756413146382334E-2</v>
      </c>
      <c r="M108" s="5">
        <f>IFERROR(VLOOKUP(B108,'Факт продаж'!S:T,2,0),"нет продаж")</f>
        <v>271</v>
      </c>
      <c r="N108" s="48">
        <f>IFERROR(VLOOKUP(B108,'Факт продаж'!S:U,3,0),"нет продаж")</f>
        <v>204109.5</v>
      </c>
      <c r="O108" s="48">
        <f>IFERROR(VLOOKUP(B108,'Факт продаж'!S:W,5,0),"нет продаж")</f>
        <v>55993.385572910112</v>
      </c>
      <c r="P108" s="7">
        <f>IFERROR(VLOOKUP(B108,'Факт продаж'!S:U,3,0)/SUM('План Антонова'!$C$17:$C$19),0)</f>
        <v>1.2432412449779966E-3</v>
      </c>
      <c r="Q108" s="44">
        <f>IFERROR(VLOOKUP(B108,'Факт продаж'!S:X,6,0),"-")</f>
        <v>34.472116443809</v>
      </c>
      <c r="R108" s="44">
        <f>IF(AND(J108=0,P108&gt;0),5,IF(P108/J108&gt;5,5,IF(P108/J108=0,0.0000001,P108/J108)))</f>
        <v>5</v>
      </c>
      <c r="S108" s="16">
        <f>IFERROR(VLOOKUP(B108,'Факт продаж'!AB:AD,2,0),"нет продаж")</f>
        <v>293</v>
      </c>
      <c r="T108" s="16">
        <f>IFERROR(VLOOKUP(B108,'Факт продаж'!AB:AD,3,0),"нет продаж")</f>
        <v>310000.8</v>
      </c>
      <c r="U108" s="16">
        <f>IFERROR(VLOOKUP(B108,'Факт продаж'!AB:AF,5,0),"нет продаж")</f>
        <v>147535.94903780107</v>
      </c>
      <c r="V108" s="7">
        <f>IFERROR(VLOOKUP(B108,'Факт продаж'!AB:AD,3,0)/SUM('План Антонова'!$C$20:$C$22),0)</f>
        <v>2.0146013374074778E-3</v>
      </c>
      <c r="W108" s="44">
        <f>IFERROR(VLOOKUP(B108,'Факт продаж'!AB:AG,6,0),"-")</f>
        <v>1.634881736981086</v>
      </c>
      <c r="X108" s="44">
        <f>IF(AND(P108=0,V108&gt;0),5,IF(V108/P108&gt;5,5,IF(V108/P108=0,0.0000001,V108/P108)))</f>
        <v>1.6204428107138071</v>
      </c>
      <c r="Y108" s="44">
        <f>IFERROR(VLOOKUP(B108,'Факт продаж'!AB:AH,7,0),"-")</f>
        <v>2.3050825515269922</v>
      </c>
      <c r="Z108" s="44">
        <f>IF(AND(F108=0,V108&gt;0),5,IF(V108/F108&gt;5,5,IF(V108/F108=0,0.0000001,V108/F108)))</f>
        <v>2.0357891265448131</v>
      </c>
      <c r="AB108" s="10" t="str">
        <f>IFERROR(VLOOKUP(VALUE(IF(L108&lt;1,1,0)&amp;IF(J108&lt;'Факт продаж'!$M$24,0,1)),$AB$1:$AC$4,2,FALSE),"НЕТ ПРОДАЖ")</f>
        <v>Собака</v>
      </c>
      <c r="AC108" s="10" t="str">
        <f>IFERROR(VLOOKUP(VALUE(IF(R108&lt;1,1,0)&amp;IF(P108&lt;'Факт продаж'!$V$24,0,1)),$AB$1:$AC$4,2,FALSE),"НЕТ ПРОДАЖ")</f>
        <v>Звезда</v>
      </c>
      <c r="AD108" s="10" t="str">
        <f>IFERROR(VLOOKUP(VALUE(IF(X108&lt;1,1,0)&amp;IF(V108&lt;'Факт продаж'!$AE$24,0,1)),$AB$1:$AC$4,2,FALSE),"НЕТ ПРОДАЖ")</f>
        <v>Звезда</v>
      </c>
      <c r="AE108" s="18" t="str">
        <f>IFERROR(VLOOKUP(VALUE(IF(Z108&lt;1,1,0)&amp;IF(V108&lt;'Факт продаж'!$AE$24,0,1)),$AB$1:$AC$4,2,FALSE),"НЕТ ПРОДАЖ")</f>
        <v>Звезда</v>
      </c>
      <c r="AF108" s="74" t="str">
        <f>VLOOKUP(B108,'ABC расчет'!B:G,6,0)</f>
        <v>C</v>
      </c>
      <c r="AG108" s="74" t="str">
        <f>VLOOKUP(B108,'ABC расчет'!K:P,6,0)</f>
        <v>C</v>
      </c>
      <c r="AH108" s="74" t="str">
        <f>VLOOKUP(B108,'ABC расчет'!T:Y,6,0)</f>
        <v>A</v>
      </c>
      <c r="AI108" s="74" t="str">
        <f>VLOOKUP(B108,'ABC расчет'!AC:AH,6,0)</f>
        <v>A</v>
      </c>
      <c r="AJ108" s="74"/>
      <c r="AK108" s="74"/>
      <c r="AL108" s="5"/>
    </row>
    <row r="109" spans="1:38" x14ac:dyDescent="0.3">
      <c r="A109" s="51" t="s">
        <v>252</v>
      </c>
      <c r="B109" s="20" t="s">
        <v>194</v>
      </c>
      <c r="C109" s="20">
        <f>IFERROR(VLOOKUP(B109,'Факт продаж'!A:B,2,0),"нет продаж")</f>
        <v>29</v>
      </c>
      <c r="D109" s="47">
        <f>IFERROR(VLOOKUP(B109,'Факт продаж'!A:C,3,0),"нет продаж")</f>
        <v>90704.425499999998</v>
      </c>
      <c r="E109" s="47">
        <f>IFERROR(VLOOKUP(B109,'Факт продаж'!A:E,5,0),"нет продаж")</f>
        <v>42926.269190269319</v>
      </c>
      <c r="F109" s="25">
        <f>IFERROR(VLOOKUP(B109,'Факт продаж'!A:C,3,0)/SUM('План Антонова'!$C$11:$C$13),0)</f>
        <v>6.8872831099448949E-4</v>
      </c>
      <c r="G109" s="5">
        <f>IFERROR(VLOOKUP(B109,'Факт продаж'!J:K,2,0),"нет продаж")</f>
        <v>155</v>
      </c>
      <c r="H109" s="48">
        <f>IFERROR(VLOOKUP(B109,'Факт продаж'!J:L,3,0),"нет продаж")</f>
        <v>451577.47</v>
      </c>
      <c r="I109" s="48">
        <f>IFERROR(VLOOKUP(B109,'Факт продаж'!J:N,5,0),"нет продаж")</f>
        <v>157257.26284575721</v>
      </c>
      <c r="J109" s="7">
        <f>IFERROR(VLOOKUP(B109,'Факт продаж'!J:L,3,0)/SUM('План Антонова'!$C$14:$C$16),0)</f>
        <v>3.118079313725982E-3</v>
      </c>
      <c r="K109" s="44">
        <f>IFERROR(VLOOKUP(B109,'Факт продаж'!J:O,6,0),"-")</f>
        <v>2.6634272162977735</v>
      </c>
      <c r="L109" s="44">
        <f>IF(AND(F109=0,J109&gt;0),5,IF(J109/F109&gt;5,5,IF(J109/F109=0,0.0000001,J109/F109)))</f>
        <v>4.5272994647535691</v>
      </c>
      <c r="M109" s="5">
        <f>IFERROR(VLOOKUP(B109,'Факт продаж'!S:T,2,0),"нет продаж")</f>
        <v>169</v>
      </c>
      <c r="N109" s="48">
        <f>IFERROR(VLOOKUP(B109,'Факт продаж'!S:U,3,0),"нет продаж")</f>
        <v>510790.50000000006</v>
      </c>
      <c r="O109" s="48">
        <f>IFERROR(VLOOKUP(B109,'Факт продаж'!S:W,5,0),"нет продаж")</f>
        <v>166156.76334225119</v>
      </c>
      <c r="P109" s="7">
        <f>IFERROR(VLOOKUP(B109,'Факт продаж'!S:U,3,0)/SUM('План Антонова'!$C$17:$C$19),0)</f>
        <v>3.1112506627223794E-3</v>
      </c>
      <c r="Q109" s="44">
        <f>IFERROR(VLOOKUP(B109,'Факт продаж'!S:X,6,0),"-")</f>
        <v>5.659198395957632E-2</v>
      </c>
      <c r="R109" s="44">
        <f>IF(AND(J109=0,P109&gt;0),5,IF(P109/J109&gt;5,5,IF(P109/J109=0,0.0000001,P109/J109)))</f>
        <v>0.99780998162120427</v>
      </c>
      <c r="S109" s="16">
        <f>IFERROR(VLOOKUP(B109,'Факт продаж'!AB:AD,2,0),"нет продаж")</f>
        <v>110</v>
      </c>
      <c r="T109" s="16">
        <f>IFERROR(VLOOKUP(B109,'Факт продаж'!AB:AD,3,0),"нет продаж")</f>
        <v>370547.36999999994</v>
      </c>
      <c r="U109" s="16">
        <f>IFERROR(VLOOKUP(B109,'Факт продаж'!AB:AF,5,0),"нет продаж")</f>
        <v>146592.3636962357</v>
      </c>
      <c r="V109" s="7">
        <f>IFERROR(VLOOKUP(B109,'Факт продаж'!AB:AD,3,0)/SUM('План Антонова'!$C$20:$C$22),0)</f>
        <v>2.4080751635957823E-3</v>
      </c>
      <c r="W109" s="44">
        <f>IFERROR(VLOOKUP(B109,'Факт продаж'!AB:AG,6,0),"-")</f>
        <v>-0.11774663427763432</v>
      </c>
      <c r="X109" s="44">
        <f>IF(AND(P109=0,V109&gt;0),5,IF(V109/P109&gt;5,5,IF(V109/P109=0,0.0000001,V109/P109)))</f>
        <v>0.77398944175352602</v>
      </c>
      <c r="Y109" s="44">
        <f>IFERROR(VLOOKUP(B109,'Факт продаж'!AB:AH,7,0),"-")</f>
        <v>2.4149803013737281</v>
      </c>
      <c r="Z109" s="44">
        <f>IF(AND(F109=0,V109&gt;0),5,IF(V109/F109&gt;5,5,IF(V109/F109=0,0.0000001,V109/F109)))</f>
        <v>3.4964079814268727</v>
      </c>
      <c r="AB109" s="10" t="str">
        <f>IFERROR(VLOOKUP(VALUE(IF(L109&lt;1,1,0)&amp;IF(J109&lt;'Факт продаж'!$M$24,0,1)),$AB$1:$AC$4,2,FALSE),"НЕТ ПРОДАЖ")</f>
        <v>Звезда</v>
      </c>
      <c r="AC109" s="10" t="str">
        <f>IFERROR(VLOOKUP(VALUE(IF(R109&lt;1,1,0)&amp;IF(P109&lt;'Факт продаж'!$V$24,0,1)),$AB$1:$AC$4,2,FALSE),"НЕТ ПРОДАЖ")</f>
        <v>Корова</v>
      </c>
      <c r="AD109" s="10" t="str">
        <f>IFERROR(VLOOKUP(VALUE(IF(X109&lt;1,1,0)&amp;IF(V109&lt;'Факт продаж'!$AE$24,0,1)),$AB$1:$AC$4,2,FALSE),"НЕТ ПРОДАЖ")</f>
        <v>Корова</v>
      </c>
      <c r="AE109" s="18" t="str">
        <f>IFERROR(VLOOKUP(VALUE(IF(Z109&lt;1,1,0)&amp;IF(V109&lt;'Факт продаж'!$AE$24,0,1)),$AB$1:$AC$4,2,FALSE),"НЕТ ПРОДАЖ")</f>
        <v>Звезда</v>
      </c>
      <c r="AF109" s="74" t="str">
        <f>VLOOKUP(B109,'ABC расчет'!B:G,6,0)</f>
        <v>B</v>
      </c>
      <c r="AG109" s="74" t="str">
        <f>VLOOKUP(B109,'ABC расчет'!K:P,6,0)</f>
        <v>A</v>
      </c>
      <c r="AH109" s="74" t="str">
        <f>VLOOKUP(B109,'ABC расчет'!T:Y,6,0)</f>
        <v>A</v>
      </c>
      <c r="AI109" s="74" t="str">
        <f>VLOOKUP(B109,'ABC расчет'!AC:AH,6,0)</f>
        <v>B</v>
      </c>
      <c r="AJ109" s="74"/>
      <c r="AK109" s="74"/>
      <c r="AL109" s="19"/>
    </row>
    <row r="110" spans="1:38" x14ac:dyDescent="0.3">
      <c r="A110" s="51" t="s">
        <v>251</v>
      </c>
      <c r="B110" s="21" t="s">
        <v>34</v>
      </c>
      <c r="C110" s="20" t="str">
        <f>IFERROR(VLOOKUP(B110,'Факт продаж'!A:B,2,0),"нет продаж")</f>
        <v>нет продаж</v>
      </c>
      <c r="D110" s="47" t="str">
        <f>IFERROR(VLOOKUP(B110,'Факт продаж'!A:C,3,0),"нет продаж")</f>
        <v>нет продаж</v>
      </c>
      <c r="E110" s="47" t="str">
        <f>IFERROR(VLOOKUP(B110,'Факт продаж'!A:E,5,0),"нет продаж")</f>
        <v>нет продаж</v>
      </c>
      <c r="F110" s="25">
        <f>IFERROR(VLOOKUP(B110,'Факт продаж'!A:C,3,0)/SUM('План Антонова'!$C$11:$C$13),0)</f>
        <v>0</v>
      </c>
      <c r="G110" s="5" t="str">
        <f>IFERROR(VLOOKUP(B110,'Факт продаж'!J:K,2,0),"нет продаж")</f>
        <v>нет продаж</v>
      </c>
      <c r="H110" s="48" t="str">
        <f>IFERROR(VLOOKUP(B110,'Факт продаж'!J:L,3,0),"нет продаж")</f>
        <v>нет продаж</v>
      </c>
      <c r="I110" s="48" t="str">
        <f>IFERROR(VLOOKUP(B110,'Факт продаж'!J:N,5,0),"нет продаж")</f>
        <v>нет продаж</v>
      </c>
      <c r="J110" s="7">
        <f>IFERROR(VLOOKUP(B110,'Факт продаж'!J:L,3,0)/SUM('План Антонова'!$C$14:$C$16),0)</f>
        <v>0</v>
      </c>
      <c r="K110" s="44" t="str">
        <f>IFERROR(VLOOKUP(B110,'Факт продаж'!J:O,6,0),"-")</f>
        <v>-</v>
      </c>
      <c r="L110" s="44" t="e">
        <f>IF(AND(F110=0,J110&gt;0),5,IF(J110/F110&gt;5,5,IF(J110/F110=0,0.0000001,J110/F110)))</f>
        <v>#DIV/0!</v>
      </c>
      <c r="M110" s="5">
        <f>IFERROR(VLOOKUP(B110,'Факт продаж'!S:T,2,0),"нет продаж")</f>
        <v>19</v>
      </c>
      <c r="N110" s="48">
        <f>IFERROR(VLOOKUP(B110,'Факт продаж'!S:U,3,0),"нет продаж")</f>
        <v>74355.7</v>
      </c>
      <c r="O110" s="48">
        <f>IFERROR(VLOOKUP(B110,'Факт продаж'!S:W,5,0),"нет продаж")</f>
        <v>30246.582038352168</v>
      </c>
      <c r="P110" s="7">
        <f>IFERROR(VLOOKUP(B110,'Факт продаж'!S:U,3,0)/SUM('План Антонова'!$C$17:$C$19),0)</f>
        <v>4.5290431380808055E-4</v>
      </c>
      <c r="Q110" s="44">
        <f>IFERROR(VLOOKUP(B110,'Факт продаж'!S:X,6,0),"-")</f>
        <v>1</v>
      </c>
      <c r="R110" s="44">
        <f>IF(AND(J110=0,P110&gt;0),5,IF(P110/J110&gt;5,5,IF(P110/J110=0,0.0000001,P110/J110)))</f>
        <v>5</v>
      </c>
      <c r="S110" s="16">
        <f>IFERROR(VLOOKUP(B110,'Факт продаж'!AB:AD,2,0),"нет продаж")</f>
        <v>86</v>
      </c>
      <c r="T110" s="16">
        <f>IFERROR(VLOOKUP(B110,'Факт продаж'!AB:AD,3,0),"нет продаж")</f>
        <v>310822</v>
      </c>
      <c r="U110" s="16">
        <f>IFERROR(VLOOKUP(B110,'Факт продаж'!AB:AF,5,0),"нет продаж")</f>
        <v>144331.38655477547</v>
      </c>
      <c r="V110" s="7">
        <f>IFERROR(VLOOKUP(B110,'Факт продаж'!AB:AD,3,0)/SUM('План Антонова'!$C$20:$C$22),0)</f>
        <v>2.0199380675652036E-3</v>
      </c>
      <c r="W110" s="44">
        <f>IFERROR(VLOOKUP(B110,'Факт продаж'!AB:AG,6,0),"-")</f>
        <v>3.7718246766449726</v>
      </c>
      <c r="X110" s="44">
        <f>IF(AND(P110=0,V110&gt;0),5,IF(V110/P110&gt;5,5,IF(V110/P110=0,0.0000001,V110/P110)))</f>
        <v>4.4599665006086866</v>
      </c>
      <c r="Y110" s="44">
        <f>IFERROR(VLOOKUP(B110,'Факт продаж'!AB:AH,7,0),"-")</f>
        <v>1</v>
      </c>
      <c r="Z110" s="44">
        <f>IF(AND(F110=0,V110&gt;0),5,IF(V110/F110&gt;5,5,IF(V110/F110=0,0.0000001,V110/F110)))</f>
        <v>5</v>
      </c>
      <c r="AB110" s="10" t="str">
        <f>IFERROR(VLOOKUP(VALUE(IF(L110&lt;1,1,0)&amp;IF(J110&lt;'Факт продаж'!$M$24,0,1)),$AB$1:$AC$4,2,FALSE),"НЕТ ПРОДАЖ")</f>
        <v>НЕТ ПРОДАЖ</v>
      </c>
      <c r="AC110" s="10" t="str">
        <f>IFERROR(VLOOKUP(VALUE(IF(R110&lt;1,1,0)&amp;IF(P110&lt;'Факт продаж'!$V$24,0,1)),$AB$1:$AC$4,2,FALSE),"НЕТ ПРОДАЖ")</f>
        <v>Темная лошадка</v>
      </c>
      <c r="AD110" s="10" t="str">
        <f>IFERROR(VLOOKUP(VALUE(IF(X110&lt;1,1,0)&amp;IF(V110&lt;'Факт продаж'!$AE$24,0,1)),$AB$1:$AC$4,2,FALSE),"НЕТ ПРОДАЖ")</f>
        <v>Звезда</v>
      </c>
      <c r="AE110" s="18" t="str">
        <f>IFERROR(VLOOKUP(VALUE(IF(Z110&lt;1,1,0)&amp;IF(V110&lt;'Факт продаж'!$AE$24,0,1)),$AB$1:$AC$4,2,FALSE),"НЕТ ПРОДАЖ")</f>
        <v>Звезда</v>
      </c>
      <c r="AF110" s="74" t="str">
        <f>VLOOKUP(B110,'ABC расчет'!B:G,6,0)</f>
        <v>C</v>
      </c>
      <c r="AG110" s="74" t="str">
        <f>VLOOKUP(B110,'ABC расчет'!K:P,6,0)</f>
        <v>C</v>
      </c>
      <c r="AH110" s="74" t="str">
        <f>VLOOKUP(B110,'ABC расчет'!T:Y,6,0)</f>
        <v>C</v>
      </c>
      <c r="AI110" s="74" t="str">
        <f>VLOOKUP(B110,'ABC расчет'!AC:AH,6,0)</f>
        <v>B</v>
      </c>
      <c r="AJ110" s="74"/>
      <c r="AK110" s="74"/>
      <c r="AL110" s="19"/>
    </row>
    <row r="111" spans="1:38" x14ac:dyDescent="0.3">
      <c r="A111" s="51" t="s">
        <v>249</v>
      </c>
      <c r="B111" s="21" t="s">
        <v>42</v>
      </c>
      <c r="C111" s="20">
        <f>IFERROR(VLOOKUP(B111,'Факт продаж'!A:B,2,0),"нет продаж")</f>
        <v>35</v>
      </c>
      <c r="D111" s="47">
        <f>IFERROR(VLOOKUP(B111,'Факт продаж'!A:C,3,0),"нет продаж")</f>
        <v>56953.299500000008</v>
      </c>
      <c r="E111" s="47">
        <f>IFERROR(VLOOKUP(B111,'Факт продаж'!A:E,5,0),"нет продаж")</f>
        <v>28568.288475811802</v>
      </c>
      <c r="F111" s="25">
        <f>IFERROR(VLOOKUP(B111,'Факт продаж'!A:C,3,0)/SUM('План Антонова'!$C$11:$C$13),0)</f>
        <v>4.324524360743381E-4</v>
      </c>
      <c r="G111" s="5">
        <f>IFERROR(VLOOKUP(B111,'Факт продаж'!J:K,2,0),"нет продаж")</f>
        <v>63</v>
      </c>
      <c r="H111" s="48">
        <f>IFERROR(VLOOKUP(B111,'Факт продаж'!J:L,3,0),"нет продаж")</f>
        <v>114637.68999999999</v>
      </c>
      <c r="I111" s="48">
        <f>IFERROR(VLOOKUP(B111,'Факт продаж'!J:N,5,0),"нет продаж")</f>
        <v>55652.351403803943</v>
      </c>
      <c r="J111" s="7">
        <f>IFERROR(VLOOKUP(B111,'Факт продаж'!J:L,3,0)/SUM('План Антонова'!$C$14:$C$16),0)</f>
        <v>7.9155722663119539E-4</v>
      </c>
      <c r="K111" s="44">
        <f>IFERROR(VLOOKUP(B111,'Факт продаж'!J:O,6,0),"-")</f>
        <v>0.94804639595135964</v>
      </c>
      <c r="L111" s="44">
        <f>IF(AND(F111=0,J111&gt;0),5,IF(J111/F111&gt;5,5,IF(J111/F111=0,0.0000001,J111/F111)))</f>
        <v>1.8303914155662835</v>
      </c>
      <c r="M111" s="5">
        <f>IFERROR(VLOOKUP(B111,'Факт продаж'!S:T,2,0),"нет продаж")</f>
        <v>305</v>
      </c>
      <c r="N111" s="48">
        <f>IFERROR(VLOOKUP(B111,'Факт продаж'!S:U,3,0),"нет продаж")</f>
        <v>563132.88999999978</v>
      </c>
      <c r="O111" s="48">
        <f>IFERROR(VLOOKUP(B111,'Факт продаж'!S:W,5,0),"нет продаж")</f>
        <v>262913.30239142897</v>
      </c>
      <c r="P111" s="7">
        <f>IFERROR(VLOOKUP(B111,'Факт продаж'!S:U,3,0)/SUM('План Антонова'!$C$17:$C$19),0)</f>
        <v>3.4300707965658479E-3</v>
      </c>
      <c r="Q111" s="44">
        <f>IFERROR(VLOOKUP(B111,'Факт продаж'!S:X,6,0),"-")</f>
        <v>3.7242083354892772</v>
      </c>
      <c r="R111" s="44">
        <f>IF(AND(J111=0,P111&gt;0),5,IF(P111/J111&gt;5,5,IF(P111/J111=0,0.0000001,P111/J111)))</f>
        <v>4.3333200445455553</v>
      </c>
      <c r="S111" s="16">
        <f>IFERROR(VLOOKUP(B111,'Факт продаж'!AB:AD,2,0),"нет продаж")</f>
        <v>151</v>
      </c>
      <c r="T111" s="16">
        <f>IFERROR(VLOOKUP(B111,'Факт продаж'!AB:AD,3,0),"нет продаж")</f>
        <v>293038.95</v>
      </c>
      <c r="U111" s="16">
        <f>IFERROR(VLOOKUP(B111,'Факт продаж'!AB:AF,5,0),"нет продаж")</f>
        <v>141715.06622606868</v>
      </c>
      <c r="V111" s="7">
        <f>IFERROR(VLOOKUP(B111,'Факт продаж'!AB:AD,3,0)/SUM('План Антонова'!$C$20:$C$22),0)</f>
        <v>1.9043714099527586E-3</v>
      </c>
      <c r="W111" s="44">
        <f>IFERROR(VLOOKUP(B111,'Факт продаж'!AB:AG,6,0),"-")</f>
        <v>-0.46098175734340996</v>
      </c>
      <c r="X111" s="44">
        <f>IF(AND(P111=0,V111&gt;0),5,IF(V111/P111&gt;5,5,IF(V111/P111=0,0.0000001,V111/P111)))</f>
        <v>0.55519886407574903</v>
      </c>
      <c r="Y111" s="44">
        <f>IFERROR(VLOOKUP(B111,'Факт продаж'!AB:AH,7,0),"-")</f>
        <v>3.9605725014312982</v>
      </c>
      <c r="Z111" s="44">
        <f>IF(AND(F111=0,V111&gt;0),5,IF(V111/F111&gt;5,5,IF(V111/F111=0,0.0000001,V111/F111)))</f>
        <v>4.4036551793765346</v>
      </c>
      <c r="AB111" s="10" t="str">
        <f>IFERROR(VLOOKUP(VALUE(IF(L111&lt;1,1,0)&amp;IF(J111&lt;'Факт продаж'!$M$24,0,1)),$AB$1:$AC$4,2,FALSE),"НЕТ ПРОДАЖ")</f>
        <v>Темная лошадка</v>
      </c>
      <c r="AC111" s="10" t="str">
        <f>IFERROR(VLOOKUP(VALUE(IF(R111&lt;1,1,0)&amp;IF(P111&lt;'Факт продаж'!$V$24,0,1)),$AB$1:$AC$4,2,FALSE),"НЕТ ПРОДАЖ")</f>
        <v>Звезда</v>
      </c>
      <c r="AD111" s="10" t="str">
        <f>IFERROR(VLOOKUP(VALUE(IF(X111&lt;1,1,0)&amp;IF(V111&lt;'Факт продаж'!$AE$24,0,1)),$AB$1:$AC$4,2,FALSE),"НЕТ ПРОДАЖ")</f>
        <v>Корова</v>
      </c>
      <c r="AE111" s="18" t="str">
        <f>IFERROR(VLOOKUP(VALUE(IF(Z111&lt;1,1,0)&amp;IF(V111&lt;'Факт продаж'!$AE$24,0,1)),$AB$1:$AC$4,2,FALSE),"НЕТ ПРОДАЖ")</f>
        <v>Звезда</v>
      </c>
      <c r="AF111" s="74" t="str">
        <f>VLOOKUP(B111,'ABC расчет'!B:G,6,0)</f>
        <v>A</v>
      </c>
      <c r="AG111" s="74" t="str">
        <f>VLOOKUP(B111,'ABC расчет'!K:P,6,0)</f>
        <v>B</v>
      </c>
      <c r="AH111" s="74" t="str">
        <f>VLOOKUP(B111,'ABC расчет'!T:Y,6,0)</f>
        <v>A</v>
      </c>
      <c r="AI111" s="74" t="str">
        <f>VLOOKUP(B111,'ABC расчет'!AC:AH,6,0)</f>
        <v>A</v>
      </c>
      <c r="AJ111" s="74" t="s">
        <v>452</v>
      </c>
      <c r="AK111" s="74"/>
      <c r="AL111" s="19"/>
    </row>
    <row r="112" spans="1:38" x14ac:dyDescent="0.3">
      <c r="A112" s="51" t="s">
        <v>249</v>
      </c>
      <c r="B112" s="21" t="s">
        <v>66</v>
      </c>
      <c r="C112" s="20">
        <f>IFERROR(VLOOKUP(B112,'Факт продаж'!A:B,2,0),"нет продаж")</f>
        <v>33</v>
      </c>
      <c r="D112" s="47">
        <f>IFERROR(VLOOKUP(B112,'Факт продаж'!A:C,3,0),"нет продаж")</f>
        <v>41931.649799999999</v>
      </c>
      <c r="E112" s="47">
        <f>IFERROR(VLOOKUP(B112,'Факт продаж'!A:E,5,0),"нет продаж")</f>
        <v>18819.093574251856</v>
      </c>
      <c r="F112" s="25">
        <f>IFERROR(VLOOKUP(B112,'Факт продаж'!A:C,3,0)/SUM('План Антонова'!$C$11:$C$13),0)</f>
        <v>3.1839145868319761E-4</v>
      </c>
      <c r="G112" s="5">
        <f>IFERROR(VLOOKUP(B112,'Факт продаж'!J:K,2,0),"нет продаж")</f>
        <v>573</v>
      </c>
      <c r="H112" s="48">
        <f>IFERROR(VLOOKUP(B112,'Факт продаж'!J:L,3,0),"нет продаж")</f>
        <v>1049383.6499999999</v>
      </c>
      <c r="I112" s="48">
        <f>IFERROR(VLOOKUP(B112,'Факт продаж'!J:N,5,0),"нет продаж")</f>
        <v>467752.05672918243</v>
      </c>
      <c r="J112" s="7">
        <f>IFERROR(VLOOKUP(B112,'Факт продаж'!J:L,3,0)/SUM('План Антонова'!$C$14:$C$16),0)</f>
        <v>7.2458474317314055E-3</v>
      </c>
      <c r="K112" s="44">
        <f>IFERROR(VLOOKUP(B112,'Факт продаж'!J:O,6,0),"-")</f>
        <v>23.855185234274902</v>
      </c>
      <c r="L112" s="44">
        <f>IF(AND(F112=0,J112&gt;0),5,IF(J112/F112&gt;5,5,IF(J112/F112=0,0.0000001,J112/F112)))</f>
        <v>5</v>
      </c>
      <c r="M112" s="5">
        <f>IFERROR(VLOOKUP(B112,'Факт продаж'!S:T,2,0),"нет продаж")</f>
        <v>403</v>
      </c>
      <c r="N112" s="48">
        <f>IFERROR(VLOOKUP(B112,'Факт продаж'!S:U,3,0),"нет продаж")</f>
        <v>671592.64999999991</v>
      </c>
      <c r="O112" s="48">
        <f>IFERROR(VLOOKUP(B112,'Факт продаж'!S:W,5,0),"нет продаж")</f>
        <v>314158.98259092995</v>
      </c>
      <c r="P112" s="7">
        <f>IFERROR(VLOOKUP(B112,'Факт продаж'!S:U,3,0)/SUM('План Антонова'!$C$17:$C$19),0)</f>
        <v>4.0907046575689608E-3</v>
      </c>
      <c r="Q112" s="44">
        <f>IFERROR(VLOOKUP(B112,'Факт продаж'!S:X,6,0),"-")</f>
        <v>-0.32836429456296179</v>
      </c>
      <c r="R112" s="44">
        <f>IF(AND(J112=0,P112&gt;0),5,IF(P112/J112&gt;5,5,IF(P112/J112=0,0.0000001,P112/J112)))</f>
        <v>0.56455848623788663</v>
      </c>
      <c r="S112" s="16">
        <f>IFERROR(VLOOKUP(B112,'Факт продаж'!AB:AD,2,0),"нет продаж")</f>
        <v>152</v>
      </c>
      <c r="T112" s="16">
        <f>IFERROR(VLOOKUP(B112,'Факт продаж'!AB:AD,3,0),"нет продаж")</f>
        <v>285752.85000000003</v>
      </c>
      <c r="U112" s="16">
        <f>IFERROR(VLOOKUP(B112,'Факт продаж'!AB:AF,5,0),"нет продаж")</f>
        <v>138166.9415012924</v>
      </c>
      <c r="V112" s="7">
        <f>IFERROR(VLOOKUP(B112,'Факт продаж'!AB:AD,3,0)/SUM('План Антонова'!$C$20:$C$22),0)</f>
        <v>1.8570212521322477E-3</v>
      </c>
      <c r="W112" s="44">
        <f>IFERROR(VLOOKUP(B112,'Факт продаж'!AB:AG,6,0),"-")</f>
        <v>-0.5602005699095316</v>
      </c>
      <c r="X112" s="44">
        <f>IF(AND(P112=0,V112&gt;0),5,IF(V112/P112&gt;5,5,IF(V112/P112=0,0.0000001,V112/P112)))</f>
        <v>0.4539612139185441</v>
      </c>
      <c r="Y112" s="44">
        <f>IFERROR(VLOOKUP(B112,'Факт продаж'!AB:AH,7,0),"-")</f>
        <v>6.3418489023473148</v>
      </c>
      <c r="Z112" s="44">
        <f>IF(AND(F112=0,V112&gt;0),5,IF(V112/F112&gt;5,5,IF(V112/F112=0,0.0000001,V112/F112)))</f>
        <v>5</v>
      </c>
      <c r="AB112" s="10" t="str">
        <f>IFERROR(VLOOKUP(VALUE(IF(L112&lt;1,1,0)&amp;IF(J112&lt;'Факт продаж'!$M$24,0,1)),$AB$1:$AC$4,2,FALSE),"НЕТ ПРОДАЖ")</f>
        <v>Звезда</v>
      </c>
      <c r="AC112" s="10" t="str">
        <f>IFERROR(VLOOKUP(VALUE(IF(R112&lt;1,1,0)&amp;IF(P112&lt;'Факт продаж'!$V$24,0,1)),$AB$1:$AC$4,2,FALSE),"НЕТ ПРОДАЖ")</f>
        <v>Корова</v>
      </c>
      <c r="AD112" s="10" t="str">
        <f>IFERROR(VLOOKUP(VALUE(IF(X112&lt;1,1,0)&amp;IF(V112&lt;'Факт продаж'!$AE$24,0,1)),$AB$1:$AC$4,2,FALSE),"НЕТ ПРОДАЖ")</f>
        <v>Корова</v>
      </c>
      <c r="AE112" s="18" t="str">
        <f>IFERROR(VLOOKUP(VALUE(IF(Z112&lt;1,1,0)&amp;IF(V112&lt;'Факт продаж'!$AE$24,0,1)),$AB$1:$AC$4,2,FALSE),"НЕТ ПРОДАЖ")</f>
        <v>Звезда</v>
      </c>
      <c r="AF112" s="74" t="str">
        <f>VLOOKUP(B112,'ABC расчет'!B:G,6,0)</f>
        <v>A</v>
      </c>
      <c r="AG112" s="74" t="str">
        <f>VLOOKUP(B112,'ABC расчет'!K:P,6,0)</f>
        <v>A</v>
      </c>
      <c r="AH112" s="74" t="str">
        <f>VLOOKUP(B112,'ABC расчет'!T:Y,6,0)</f>
        <v>A</v>
      </c>
      <c r="AI112" s="74" t="str">
        <f>VLOOKUP(B112,'ABC расчет'!AC:AH,6,0)</f>
        <v>A</v>
      </c>
      <c r="AJ112" s="74" t="s">
        <v>452</v>
      </c>
      <c r="AK112" s="74"/>
      <c r="AL112" s="19"/>
    </row>
    <row r="113" spans="1:38" x14ac:dyDescent="0.3">
      <c r="A113" s="51" t="s">
        <v>251</v>
      </c>
      <c r="B113" s="21" t="s">
        <v>22</v>
      </c>
      <c r="C113" s="20" t="str">
        <f>IFERROR(VLOOKUP(B113,'Факт продаж'!A:B,2,0),"нет продаж")</f>
        <v>нет продаж</v>
      </c>
      <c r="D113" s="47" t="str">
        <f>IFERROR(VLOOKUP(B113,'Факт продаж'!A:C,3,0),"нет продаж")</f>
        <v>нет продаж</v>
      </c>
      <c r="E113" s="47" t="str">
        <f>IFERROR(VLOOKUP(B113,'Факт продаж'!A:E,5,0),"нет продаж")</f>
        <v>нет продаж</v>
      </c>
      <c r="F113" s="25">
        <f>IFERROR(VLOOKUP(B113,'Факт продаж'!A:C,3,0)/SUM('План Антонова'!$C$11:$C$13),0)</f>
        <v>0</v>
      </c>
      <c r="G113" s="5">
        <f>IFERROR(VLOOKUP(B113,'Факт продаж'!J:K,2,0),"нет продаж")</f>
        <v>50</v>
      </c>
      <c r="H113" s="48">
        <f>IFERROR(VLOOKUP(B113,'Факт продаж'!J:L,3,0),"нет продаж")</f>
        <v>508800.64999999997</v>
      </c>
      <c r="I113" s="48">
        <f>IFERROR(VLOOKUP(B113,'Факт продаж'!J:N,5,0),"нет продаж")</f>
        <v>262563.51358692523</v>
      </c>
      <c r="J113" s="7">
        <f>IFERROR(VLOOKUP(B113,'Факт продаж'!J:L,3,0)/SUM('План Антонова'!$C$14:$C$16),0)</f>
        <v>3.5131973735876005E-3</v>
      </c>
      <c r="K113" s="44">
        <f>IFERROR(VLOOKUP(B113,'Факт продаж'!J:O,6,0),"-")</f>
        <v>1</v>
      </c>
      <c r="L113" s="44">
        <f>IF(AND(F113=0,J113&gt;0),5,IF(J113/F113&gt;5,5,IF(J113/F113=0,0.0000001,J113/F113)))</f>
        <v>5</v>
      </c>
      <c r="M113" s="5">
        <f>IFERROR(VLOOKUP(B113,'Факт продаж'!S:T,2,0),"нет продаж")</f>
        <v>13</v>
      </c>
      <c r="N113" s="48">
        <f>IFERROR(VLOOKUP(B113,'Факт продаж'!S:U,3,0),"нет продаж")</f>
        <v>124741.9</v>
      </c>
      <c r="O113" s="48">
        <f>IFERROR(VLOOKUP(B113,'Факт продаж'!S:W,5,0),"нет продаж")</f>
        <v>58385.776458439097</v>
      </c>
      <c r="P113" s="7">
        <f>IFERROR(VLOOKUP(B113,'Факт продаж'!S:U,3,0)/SUM('План Антонова'!$C$17:$C$19),0)</f>
        <v>7.598091958332207E-4</v>
      </c>
      <c r="Q113" s="44">
        <f>IFERROR(VLOOKUP(B113,'Факт продаж'!S:X,6,0),"-")</f>
        <v>-0.77763179788074521</v>
      </c>
      <c r="R113" s="44">
        <f>IF(AND(J113=0,P113&gt;0),5,IF(P113/J113&gt;5,5,IF(P113/J113=0,0.0000001,P113/J113)))</f>
        <v>0.21627284636653366</v>
      </c>
      <c r="S113" s="16">
        <f>IFERROR(VLOOKUP(B113,'Факт продаж'!AB:AD,2,0),"нет продаж")</f>
        <v>33</v>
      </c>
      <c r="T113" s="16">
        <f>IFERROR(VLOOKUP(B113,'Факт продаж'!AB:AD,3,0),"нет продаж")</f>
        <v>312477.10000000003</v>
      </c>
      <c r="U113" s="16">
        <f>IFERROR(VLOOKUP(B113,'Факт продаж'!AB:AF,5,0),"нет продаж")</f>
        <v>137453.66383657185</v>
      </c>
      <c r="V113" s="7">
        <f>IFERROR(VLOOKUP(B113,'Факт продаж'!AB:AD,3,0)/SUM('План Антонова'!$C$20:$C$22),0)</f>
        <v>2.0306940613353587E-3</v>
      </c>
      <c r="W113" s="44">
        <f>IFERROR(VLOOKUP(B113,'Факт продаж'!AB:AG,6,0),"-")</f>
        <v>1.3542320094760725</v>
      </c>
      <c r="X113" s="44">
        <f>IF(AND(P113=0,V113&gt;0),5,IF(V113/P113&gt;5,5,IF(V113/P113=0,0.0000001,V113/P113)))</f>
        <v>2.6726368573474057</v>
      </c>
      <c r="Y113" s="44">
        <f>IFERROR(VLOOKUP(B113,'Факт продаж'!AB:AH,7,0),"-")</f>
        <v>1</v>
      </c>
      <c r="Z113" s="44">
        <f>IF(AND(F113=0,V113&gt;0),5,IF(V113/F113&gt;5,5,IF(V113/F113=0,0.0000001,V113/F113)))</f>
        <v>5</v>
      </c>
      <c r="AB113" s="10" t="str">
        <f>IFERROR(VLOOKUP(VALUE(IF(L113&lt;1,1,0)&amp;IF(J113&lt;'Факт продаж'!$M$24,0,1)),$AB$1:$AC$4,2,FALSE),"НЕТ ПРОДАЖ")</f>
        <v>Звезда</v>
      </c>
      <c r="AC113" s="10" t="str">
        <f>IFERROR(VLOOKUP(VALUE(IF(R113&lt;1,1,0)&amp;IF(P113&lt;'Факт продаж'!$V$24,0,1)),$AB$1:$AC$4,2,FALSE),"НЕТ ПРОДАЖ")</f>
        <v>Собака</v>
      </c>
      <c r="AD113" s="10" t="str">
        <f>IFERROR(VLOOKUP(VALUE(IF(X113&lt;1,1,0)&amp;IF(V113&lt;'Факт продаж'!$AE$24,0,1)),$AB$1:$AC$4,2,FALSE),"НЕТ ПРОДАЖ")</f>
        <v>Звезда</v>
      </c>
      <c r="AE113" s="18" t="str">
        <f>IFERROR(VLOOKUP(VALUE(IF(Z113&lt;1,1,0)&amp;IF(V113&lt;'Факт продаж'!$AE$24,0,1)),$AB$1:$AC$4,2,FALSE),"НЕТ ПРОДАЖ")</f>
        <v>Звезда</v>
      </c>
      <c r="AF113" s="74" t="str">
        <f>VLOOKUP(B113,'ABC расчет'!B:G,6,0)</f>
        <v>C</v>
      </c>
      <c r="AG113" s="74" t="str">
        <f>VLOOKUP(B113,'ABC расчет'!K:P,6,0)</f>
        <v>B</v>
      </c>
      <c r="AH113" s="74" t="str">
        <f>VLOOKUP(B113,'ABC расчет'!T:Y,6,0)</f>
        <v>C</v>
      </c>
      <c r="AI113" s="74" t="str">
        <f>VLOOKUP(B113,'ABC расчет'!AC:AH,6,0)</f>
        <v>B</v>
      </c>
      <c r="AJ113" s="74"/>
      <c r="AK113" s="74"/>
      <c r="AL113" s="19"/>
    </row>
    <row r="114" spans="1:38" x14ac:dyDescent="0.3">
      <c r="A114" s="51" t="s">
        <v>254</v>
      </c>
      <c r="B114" s="21" t="s">
        <v>219</v>
      </c>
      <c r="C114" s="20">
        <f>IFERROR(VLOOKUP(B114,'Факт продаж'!A:B,2,0),"нет продаж")</f>
        <v>127</v>
      </c>
      <c r="D114" s="47">
        <f>IFERROR(VLOOKUP(B114,'Факт продаж'!A:C,3,0),"нет продаж")</f>
        <v>130407.57319999998</v>
      </c>
      <c r="E114" s="47">
        <f>IFERROR(VLOOKUP(B114,'Факт продаж'!A:E,5,0),"нет продаж")</f>
        <v>46883.654631878744</v>
      </c>
      <c r="F114" s="25">
        <f>IFERROR(VLOOKUP(B114,'Факт продаж'!A:C,3,0)/SUM('План Антонова'!$C$11:$C$13),0)</f>
        <v>9.9019851717076636E-4</v>
      </c>
      <c r="G114" s="5">
        <f>IFERROR(VLOOKUP(B114,'Факт продаж'!J:K,2,0),"нет продаж")</f>
        <v>69</v>
      </c>
      <c r="H114" s="48">
        <f>IFERROR(VLOOKUP(B114,'Факт продаж'!J:L,3,0),"нет продаж")</f>
        <v>120461.6</v>
      </c>
      <c r="I114" s="48">
        <f>IFERROR(VLOOKUP(B114,'Факт продаж'!J:N,5,0),"нет продаж")</f>
        <v>54493.473092963235</v>
      </c>
      <c r="J114" s="7">
        <f>IFERROR(VLOOKUP(B114,'Факт продаж'!J:L,3,0)/SUM('План Антонова'!$C$14:$C$16),0)</f>
        <v>8.3177051117792433E-4</v>
      </c>
      <c r="K114" s="44">
        <f>IFERROR(VLOOKUP(B114,'Факт продаж'!J:O,6,0),"-")</f>
        <v>0.1623128256710209</v>
      </c>
      <c r="L114" s="44">
        <f>IF(AND(F114=0,J114&gt;0),5,IF(J114/F114&gt;5,5,IF(J114/F114=0,0.0000001,J114/F114)))</f>
        <v>0.84000379394072544</v>
      </c>
      <c r="M114" s="5">
        <f>IFERROR(VLOOKUP(B114,'Факт продаж'!S:T,2,0),"нет продаж")</f>
        <v>255</v>
      </c>
      <c r="N114" s="48">
        <f>IFERROR(VLOOKUP(B114,'Факт продаж'!S:U,3,0),"нет продаж")</f>
        <v>299409.59999999998</v>
      </c>
      <c r="O114" s="48">
        <f>IFERROR(VLOOKUP(B114,'Факт продаж'!S:W,5,0),"нет продаж")</f>
        <v>90554.58395546992</v>
      </c>
      <c r="P114" s="7">
        <f>IFERROR(VLOOKUP(B114,'Факт продаж'!S:U,3,0)/SUM('План Антонова'!$C$17:$C$19),0)</f>
        <v>1.8237189541024008E-3</v>
      </c>
      <c r="Q114" s="44">
        <f>IFERROR(VLOOKUP(B114,'Факт продаж'!S:X,6,0),"-")</f>
        <v>0.66175101008864257</v>
      </c>
      <c r="R114" s="44">
        <f>IF(AND(J114=0,P114&gt;0),5,IF(P114/J114&gt;5,5,IF(P114/J114=0,0.0000001,P114/J114)))</f>
        <v>2.1925746700489701</v>
      </c>
      <c r="S114" s="16">
        <f>IFERROR(VLOOKUP(B114,'Факт продаж'!AB:AD,2,0),"нет продаж")</f>
        <v>211</v>
      </c>
      <c r="T114" s="16">
        <f>IFERROR(VLOOKUP(B114,'Факт продаж'!AB:AD,3,0),"нет продаж")</f>
        <v>334844.75</v>
      </c>
      <c r="U114" s="16">
        <f>IFERROR(VLOOKUP(B114,'Факт продаж'!AB:AF,5,0),"нет продаж")</f>
        <v>136708.7321218579</v>
      </c>
      <c r="V114" s="7">
        <f>IFERROR(VLOOKUP(B114,'Факт продаж'!AB:AD,3,0)/SUM('План Антонова'!$C$20:$C$22),0)</f>
        <v>2.1760546462263083E-3</v>
      </c>
      <c r="W114" s="44">
        <f>IFERROR(VLOOKUP(B114,'Факт продаж'!AB:AG,6,0),"-")</f>
        <v>0.5096831783699014</v>
      </c>
      <c r="X114" s="44">
        <f>IF(AND(P114=0,V114&gt;0),5,IF(V114/P114&gt;5,5,IF(V114/P114=0,0.0000001,V114/P114)))</f>
        <v>1.1931962659769144</v>
      </c>
      <c r="Y114" s="44">
        <f>IFERROR(VLOOKUP(B114,'Факт продаж'!AB:AH,7,0),"-")</f>
        <v>1.9159145803642663</v>
      </c>
      <c r="Z114" s="44">
        <f>IF(AND(F114=0,V114&gt;0),5,IF(V114/F114&gt;5,5,IF(V114/F114=0,0.0000001,V114/F114)))</f>
        <v>2.1975943293106681</v>
      </c>
      <c r="AB114" s="10" t="str">
        <f>IFERROR(VLOOKUP(VALUE(IF(L114&lt;1,1,0)&amp;IF(J114&lt;'Факт продаж'!$M$24,0,1)),$AB$1:$AC$4,2,FALSE),"НЕТ ПРОДАЖ")</f>
        <v>Корова</v>
      </c>
      <c r="AC114" s="10" t="str">
        <f>IFERROR(VLOOKUP(VALUE(IF(R114&lt;1,1,0)&amp;IF(P114&lt;'Факт продаж'!$V$24,0,1)),$AB$1:$AC$4,2,FALSE),"НЕТ ПРОДАЖ")</f>
        <v>Звезда</v>
      </c>
      <c r="AD114" s="10" t="str">
        <f>IFERROR(VLOOKUP(VALUE(IF(X114&lt;1,1,0)&amp;IF(V114&lt;'Факт продаж'!$AE$24,0,1)),$AB$1:$AC$4,2,FALSE),"НЕТ ПРОДАЖ")</f>
        <v>Звезда</v>
      </c>
      <c r="AE114" s="18" t="str">
        <f>IFERROR(VLOOKUP(VALUE(IF(Z114&lt;1,1,0)&amp;IF(V114&lt;'Факт продаж'!$AE$24,0,1)),$AB$1:$AC$4,2,FALSE),"НЕТ ПРОДАЖ")</f>
        <v>Звезда</v>
      </c>
      <c r="AF114" s="74" t="str">
        <f>VLOOKUP(B114,'ABC расчет'!B:G,6,0)</f>
        <v>A</v>
      </c>
      <c r="AG114" s="74" t="str">
        <f>VLOOKUP(B114,'ABC расчет'!K:P,6,0)</f>
        <v>B</v>
      </c>
      <c r="AH114" s="74" t="str">
        <f>VLOOKUP(B114,'ABC расчет'!T:Y,6,0)</f>
        <v>A</v>
      </c>
      <c r="AI114" s="74" t="str">
        <f>VLOOKUP(B114,'ABC расчет'!AC:AH,6,0)</f>
        <v>A</v>
      </c>
      <c r="AJ114" s="74"/>
      <c r="AK114" s="74"/>
      <c r="AL114" s="19"/>
    </row>
    <row r="115" spans="1:38" x14ac:dyDescent="0.3">
      <c r="A115" s="51" t="s">
        <v>251</v>
      </c>
      <c r="B115" s="21" t="s">
        <v>97</v>
      </c>
      <c r="C115" s="20" t="str">
        <f>IFERROR(VLOOKUP(B115,'Факт продаж'!A:B,2,0),"нет продаж")</f>
        <v>нет продаж</v>
      </c>
      <c r="D115" s="47" t="str">
        <f>IFERROR(VLOOKUP(B115,'Факт продаж'!A:C,3,0),"нет продаж")</f>
        <v>нет продаж</v>
      </c>
      <c r="E115" s="47" t="str">
        <f>IFERROR(VLOOKUP(B115,'Факт продаж'!A:E,5,0),"нет продаж")</f>
        <v>нет продаж</v>
      </c>
      <c r="F115" s="25">
        <f>IFERROR(VLOOKUP(B115,'Факт продаж'!A:C,3,0)/SUM('План Антонова'!$C$11:$C$13),0)</f>
        <v>0</v>
      </c>
      <c r="G115" s="5">
        <f>IFERROR(VLOOKUP(B115,'Факт продаж'!J:K,2,0),"нет продаж")</f>
        <v>60</v>
      </c>
      <c r="H115" s="48">
        <f>IFERROR(VLOOKUP(B115,'Факт продаж'!J:L,3,0),"нет продаж")</f>
        <v>427493.4</v>
      </c>
      <c r="I115" s="48">
        <f>IFERROR(VLOOKUP(B115,'Факт продаж'!J:N,5,0),"нет продаж")</f>
        <v>174403.24673016049</v>
      </c>
      <c r="J115" s="7">
        <f>IFERROR(VLOOKUP(B115,'Факт продаж'!J:L,3,0)/SUM('План Антонова'!$C$14:$C$16),0)</f>
        <v>2.9517821765873012E-3</v>
      </c>
      <c r="K115" s="44">
        <f>IFERROR(VLOOKUP(B115,'Факт продаж'!J:O,6,0),"-")</f>
        <v>1</v>
      </c>
      <c r="L115" s="44">
        <f>IF(AND(F115=0,J115&gt;0),5,IF(J115/F115&gt;5,5,IF(J115/F115=0,0.0000001,J115/F115)))</f>
        <v>5</v>
      </c>
      <c r="M115" s="5">
        <f>IFERROR(VLOOKUP(B115,'Факт продаж'!S:T,2,0),"нет продаж")</f>
        <v>1</v>
      </c>
      <c r="N115" s="48">
        <f>IFERROR(VLOOKUP(B115,'Факт продаж'!S:U,3,0),"нет продаж")</f>
        <v>8820</v>
      </c>
      <c r="O115" s="48">
        <f>IFERROR(VLOOKUP(B115,'Факт продаж'!S:W,5,0),"нет продаж")</f>
        <v>2830.9496221367576</v>
      </c>
      <c r="P115" s="7">
        <f>IFERROR(VLOOKUP(B115,'Факт продаж'!S:U,3,0)/SUM('План Антонова'!$C$17:$C$19),0)</f>
        <v>5.3723064241036949E-5</v>
      </c>
      <c r="Q115" s="44">
        <f>IFERROR(VLOOKUP(B115,'Факт продаж'!S:X,6,0),"-")</f>
        <v>-0.98376779288680993</v>
      </c>
      <c r="R115" s="44">
        <f>IF(AND(J115=0,P115&gt;0),5,IF(P115/J115&gt;5,5,IF(P115/J115=0,0.0000001,P115/J115)))</f>
        <v>1.8200212965290275E-2</v>
      </c>
      <c r="S115" s="16">
        <f>IFERROR(VLOOKUP(B115,'Факт продаж'!AB:AD,2,0),"нет продаж")</f>
        <v>49</v>
      </c>
      <c r="T115" s="16">
        <f>IFERROR(VLOOKUP(B115,'Факт продаж'!AB:AD,3,0),"нет продаж")</f>
        <v>361434.64999999997</v>
      </c>
      <c r="U115" s="16">
        <f>IFERROR(VLOOKUP(B115,'Факт продаж'!AB:AF,5,0),"нет продаж")</f>
        <v>134811.39157252212</v>
      </c>
      <c r="V115" s="7">
        <f>IFERROR(VLOOKUP(B115,'Факт продаж'!AB:AD,3,0)/SUM('План Антонова'!$C$20:$C$22),0)</f>
        <v>2.3488543554578043E-3</v>
      </c>
      <c r="W115" s="44">
        <f>IFERROR(VLOOKUP(B115,'Факт продаж'!AB:AG,6,0),"-")</f>
        <v>46.620554784287734</v>
      </c>
      <c r="X115" s="44">
        <f>IF(AND(P115=0,V115&gt;0),5,IF(V115/P115&gt;5,5,IF(V115/P115=0,0.0000001,V115/P115)))</f>
        <v>5</v>
      </c>
      <c r="Y115" s="44">
        <f>IFERROR(VLOOKUP(B115,'Факт продаж'!AB:AH,7,0),"-")</f>
        <v>1</v>
      </c>
      <c r="Z115" s="44">
        <f>IF(AND(F115=0,V115&gt;0),5,IF(V115/F115&gt;5,5,IF(V115/F115=0,0.0000001,V115/F115)))</f>
        <v>5</v>
      </c>
      <c r="AB115" s="10" t="str">
        <f>IFERROR(VLOOKUP(VALUE(IF(L115&lt;1,1,0)&amp;IF(J115&lt;'Факт продаж'!$M$24,0,1)),$AB$1:$AC$4,2,FALSE),"НЕТ ПРОДАЖ")</f>
        <v>Звезда</v>
      </c>
      <c r="AC115" s="10" t="str">
        <f>IFERROR(VLOOKUP(VALUE(IF(R115&lt;1,1,0)&amp;IF(P115&lt;'Факт продаж'!$V$24,0,1)),$AB$1:$AC$4,2,FALSE),"НЕТ ПРОДАЖ")</f>
        <v>Собака</v>
      </c>
      <c r="AD115" s="10" t="str">
        <f>IFERROR(VLOOKUP(VALUE(IF(X115&lt;1,1,0)&amp;IF(V115&lt;'Факт продаж'!$AE$24,0,1)),$AB$1:$AC$4,2,FALSE),"НЕТ ПРОДАЖ")</f>
        <v>Звезда</v>
      </c>
      <c r="AE115" s="18" t="str">
        <f>IFERROR(VLOOKUP(VALUE(IF(Z115&lt;1,1,0)&amp;IF(V115&lt;'Факт продаж'!$AE$24,0,1)),$AB$1:$AC$4,2,FALSE),"НЕТ ПРОДАЖ")</f>
        <v>Звезда</v>
      </c>
      <c r="AF115" s="74" t="str">
        <f>VLOOKUP(B115,'ABC расчет'!B:G,6,0)</f>
        <v>C</v>
      </c>
      <c r="AG115" s="74" t="str">
        <f>VLOOKUP(B115,'ABC расчет'!K:P,6,0)</f>
        <v>B</v>
      </c>
      <c r="AH115" s="74" t="str">
        <f>VLOOKUP(B115,'ABC расчет'!T:Y,6,0)</f>
        <v>C</v>
      </c>
      <c r="AI115" s="74" t="str">
        <f>VLOOKUP(B115,'ABC расчет'!AC:AH,6,0)</f>
        <v>B</v>
      </c>
      <c r="AJ115" s="74"/>
      <c r="AK115" s="74"/>
      <c r="AL115" s="19"/>
    </row>
    <row r="116" spans="1:38" x14ac:dyDescent="0.3">
      <c r="A116" s="51" t="s">
        <v>252</v>
      </c>
      <c r="B116" s="21" t="s">
        <v>39</v>
      </c>
      <c r="C116" s="20">
        <f>IFERROR(VLOOKUP(B116,'Факт продаж'!A:B,2,0),"нет продаж")</f>
        <v>119</v>
      </c>
      <c r="D116" s="47">
        <f>IFERROR(VLOOKUP(B116,'Факт продаж'!A:C,3,0),"нет продаж")</f>
        <v>99243.743799999997</v>
      </c>
      <c r="E116" s="47">
        <f>IFERROR(VLOOKUP(B116,'Факт продаж'!A:E,5,0),"нет продаж")</f>
        <v>46748.753903477947</v>
      </c>
      <c r="F116" s="25">
        <f>IFERROR(VLOOKUP(B116,'Факт продаж'!A:C,3,0)/SUM('План Антонова'!$C$11:$C$13),0)</f>
        <v>7.5356825940255633E-4</v>
      </c>
      <c r="G116" s="5">
        <f>IFERROR(VLOOKUP(B116,'Факт продаж'!J:K,2,0),"нет продаж")</f>
        <v>288</v>
      </c>
      <c r="H116" s="48">
        <f>IFERROR(VLOOKUP(B116,'Факт продаж'!J:L,3,0),"нет продаж")</f>
        <v>337750.4</v>
      </c>
      <c r="I116" s="48">
        <f>IFERROR(VLOOKUP(B116,'Факт продаж'!J:N,5,0),"нет продаж")</f>
        <v>171568.31440573797</v>
      </c>
      <c r="J116" s="7">
        <f>IFERROR(VLOOKUP(B116,'Факт продаж'!J:L,3,0)/SUM('План Антонова'!$C$14:$C$16),0)</f>
        <v>2.3321193048950737E-3</v>
      </c>
      <c r="K116" s="44">
        <f>IFERROR(VLOOKUP(B116,'Факт продаж'!J:O,6,0),"-")</f>
        <v>2.6700082907017095</v>
      </c>
      <c r="L116" s="44">
        <f>IF(AND(F116=0,J116&gt;0),5,IF(J116/F116&gt;5,5,IF(J116/F116=0,0.0000001,J116/F116)))</f>
        <v>3.0947684908385389</v>
      </c>
      <c r="M116" s="5">
        <f>IFERROR(VLOOKUP(B116,'Факт продаж'!S:T,2,0),"нет продаж")</f>
        <v>204</v>
      </c>
      <c r="N116" s="48">
        <f>IFERROR(VLOOKUP(B116,'Факт продаж'!S:U,3,0),"нет продаж")</f>
        <v>237773</v>
      </c>
      <c r="O116" s="48">
        <f>IFERROR(VLOOKUP(B116,'Факт продаж'!S:W,5,0),"нет продаж")</f>
        <v>110242.53276782684</v>
      </c>
      <c r="P116" s="7">
        <f>IFERROR(VLOOKUP(B116,'Факт продаж'!S:U,3,0)/SUM('План Антонова'!$C$17:$C$19),0)</f>
        <v>1.4482873190231381E-3</v>
      </c>
      <c r="Q116" s="44">
        <f>IFERROR(VLOOKUP(B116,'Факт продаж'!S:X,6,0),"-")</f>
        <v>-0.35744235088119591</v>
      </c>
      <c r="R116" s="44">
        <f>IF(AND(J116=0,P116&gt;0),5,IF(P116/J116&gt;5,5,IF(P116/J116=0,0.0000001,P116/J116)))</f>
        <v>0.62101767949144404</v>
      </c>
      <c r="S116" s="16">
        <f>IFERROR(VLOOKUP(B116,'Факт продаж'!AB:AD,2,0),"нет продаж")</f>
        <v>242</v>
      </c>
      <c r="T116" s="16">
        <f>IFERROR(VLOOKUP(B116,'Факт продаж'!AB:AD,3,0),"нет продаж")</f>
        <v>303504.80000000005</v>
      </c>
      <c r="U116" s="16">
        <f>IFERROR(VLOOKUP(B116,'Факт продаж'!AB:AF,5,0),"нет продаж")</f>
        <v>132789.77260428108</v>
      </c>
      <c r="V116" s="7">
        <f>IFERROR(VLOOKUP(B116,'Факт продаж'!AB:AD,3,0)/SUM('План Антонова'!$C$20:$C$22),0)</f>
        <v>1.9723858002611257E-3</v>
      </c>
      <c r="W116" s="44">
        <f>IFERROR(VLOOKUP(B116,'Факт продаж'!AB:AG,6,0),"-")</f>
        <v>0.20452396430277253</v>
      </c>
      <c r="X116" s="44">
        <f>IF(AND(P116=0,V116&gt;0),5,IF(V116/P116&gt;5,5,IF(V116/P116=0,0.0000001,V116/P116)))</f>
        <v>1.3618746600581224</v>
      </c>
      <c r="Y116" s="44">
        <f>IFERROR(VLOOKUP(B116,'Факт продаж'!AB:AH,7,0),"-")</f>
        <v>1.8404986553962881</v>
      </c>
      <c r="Z116" s="44">
        <f>IF(AND(F116=0,V116&gt;0),5,IF(V116/F116&gt;5,5,IF(V116/F116=0,0.0000001,V116/F116)))</f>
        <v>2.6173950078853796</v>
      </c>
      <c r="AB116" s="10" t="str">
        <f>IFERROR(VLOOKUP(VALUE(IF(L116&lt;1,1,0)&amp;IF(J116&lt;'Факт продаж'!$M$24,0,1)),$AB$1:$AC$4,2,FALSE),"НЕТ ПРОДАЖ")</f>
        <v>Звезда</v>
      </c>
      <c r="AC116" s="10" t="str">
        <f>IFERROR(VLOOKUP(VALUE(IF(R116&lt;1,1,0)&amp;IF(P116&lt;'Факт продаж'!$V$24,0,1)),$AB$1:$AC$4,2,FALSE),"НЕТ ПРОДАЖ")</f>
        <v>Корова</v>
      </c>
      <c r="AD116" s="10" t="str">
        <f>IFERROR(VLOOKUP(VALUE(IF(X116&lt;1,1,0)&amp;IF(V116&lt;'Факт продаж'!$AE$24,0,1)),$AB$1:$AC$4,2,FALSE),"НЕТ ПРОДАЖ")</f>
        <v>Звезда</v>
      </c>
      <c r="AE116" s="18" t="str">
        <f>IFERROR(VLOOKUP(VALUE(IF(Z116&lt;1,1,0)&amp;IF(V116&lt;'Факт продаж'!$AE$24,0,1)),$AB$1:$AC$4,2,FALSE),"НЕТ ПРОДАЖ")</f>
        <v>Звезда</v>
      </c>
      <c r="AF116" s="74" t="str">
        <f>VLOOKUP(B116,'ABC расчет'!B:G,6,0)</f>
        <v>B</v>
      </c>
      <c r="AG116" s="74" t="str">
        <f>VLOOKUP(B116,'ABC расчет'!K:P,6,0)</f>
        <v>B</v>
      </c>
      <c r="AH116" s="74" t="str">
        <f>VLOOKUP(B116,'ABC расчет'!T:Y,6,0)</f>
        <v>B</v>
      </c>
      <c r="AI116" s="74" t="str">
        <f>VLOOKUP(B116,'ABC расчет'!AC:AH,6,0)</f>
        <v>B</v>
      </c>
      <c r="AJ116" s="74"/>
      <c r="AK116" s="74"/>
      <c r="AL116" s="19"/>
    </row>
    <row r="117" spans="1:38" x14ac:dyDescent="0.3">
      <c r="A117" s="51" t="s">
        <v>251</v>
      </c>
      <c r="B117" s="21" t="s">
        <v>49</v>
      </c>
      <c r="C117" s="20">
        <f>IFERROR(VLOOKUP(B117,'Факт продаж'!A:B,2,0),"нет продаж")</f>
        <v>53</v>
      </c>
      <c r="D117" s="47">
        <f>IFERROR(VLOOKUP(B117,'Факт продаж'!A:C,3,0),"нет продаж")</f>
        <v>283671.92190000007</v>
      </c>
      <c r="E117" s="47">
        <f>IFERROR(VLOOKUP(B117,'Факт продаж'!A:E,5,0),"нет продаж")</f>
        <v>119531.25475781226</v>
      </c>
      <c r="F117" s="25">
        <f>IFERROR(VLOOKUP(B117,'Факт продаж'!A:C,3,0)/SUM('План Антонова'!$C$11:$C$13),0)</f>
        <v>2.1539509518942691E-3</v>
      </c>
      <c r="G117" s="5">
        <f>IFERROR(VLOOKUP(B117,'Факт продаж'!J:K,2,0),"нет продаж")</f>
        <v>32</v>
      </c>
      <c r="H117" s="48">
        <f>IFERROR(VLOOKUP(B117,'Факт продаж'!J:L,3,0),"нет продаж")</f>
        <v>274826.45</v>
      </c>
      <c r="I117" s="48">
        <f>IFERROR(VLOOKUP(B117,'Факт продаж'!J:N,5,0),"нет продаж")</f>
        <v>145348.74421468098</v>
      </c>
      <c r="J117" s="7">
        <f>IFERROR(VLOOKUP(B117,'Факт продаж'!J:L,3,0)/SUM('План Антонова'!$C$14:$C$16),0)</f>
        <v>1.8976382249755461E-3</v>
      </c>
      <c r="K117" s="44">
        <f>IFERROR(VLOOKUP(B117,'Факт продаж'!J:O,6,0),"-")</f>
        <v>0.21598944568245937</v>
      </c>
      <c r="L117" s="44">
        <f>IF(AND(F117=0,J117&gt;0),5,IF(J117/F117&gt;5,5,IF(J117/F117=0,0.0000001,J117/F117)))</f>
        <v>0.88100345242619782</v>
      </c>
      <c r="M117" s="5">
        <f>IFERROR(VLOOKUP(B117,'Факт продаж'!S:T,2,0),"нет продаж")</f>
        <v>56</v>
      </c>
      <c r="N117" s="48">
        <f>IFERROR(VLOOKUP(B117,'Факт продаж'!S:U,3,0),"нет продаж")</f>
        <v>421410.8</v>
      </c>
      <c r="O117" s="48">
        <f>IFERROR(VLOOKUP(B117,'Факт продаж'!S:W,5,0),"нет продаж")</f>
        <v>158302.7044914373</v>
      </c>
      <c r="P117" s="7">
        <f>IFERROR(VLOOKUP(B117,'Факт продаж'!S:U,3,0)/SUM('План Антонова'!$C$17:$C$19),0)</f>
        <v>2.5668344081935116E-3</v>
      </c>
      <c r="Q117" s="44">
        <f>IFERROR(VLOOKUP(B117,'Факт продаж'!S:X,6,0),"-")</f>
        <v>8.9123303725440195E-2</v>
      </c>
      <c r="R117" s="44">
        <f>IF(AND(J117=0,P117&gt;0),5,IF(P117/J117&gt;5,5,IF(P117/J117=0,0.0000001,P117/J117)))</f>
        <v>1.3526468714691859</v>
      </c>
      <c r="S117" s="16">
        <f>IFERROR(VLOOKUP(B117,'Факт продаж'!AB:AD,2,0),"нет продаж")</f>
        <v>29</v>
      </c>
      <c r="T117" s="16">
        <f>IFERROR(VLOOKUP(B117,'Факт продаж'!AB:AD,3,0),"нет продаж")</f>
        <v>249590.28000000003</v>
      </c>
      <c r="U117" s="16">
        <f>IFERROR(VLOOKUP(B117,'Факт продаж'!AB:AF,5,0),"нет продаж")</f>
        <v>123912.90254696537</v>
      </c>
      <c r="V117" s="7">
        <f>IFERROR(VLOOKUP(B117,'Факт продаж'!AB:AD,3,0)/SUM('План Антонова'!$C$20:$C$22),0)</f>
        <v>1.6220116589760638E-3</v>
      </c>
      <c r="W117" s="44">
        <f>IFERROR(VLOOKUP(B117,'Факт продаж'!AB:AG,6,0),"-")</f>
        <v>-0.21724077333329506</v>
      </c>
      <c r="X117" s="44">
        <f>IF(AND(P117=0,V117&gt;0),5,IF(V117/P117&gt;5,5,IF(V117/P117=0,0.0000001,V117/P117)))</f>
        <v>0.63191129657545941</v>
      </c>
      <c r="Y117" s="44">
        <f>IFERROR(VLOOKUP(B117,'Факт продаж'!AB:AH,7,0),"-")</f>
        <v>3.6656921221407401E-2</v>
      </c>
      <c r="Z117" s="44">
        <f>IF(AND(F117=0,V117&gt;0),5,IF(V117/F117&gt;5,5,IF(V117/F117=0,0.0000001,V117/F117)))</f>
        <v>0.75304020156522278</v>
      </c>
      <c r="AB117" s="10" t="str">
        <f>IFERROR(VLOOKUP(VALUE(IF(L117&lt;1,1,0)&amp;IF(J117&lt;'Факт продаж'!$M$24,0,1)),$AB$1:$AC$4,2,FALSE),"НЕТ ПРОДАЖ")</f>
        <v>Корова</v>
      </c>
      <c r="AC117" s="10" t="str">
        <f>IFERROR(VLOOKUP(VALUE(IF(R117&lt;1,1,0)&amp;IF(P117&lt;'Факт продаж'!$V$24,0,1)),$AB$1:$AC$4,2,FALSE),"НЕТ ПРОДАЖ")</f>
        <v>Звезда</v>
      </c>
      <c r="AD117" s="10" t="str">
        <f>IFERROR(VLOOKUP(VALUE(IF(X117&lt;1,1,0)&amp;IF(V117&lt;'Факт продаж'!$AE$24,0,1)),$AB$1:$AC$4,2,FALSE),"НЕТ ПРОДАЖ")</f>
        <v>Корова</v>
      </c>
      <c r="AE117" s="18" t="str">
        <f>IFERROR(VLOOKUP(VALUE(IF(Z117&lt;1,1,0)&amp;IF(V117&lt;'Факт продаж'!$AE$24,0,1)),$AB$1:$AC$4,2,FALSE),"НЕТ ПРОДАЖ")</f>
        <v>Корова</v>
      </c>
      <c r="AF117" s="74" t="str">
        <f>VLOOKUP(B117,'ABC расчет'!B:G,6,0)</f>
        <v>A</v>
      </c>
      <c r="AG117" s="74" t="str">
        <f>VLOOKUP(B117,'ABC расчет'!K:P,6,0)</f>
        <v>C</v>
      </c>
      <c r="AH117" s="74" t="str">
        <f>VLOOKUP(B117,'ABC расчет'!T:Y,6,0)</f>
        <v>B</v>
      </c>
      <c r="AI117" s="74" t="str">
        <f>VLOOKUP(B117,'ABC расчет'!AC:AH,6,0)</f>
        <v>C</v>
      </c>
      <c r="AJ117" s="74"/>
      <c r="AK117" s="74"/>
      <c r="AL117" s="19"/>
    </row>
    <row r="118" spans="1:38" ht="15" customHeight="1" x14ac:dyDescent="0.3">
      <c r="A118" s="51" t="s">
        <v>116</v>
      </c>
      <c r="B118" s="21" t="s">
        <v>182</v>
      </c>
      <c r="C118" s="20">
        <f>IFERROR(VLOOKUP(B118,'Факт продаж'!A:B,2,0),"нет продаж")</f>
        <v>40</v>
      </c>
      <c r="D118" s="47">
        <f>IFERROR(VLOOKUP(B118,'Факт продаж'!A:C,3,0),"нет продаж")</f>
        <v>102709.9624</v>
      </c>
      <c r="E118" s="47">
        <f>IFERROR(VLOOKUP(B118,'Факт продаж'!A:E,5,0),"нет продаж")</f>
        <v>51568.745032754538</v>
      </c>
      <c r="F118" s="25">
        <f>IFERROR(VLOOKUP(B118,'Факт продаж'!A:C,3,0)/SUM('План Антонова'!$C$11:$C$13),0)</f>
        <v>7.798876244032826E-4</v>
      </c>
      <c r="G118" s="5">
        <f>IFERROR(VLOOKUP(B118,'Факт продаж'!J:K,2,0),"нет продаж")</f>
        <v>176</v>
      </c>
      <c r="H118" s="48">
        <f>IFERROR(VLOOKUP(B118,'Факт продаж'!J:L,3,0),"нет продаж")</f>
        <v>452528.4</v>
      </c>
      <c r="I118" s="48">
        <f>IFERROR(VLOOKUP(B118,'Факт продаж'!J:N,5,0),"нет продаж")</f>
        <v>194962.87458967848</v>
      </c>
      <c r="J118" s="7">
        <f>IFERROR(VLOOKUP(B118,'Факт продаж'!J:L,3,0)/SUM('План Антонова'!$C$14:$C$16),0)</f>
        <v>3.124645352465252E-3</v>
      </c>
      <c r="K118" s="44">
        <f>IFERROR(VLOOKUP(B118,'Факт продаж'!J:O,6,0),"-")</f>
        <v>2.7806402786386473</v>
      </c>
      <c r="L118" s="44">
        <f>IF(AND(F118=0,J118&gt;0),5,IF(J118/F118&gt;5,5,IF(J118/F118=0,0.0000001,J118/F118)))</f>
        <v>4.0065328063847918</v>
      </c>
      <c r="M118" s="5">
        <f>IFERROR(VLOOKUP(B118,'Факт продаж'!S:T,2,0),"нет продаж")</f>
        <v>290</v>
      </c>
      <c r="N118" s="48">
        <f>IFERROR(VLOOKUP(B118,'Факт продаж'!S:U,3,0),"нет продаж")</f>
        <v>751153.6</v>
      </c>
      <c r="O118" s="48">
        <f>IFERROR(VLOOKUP(B118,'Факт продаж'!S:W,5,0),"нет продаж")</f>
        <v>283623.04129092931</v>
      </c>
      <c r="P118" s="7">
        <f>IFERROR(VLOOKUP(B118,'Факт продаж'!S:U,3,0)/SUM('План Антонова'!$C$17:$C$19),0)</f>
        <v>4.575314411302287E-3</v>
      </c>
      <c r="Q118" s="44">
        <f>IFERROR(VLOOKUP(B118,'Факт продаж'!S:X,6,0),"-")</f>
        <v>0.45475410068632915</v>
      </c>
      <c r="R118" s="44">
        <f>IF(AND(J118=0,P118&gt;0),5,IF(P118/J118&gt;5,5,IF(P118/J118=0,0.0000001,P118/J118)))</f>
        <v>1.4642667871707427</v>
      </c>
      <c r="S118" s="16">
        <f>IFERROR(VLOOKUP(B118,'Факт продаж'!AB:AD,2,0),"нет продаж")</f>
        <v>103</v>
      </c>
      <c r="T118" s="16">
        <f>IFERROR(VLOOKUP(B118,'Факт продаж'!AB:AD,3,0),"нет продаж")</f>
        <v>275995.06000000006</v>
      </c>
      <c r="U118" s="16">
        <f>IFERROR(VLOOKUP(B118,'Факт продаж'!AB:AF,5,0),"нет продаж")</f>
        <v>116102.67133935516</v>
      </c>
      <c r="V118" s="7">
        <f>IFERROR(VLOOKUP(B118,'Факт продаж'!AB:AD,3,0)/SUM('План Антонова'!$C$20:$C$22),0)</f>
        <v>1.7936083293780443E-3</v>
      </c>
      <c r="W118" s="44">
        <f>IFERROR(VLOOKUP(B118,'Факт продаж'!AB:AG,6,0),"-")</f>
        <v>-0.59064443138714662</v>
      </c>
      <c r="X118" s="44">
        <f>IF(AND(P118=0,V118&gt;0),5,IF(V118/P118&gt;5,5,IF(V118/P118=0,0.0000001,V118/P118)))</f>
        <v>0.39201859547561096</v>
      </c>
      <c r="Y118" s="44">
        <f>IFERROR(VLOOKUP(B118,'Факт продаж'!AB:AH,7,0),"-")</f>
        <v>1.2514154894715994</v>
      </c>
      <c r="Z118" s="44">
        <f>IF(AND(F118=0,V118&gt;0),5,IF(V118/F118&gt;5,5,IF(V118/F118=0,0.0000001,V118/F118)))</f>
        <v>2.2998291975082852</v>
      </c>
      <c r="AB118" s="10" t="str">
        <f>IFERROR(VLOOKUP(VALUE(IF(L118&lt;1,1,0)&amp;IF(J118&lt;'Факт продаж'!$M$24,0,1)),$AB$1:$AC$4,2,FALSE),"НЕТ ПРОДАЖ")</f>
        <v>Звезда</v>
      </c>
      <c r="AC118" s="10" t="str">
        <f>IFERROR(VLOOKUP(VALUE(IF(R118&lt;1,1,0)&amp;IF(P118&lt;'Факт продаж'!$V$24,0,1)),$AB$1:$AC$4,2,FALSE),"НЕТ ПРОДАЖ")</f>
        <v>Звезда</v>
      </c>
      <c r="AD118" s="10" t="str">
        <f>IFERROR(VLOOKUP(VALUE(IF(X118&lt;1,1,0)&amp;IF(V118&lt;'Факт продаж'!$AE$24,0,1)),$AB$1:$AC$4,2,FALSE),"НЕТ ПРОДАЖ")</f>
        <v>Корова</v>
      </c>
      <c r="AE118" s="18" t="str">
        <f>IFERROR(VLOOKUP(VALUE(IF(Z118&lt;1,1,0)&amp;IF(V118&lt;'Факт продаж'!$AE$24,0,1)),$AB$1:$AC$4,2,FALSE),"НЕТ ПРОДАЖ")</f>
        <v>Звезда</v>
      </c>
      <c r="AF118" s="74" t="str">
        <f>VLOOKUP(B118,'ABC расчет'!B:G,6,0)</f>
        <v>B</v>
      </c>
      <c r="AG118" s="74" t="str">
        <f>VLOOKUP(B118,'ABC расчет'!K:P,6,0)</f>
        <v>B</v>
      </c>
      <c r="AH118" s="74" t="str">
        <f>VLOOKUP(B118,'ABC расчет'!T:Y,6,0)</f>
        <v>B</v>
      </c>
      <c r="AI118" s="74" t="str">
        <f>VLOOKUP(B118,'ABC расчет'!AC:AH,6,0)</f>
        <v>C</v>
      </c>
      <c r="AJ118" s="74"/>
      <c r="AK118" s="74"/>
      <c r="AL118" s="19"/>
    </row>
    <row r="119" spans="1:38" x14ac:dyDescent="0.3">
      <c r="A119" s="51" t="s">
        <v>256</v>
      </c>
      <c r="B119" s="21" t="s">
        <v>284</v>
      </c>
      <c r="C119" s="20">
        <f>IFERROR(VLOOKUP(B119,'Факт продаж'!A:B,2,0),"нет продаж")</f>
        <v>1</v>
      </c>
      <c r="D119" s="47">
        <f>IFERROR(VLOOKUP(B119,'Факт продаж'!A:C,3,0),"нет продаж")</f>
        <v>3651.1087000000002</v>
      </c>
      <c r="E119" s="47">
        <f>IFERROR(VLOOKUP(B119,'Факт продаж'!A:E,5,0),"нет продаж")</f>
        <v>1379.1975476798727</v>
      </c>
      <c r="F119" s="25">
        <f>IFERROR(VLOOKUP(B119,'Факт продаж'!A:C,3,0)/SUM('План Антонова'!$C$11:$C$13),0)</f>
        <v>2.7723255115135331E-5</v>
      </c>
      <c r="G119" s="5">
        <f>IFERROR(VLOOKUP(B119,'Факт продаж'!J:K,2,0),"нет продаж")</f>
        <v>168</v>
      </c>
      <c r="H119" s="48">
        <f>IFERROR(VLOOKUP(B119,'Факт продаж'!J:L,3,0),"нет продаж")</f>
        <v>734807.77000000014</v>
      </c>
      <c r="I119" s="48">
        <f>IFERROR(VLOOKUP(B119,'Факт продаж'!J:N,5,0),"нет продаж")</f>
        <v>288408.93212013674</v>
      </c>
      <c r="J119" s="7">
        <f>IFERROR(VLOOKUP(B119,'Факт продаж'!J:L,3,0)/SUM('План Антонова'!$C$14:$C$16),0)</f>
        <v>5.0737449483520946E-3</v>
      </c>
      <c r="K119" s="44">
        <f>IFERROR(VLOOKUP(B119,'Факт продаж'!J:O,6,0),"-")</f>
        <v>208.11357666297104</v>
      </c>
      <c r="L119" s="44">
        <f>IF(AND(F119=0,J119&gt;0),5,IF(J119/F119&gt;5,5,IF(J119/F119=0,0.0000001,J119/F119)))</f>
        <v>5</v>
      </c>
      <c r="M119" s="5">
        <f>IFERROR(VLOOKUP(B119,'Факт продаж'!S:T,2,0),"нет продаж")</f>
        <v>224</v>
      </c>
      <c r="N119" s="48">
        <f>IFERROR(VLOOKUP(B119,'Факт продаж'!S:U,3,0),"нет продаж")</f>
        <v>1052612.1500000004</v>
      </c>
      <c r="O119" s="48">
        <f>IFERROR(VLOOKUP(B119,'Факт продаж'!S:W,5,0),"нет продаж")</f>
        <v>285139.39740925562</v>
      </c>
      <c r="P119" s="7">
        <f>IFERROR(VLOOKUP(B119,'Факт продаж'!S:U,3,0)/SUM('План Антонова'!$C$17:$C$19),0)</f>
        <v>6.4115136230551064E-3</v>
      </c>
      <c r="Q119" s="44">
        <f>IFERROR(VLOOKUP(B119,'Факт продаж'!S:X,6,0),"-")</f>
        <v>-1.1336454411610242E-2</v>
      </c>
      <c r="R119" s="44">
        <f>IF(AND(J119=0,P119&gt;0),5,IF(P119/J119&gt;5,5,IF(P119/J119=0,0.0000001,P119/J119)))</f>
        <v>1.2636649434137415</v>
      </c>
      <c r="S119" s="16">
        <f>IFERROR(VLOOKUP(B119,'Факт продаж'!AB:AD,2,0),"нет продаж")</f>
        <v>73</v>
      </c>
      <c r="T119" s="16">
        <f>IFERROR(VLOOKUP(B119,'Факт продаж'!AB:AD,3,0),"нет продаж")</f>
        <v>362599</v>
      </c>
      <c r="U119" s="16">
        <f>IFERROR(VLOOKUP(B119,'Факт продаж'!AB:AF,5,0),"нет продаж")</f>
        <v>115304.05838000437</v>
      </c>
      <c r="V119" s="7">
        <f>IFERROR(VLOOKUP(B119,'Факт продаж'!AB:AD,3,0)/SUM('План Антонова'!$C$20:$C$22),0)</f>
        <v>2.3564211135668491E-3</v>
      </c>
      <c r="W119" s="44">
        <f>IFERROR(VLOOKUP(B119,'Факт продаж'!AB:AG,6,0),"-")</f>
        <v>-0.59562214331781571</v>
      </c>
      <c r="X119" s="44">
        <f>IF(AND(P119=0,V119&gt;0),5,IF(V119/P119&gt;5,5,IF(V119/P119=0,0.0000001,V119/P119)))</f>
        <v>0.36752961189903971</v>
      </c>
      <c r="Y119" s="44">
        <f>IFERROR(VLOOKUP(B119,'Факт продаж'!AB:AH,7,0),"-")</f>
        <v>82.602279147010009</v>
      </c>
      <c r="Z119" s="44">
        <f>IF(AND(F119=0,V119&gt;0),5,IF(V119/F119&gt;5,5,IF(V119/F119=0,0.0000001,V119/F119)))</f>
        <v>5</v>
      </c>
      <c r="AB119" s="10" t="str">
        <f>IFERROR(VLOOKUP(VALUE(IF(L119&lt;1,1,0)&amp;IF(J119&lt;'Факт продаж'!$M$24,0,1)),$AB$1:$AC$4,2,FALSE),"НЕТ ПРОДАЖ")</f>
        <v>Звезда</v>
      </c>
      <c r="AC119" s="10" t="str">
        <f>IFERROR(VLOOKUP(VALUE(IF(R119&lt;1,1,0)&amp;IF(P119&lt;'Факт продаж'!$V$24,0,1)),$AB$1:$AC$4,2,FALSE),"НЕТ ПРОДАЖ")</f>
        <v>Звезда</v>
      </c>
      <c r="AD119" s="10" t="str">
        <f>IFERROR(VLOOKUP(VALUE(IF(X119&lt;1,1,0)&amp;IF(V119&lt;'Факт продаж'!$AE$24,0,1)),$AB$1:$AC$4,2,FALSE),"НЕТ ПРОДАЖ")</f>
        <v>Корова</v>
      </c>
      <c r="AE119" s="18" t="str">
        <f>IFERROR(VLOOKUP(VALUE(IF(Z119&lt;1,1,0)&amp;IF(V119&lt;'Факт продаж'!$AE$24,0,1)),$AB$1:$AC$4,2,FALSE),"НЕТ ПРОДАЖ")</f>
        <v>Звезда</v>
      </c>
      <c r="AF119" s="74" t="str">
        <f>VLOOKUP(B119,'ABC расчет'!B:G,6,0)</f>
        <v>C</v>
      </c>
      <c r="AG119" s="74" t="str">
        <f>VLOOKUP(B119,'ABC расчет'!K:P,6,0)</f>
        <v>A</v>
      </c>
      <c r="AH119" s="74" t="str">
        <f>VLOOKUP(B119,'ABC расчет'!T:Y,6,0)</f>
        <v>A</v>
      </c>
      <c r="AI119" s="74" t="str">
        <f>VLOOKUP(B119,'ABC расчет'!AC:AH,6,0)</f>
        <v>A</v>
      </c>
      <c r="AJ119" s="74" t="s">
        <v>452</v>
      </c>
      <c r="AK119" s="74"/>
      <c r="AL119" s="19"/>
    </row>
    <row r="120" spans="1:38" x14ac:dyDescent="0.3">
      <c r="A120" s="51" t="s">
        <v>251</v>
      </c>
      <c r="B120" s="21" t="s">
        <v>57</v>
      </c>
      <c r="C120" s="20">
        <f>IFERROR(VLOOKUP(B120,'Факт продаж'!A:B,2,0),"нет продаж")</f>
        <v>50</v>
      </c>
      <c r="D120" s="47">
        <f>IFERROR(VLOOKUP(B120,'Факт продаж'!A:C,3,0),"нет продаж")</f>
        <v>265784.23339999997</v>
      </c>
      <c r="E120" s="47">
        <f>IFERROR(VLOOKUP(B120,'Факт продаж'!A:E,5,0),"нет продаж")</f>
        <v>98819.877300171007</v>
      </c>
      <c r="F120" s="25">
        <f>IFERROR(VLOOKUP(B120,'Факт продаж'!A:C,3,0)/SUM('План Антонова'!$C$11:$C$13),0)</f>
        <v>2.0181278382998763E-3</v>
      </c>
      <c r="G120" s="5">
        <f>IFERROR(VLOOKUP(B120,'Факт продаж'!J:K,2,0),"нет продаж")</f>
        <v>41</v>
      </c>
      <c r="H120" s="48">
        <f>IFERROR(VLOOKUP(B120,'Факт продаж'!J:L,3,0),"нет продаж")</f>
        <v>335729.5</v>
      </c>
      <c r="I120" s="48">
        <f>IFERROR(VLOOKUP(B120,'Факт продаж'!J:N,5,0),"нет продаж")</f>
        <v>160390.65859253457</v>
      </c>
      <c r="J120" s="7">
        <f>IFERROR(VLOOKUP(B120,'Факт продаж'!J:L,3,0)/SUM('План Антонова'!$C$14:$C$16),0)</f>
        <v>2.3181652728546599E-3</v>
      </c>
      <c r="K120" s="44">
        <f>IFERROR(VLOOKUP(B120,'Факт продаж'!J:O,6,0),"-")</f>
        <v>0.62306069360255134</v>
      </c>
      <c r="L120" s="44">
        <f>IF(AND(F120=0,J120&gt;0),5,IF(J120/F120&gt;5,5,IF(J120/F120=0,0.0000001,J120/F120)))</f>
        <v>1.1486711737783386</v>
      </c>
      <c r="M120" s="5">
        <f>IFERROR(VLOOKUP(B120,'Факт продаж'!S:T,2,0),"нет продаж")</f>
        <v>25</v>
      </c>
      <c r="N120" s="48">
        <f>IFERROR(VLOOKUP(B120,'Факт продаж'!S:U,3,0),"нет продаж")</f>
        <v>220858.37499999997</v>
      </c>
      <c r="O120" s="48">
        <f>IFERROR(VLOOKUP(B120,'Факт продаж'!S:W,5,0),"нет продаж")</f>
        <v>112839.46982234537</v>
      </c>
      <c r="P120" s="7">
        <f>IFERROR(VLOOKUP(B120,'Факт продаж'!S:U,3,0)/SUM('План Антонова'!$C$17:$C$19),0)</f>
        <v>1.3452594862013636E-3</v>
      </c>
      <c r="Q120" s="44">
        <f>IFERROR(VLOOKUP(B120,'Факт продаж'!S:X,6,0),"-")</f>
        <v>-0.296471061266672</v>
      </c>
      <c r="R120" s="44">
        <f>IF(AND(J120=0,P120&gt;0),5,IF(P120/J120&gt;5,5,IF(P120/J120=0,0.0000001,P120/J120)))</f>
        <v>0.58031215545937742</v>
      </c>
      <c r="S120" s="16">
        <f>IFERROR(VLOOKUP(B120,'Факт продаж'!AB:AD,2,0),"нет продаж")</f>
        <v>24</v>
      </c>
      <c r="T120" s="16">
        <f>IFERROR(VLOOKUP(B120,'Факт продаж'!AB:AD,3,0),"нет продаж")</f>
        <v>227324.86</v>
      </c>
      <c r="U120" s="16">
        <f>IFERROR(VLOOKUP(B120,'Факт продаж'!AB:AF,5,0),"нет продаж")</f>
        <v>115161.4723477189</v>
      </c>
      <c r="V120" s="7">
        <f>IFERROR(VLOOKUP(B120,'Факт продаж'!AB:AD,3,0)/SUM('План Антонова'!$C$20:$C$22),0)</f>
        <v>1.4773154359019967E-3</v>
      </c>
      <c r="W120" s="44">
        <f>IFERROR(VLOOKUP(B120,'Факт продаж'!AB:AG,6,0),"-")</f>
        <v>2.0577928352812025E-2</v>
      </c>
      <c r="X120" s="44">
        <f>IF(AND(P120=0,V120&gt;0),5,IF(V120/P120&gt;5,5,IF(V120/P120=0,0.0000001,V120/P120)))</f>
        <v>1.0981639238044121</v>
      </c>
      <c r="Y120" s="44">
        <f>IFERROR(VLOOKUP(B120,'Факт продаж'!AB:AH,7,0),"-")</f>
        <v>0.16536748976027726</v>
      </c>
      <c r="Z120" s="44">
        <f>IF(AND(F120=0,V120&gt;0),5,IF(V120/F120&gt;5,5,IF(V120/F120=0,0.0000001,V120/F120)))</f>
        <v>0.73202272317224748</v>
      </c>
      <c r="AB120" s="10" t="str">
        <f>IFERROR(VLOOKUP(VALUE(IF(L120&lt;1,1,0)&amp;IF(J120&lt;'Факт продаж'!$M$24,0,1)),$AB$1:$AC$4,2,FALSE),"НЕТ ПРОДАЖ")</f>
        <v>Звезда</v>
      </c>
      <c r="AC120" s="10" t="str">
        <f>IFERROR(VLOOKUP(VALUE(IF(R120&lt;1,1,0)&amp;IF(P120&lt;'Факт продаж'!$V$24,0,1)),$AB$1:$AC$4,2,FALSE),"НЕТ ПРОДАЖ")</f>
        <v>Корова</v>
      </c>
      <c r="AD120" s="10" t="str">
        <f>IFERROR(VLOOKUP(VALUE(IF(X120&lt;1,1,0)&amp;IF(V120&lt;'Факт продаж'!$AE$24,0,1)),$AB$1:$AC$4,2,FALSE),"НЕТ ПРОДАЖ")</f>
        <v>Звезда</v>
      </c>
      <c r="AE120" s="18" t="str">
        <f>IFERROR(VLOOKUP(VALUE(IF(Z120&lt;1,1,0)&amp;IF(V120&lt;'Факт продаж'!$AE$24,0,1)),$AB$1:$AC$4,2,FALSE),"НЕТ ПРОДАЖ")</f>
        <v>Корова</v>
      </c>
      <c r="AF120" s="74" t="str">
        <f>VLOOKUP(B120,'ABC расчет'!B:G,6,0)</f>
        <v>A</v>
      </c>
      <c r="AG120" s="74" t="str">
        <f>VLOOKUP(B120,'ABC расчет'!K:P,6,0)</f>
        <v>C</v>
      </c>
      <c r="AH120" s="74" t="str">
        <f>VLOOKUP(B120,'ABC расчет'!T:Y,6,0)</f>
        <v>C</v>
      </c>
      <c r="AI120" s="74" t="str">
        <f>VLOOKUP(B120,'ABC расчет'!AC:AH,6,0)</f>
        <v>C</v>
      </c>
      <c r="AJ120" s="74"/>
      <c r="AK120" s="74"/>
      <c r="AL120" s="19"/>
    </row>
    <row r="121" spans="1:38" x14ac:dyDescent="0.3">
      <c r="A121" s="51" t="s">
        <v>251</v>
      </c>
      <c r="B121" s="21" t="s">
        <v>128</v>
      </c>
      <c r="C121" s="20">
        <f>IFERROR(VLOOKUP(B121,'Факт продаж'!A:B,2,0),"нет продаж")</f>
        <v>1</v>
      </c>
      <c r="D121" s="47">
        <f>IFERROR(VLOOKUP(B121,'Факт продаж'!A:C,3,0),"нет продаж")</f>
        <v>5619.3697000000002</v>
      </c>
      <c r="E121" s="47">
        <f>IFERROR(VLOOKUP(B121,'Факт продаж'!A:E,5,0),"нет продаж")</f>
        <v>3027.4077974565907</v>
      </c>
      <c r="F121" s="25">
        <f>IFERROR(VLOOKUP(B121,'Факт продаж'!A:C,3,0)/SUM('План Антонова'!$C$11:$C$13),0)</f>
        <v>4.2668469382837461E-5</v>
      </c>
      <c r="G121" s="5">
        <f>IFERROR(VLOOKUP(B121,'Факт продаж'!J:K,2,0),"нет продаж")</f>
        <v>32</v>
      </c>
      <c r="H121" s="48">
        <f>IFERROR(VLOOKUP(B121,'Факт продаж'!J:L,3,0),"нет продаж")</f>
        <v>207830.25</v>
      </c>
      <c r="I121" s="48">
        <f>IFERROR(VLOOKUP(B121,'Факт продаж'!J:N,5,0),"нет продаж")</f>
        <v>84452.247300141404</v>
      </c>
      <c r="J121" s="7">
        <f>IFERROR(VLOOKUP(B121,'Факт продаж'!J:L,3,0)/SUM('План Антонова'!$C$14:$C$16),0)</f>
        <v>1.4350388279811641E-3</v>
      </c>
      <c r="K121" s="44">
        <f>IFERROR(VLOOKUP(B121,'Факт продаж'!J:O,6,0),"-")</f>
        <v>26.895894094971968</v>
      </c>
      <c r="L121" s="44">
        <f>IF(AND(F121=0,J121&gt;0),5,IF(J121/F121&gt;5,5,IF(J121/F121=0,0.0000001,J121/F121)))</f>
        <v>5</v>
      </c>
      <c r="M121" s="5">
        <f>IFERROR(VLOOKUP(B121,'Факт продаж'!S:T,2,0),"нет продаж")</f>
        <v>56</v>
      </c>
      <c r="N121" s="48">
        <f>IFERROR(VLOOKUP(B121,'Факт продаж'!S:U,3,0),"нет продаж")</f>
        <v>396576.33</v>
      </c>
      <c r="O121" s="48">
        <f>IFERROR(VLOOKUP(B121,'Факт продаж'!S:W,5,0),"нет продаж")</f>
        <v>165780.86341005002</v>
      </c>
      <c r="P121" s="7">
        <f>IFERROR(VLOOKUP(B121,'Факт продаж'!S:U,3,0)/SUM('План Антонова'!$C$17:$C$19),0)</f>
        <v>2.4155664005742253E-3</v>
      </c>
      <c r="Q121" s="44">
        <f>IFERROR(VLOOKUP(B121,'Факт продаж'!S:X,6,0),"-")</f>
        <v>0.96301304831911128</v>
      </c>
      <c r="R121" s="44">
        <f>IF(AND(J121=0,P121&gt;0),5,IF(P121/J121&gt;5,5,IF(P121/J121=0,0.0000001,P121/J121)))</f>
        <v>1.683275987711415</v>
      </c>
      <c r="S121" s="16">
        <f>IFERROR(VLOOKUP(B121,'Факт продаж'!AB:AD,2,0),"нет продаж")</f>
        <v>35</v>
      </c>
      <c r="T121" s="16">
        <f>IFERROR(VLOOKUP(B121,'Факт продаж'!AB:AD,3,0),"нет продаж")</f>
        <v>261092.02</v>
      </c>
      <c r="U121" s="16">
        <f>IFERROR(VLOOKUP(B121,'Факт продаж'!AB:AF,5,0),"нет продаж")</f>
        <v>112822.21638464808</v>
      </c>
      <c r="V121" s="7">
        <f>IFERROR(VLOOKUP(B121,'Факт продаж'!AB:AD,3,0)/SUM('План Антонова'!$C$20:$C$22),0)</f>
        <v>1.6967579847484908E-3</v>
      </c>
      <c r="W121" s="44">
        <f>IFERROR(VLOOKUP(B121,'Факт продаж'!AB:AG,6,0),"-")</f>
        <v>-0.31944969965810577</v>
      </c>
      <c r="X121" s="44">
        <f>IF(AND(P121=0,V121&gt;0),5,IF(V121/P121&gt;5,5,IF(V121/P121=0,0.0000001,V121/P121)))</f>
        <v>0.70242655484243355</v>
      </c>
      <c r="Y121" s="44">
        <f>IFERROR(VLOOKUP(B121,'Факт продаж'!AB:AH,7,0),"-")</f>
        <v>36.266937238991446</v>
      </c>
      <c r="Z121" s="44">
        <f>IF(AND(F121=0,V121&gt;0),5,IF(V121/F121&gt;5,5,IF(V121/F121=0,0.0000001,V121/F121)))</f>
        <v>5</v>
      </c>
      <c r="AB121" s="10" t="str">
        <f>IFERROR(VLOOKUP(VALUE(IF(L121&lt;1,1,0)&amp;IF(J121&lt;'Факт продаж'!$M$24,0,1)),$AB$1:$AC$4,2,FALSE),"НЕТ ПРОДАЖ")</f>
        <v>Звезда</v>
      </c>
      <c r="AC121" s="10" t="str">
        <f>IFERROR(VLOOKUP(VALUE(IF(R121&lt;1,1,0)&amp;IF(P121&lt;'Факт продаж'!$V$24,0,1)),$AB$1:$AC$4,2,FALSE),"НЕТ ПРОДАЖ")</f>
        <v>Звезда</v>
      </c>
      <c r="AD121" s="10" t="str">
        <f>IFERROR(VLOOKUP(VALUE(IF(X121&lt;1,1,0)&amp;IF(V121&lt;'Факт продаж'!$AE$24,0,1)),$AB$1:$AC$4,2,FALSE),"НЕТ ПРОДАЖ")</f>
        <v>Корова</v>
      </c>
      <c r="AE121" s="18" t="str">
        <f>IFERROR(VLOOKUP(VALUE(IF(Z121&lt;1,1,0)&amp;IF(V121&lt;'Факт продаж'!$AE$24,0,1)),$AB$1:$AC$4,2,FALSE),"НЕТ ПРОДАЖ")</f>
        <v>Звезда</v>
      </c>
      <c r="AF121" s="74" t="str">
        <f>VLOOKUP(B121,'ABC расчет'!B:G,6,0)</f>
        <v>C</v>
      </c>
      <c r="AG121" s="74" t="str">
        <f>VLOOKUP(B121,'ABC расчет'!K:P,6,0)</f>
        <v>C</v>
      </c>
      <c r="AH121" s="74" t="str">
        <f>VLOOKUP(B121,'ABC расчет'!T:Y,6,0)</f>
        <v>C</v>
      </c>
      <c r="AI121" s="74" t="str">
        <f>VLOOKUP(B121,'ABC расчет'!AC:AH,6,0)</f>
        <v>B</v>
      </c>
      <c r="AJ121" s="74"/>
      <c r="AK121" s="74"/>
      <c r="AL121" s="19"/>
    </row>
    <row r="122" spans="1:38" x14ac:dyDescent="0.3">
      <c r="A122" s="51" t="s">
        <v>247</v>
      </c>
      <c r="B122" s="21" t="s">
        <v>212</v>
      </c>
      <c r="C122" s="20" t="str">
        <f>IFERROR(VLOOKUP(B122,'Факт продаж'!A:B,2,0),"нет продаж")</f>
        <v>нет продаж</v>
      </c>
      <c r="D122" s="47" t="str">
        <f>IFERROR(VLOOKUP(B122,'Факт продаж'!A:C,3,0),"нет продаж")</f>
        <v>нет продаж</v>
      </c>
      <c r="E122" s="47" t="str">
        <f>IFERROR(VLOOKUP(B122,'Факт продаж'!A:E,5,0),"нет продаж")</f>
        <v>нет продаж</v>
      </c>
      <c r="F122" s="25">
        <f>IFERROR(VLOOKUP(B122,'Факт продаж'!A:C,3,0)/SUM('План Антонова'!$C$11:$C$13),0)</f>
        <v>0</v>
      </c>
      <c r="G122" s="5">
        <f>IFERROR(VLOOKUP(B122,'Факт продаж'!J:K,2,0),"нет продаж")</f>
        <v>1654</v>
      </c>
      <c r="H122" s="48">
        <f>IFERROR(VLOOKUP(B122,'Факт продаж'!J:L,3,0),"нет продаж")</f>
        <v>330054</v>
      </c>
      <c r="I122" s="48">
        <f>IFERROR(VLOOKUP(B122,'Факт продаж'!J:N,5,0),"нет продаж")</f>
        <v>167217.79591777732</v>
      </c>
      <c r="J122" s="7">
        <f>IFERROR(VLOOKUP(B122,'Факт продаж'!J:L,3,0)/SUM('План Антонова'!$C$14:$C$16),0)</f>
        <v>2.2789767386147838E-3</v>
      </c>
      <c r="K122" s="44">
        <f>IFERROR(VLOOKUP(B122,'Факт продаж'!J:O,6,0),"-")</f>
        <v>1</v>
      </c>
      <c r="L122" s="44">
        <f>IF(AND(F122=0,J122&gt;0),5,IF(J122/F122&gt;5,5,IF(J122/F122=0,0.0000001,J122/F122)))</f>
        <v>5</v>
      </c>
      <c r="M122" s="5">
        <f>IFERROR(VLOOKUP(B122,'Факт продаж'!S:T,2,0),"нет продаж")</f>
        <v>1408</v>
      </c>
      <c r="N122" s="48">
        <f>IFERROR(VLOOKUP(B122,'Факт продаж'!S:U,3,0),"нет продаж")</f>
        <v>283214.07</v>
      </c>
      <c r="O122" s="48">
        <f>IFERROR(VLOOKUP(B122,'Факт продаж'!S:W,5,0),"нет продаж")</f>
        <v>123036.42928064262</v>
      </c>
      <c r="P122" s="7">
        <f>IFERROR(VLOOKUP(B122,'Факт продаж'!S:U,3,0)/SUM('План Антонова'!$C$17:$C$19),0)</f>
        <v>1.7250711651446184E-3</v>
      </c>
      <c r="Q122" s="44">
        <f>IFERROR(VLOOKUP(B122,'Факт продаж'!S:X,6,0),"-")</f>
        <v>-0.2642145017798172</v>
      </c>
      <c r="R122" s="44">
        <f>IF(AND(J122=0,P122&gt;0),5,IF(P122/J122&gt;5,5,IF(P122/J122=0,0.0000001,P122/J122)))</f>
        <v>0.75694987838847261</v>
      </c>
      <c r="S122" s="16">
        <f>IFERROR(VLOOKUP(B122,'Факт продаж'!AB:AD,2,0),"нет продаж")</f>
        <v>1257</v>
      </c>
      <c r="T122" s="16">
        <f>IFERROR(VLOOKUP(B122,'Факт продаж'!AB:AD,3,0),"нет продаж")</f>
        <v>256917.94999999998</v>
      </c>
      <c r="U122" s="16">
        <f>IFERROR(VLOOKUP(B122,'Факт продаж'!AB:AF,5,0),"нет продаж")</f>
        <v>109966.14706807802</v>
      </c>
      <c r="V122" s="7">
        <f>IFERROR(VLOOKUP(B122,'Факт продаж'!AB:AD,3,0)/SUM('План Антонова'!$C$20:$C$22),0)</f>
        <v>1.6696319676400432E-3</v>
      </c>
      <c r="W122" s="44">
        <f>IFERROR(VLOOKUP(B122,'Факт продаж'!AB:AG,6,0),"-")</f>
        <v>-0.10623099425903904</v>
      </c>
      <c r="X122" s="44">
        <f>IF(AND(P122=0,V122&gt;0),5,IF(V122/P122&gt;5,5,IF(V122/P122=0,0.0000001,V122/P122)))</f>
        <v>0.96786266061091597</v>
      </c>
      <c r="Y122" s="44">
        <f>IFERROR(VLOOKUP(B122,'Факт продаж'!AB:AH,7,0),"-")</f>
        <v>1</v>
      </c>
      <c r="Z122" s="44">
        <f>IF(AND(F122=0,V122&gt;0),5,IF(V122/F122&gt;5,5,IF(V122/F122=0,0.0000001,V122/F122)))</f>
        <v>5</v>
      </c>
      <c r="AB122" s="10" t="str">
        <f>IFERROR(VLOOKUP(VALUE(IF(L122&lt;1,1,0)&amp;IF(J122&lt;'Факт продаж'!$M$24,0,1)),$AB$1:$AC$4,2,FALSE),"НЕТ ПРОДАЖ")</f>
        <v>Звезда</v>
      </c>
      <c r="AC122" s="10" t="str">
        <f>IFERROR(VLOOKUP(VALUE(IF(R122&lt;1,1,0)&amp;IF(P122&lt;'Факт продаж'!$V$24,0,1)),$AB$1:$AC$4,2,FALSE),"НЕТ ПРОДАЖ")</f>
        <v>Корова</v>
      </c>
      <c r="AD122" s="10" t="str">
        <f>IFERROR(VLOOKUP(VALUE(IF(X122&lt;1,1,0)&amp;IF(V122&lt;'Факт продаж'!$AE$24,0,1)),$AB$1:$AC$4,2,FALSE),"НЕТ ПРОДАЖ")</f>
        <v>Корова</v>
      </c>
      <c r="AE122" s="18" t="str">
        <f>IFERROR(VLOOKUP(VALUE(IF(Z122&lt;1,1,0)&amp;IF(V122&lt;'Факт продаж'!$AE$24,0,1)),$AB$1:$AC$4,2,FALSE),"НЕТ ПРОДАЖ")</f>
        <v>Звезда</v>
      </c>
      <c r="AF122" s="74" t="str">
        <f>VLOOKUP(B122,'ABC расчет'!B:G,6,0)</f>
        <v>C</v>
      </c>
      <c r="AG122" s="74" t="str">
        <f>VLOOKUP(B122,'ABC расчет'!K:P,6,0)</f>
        <v>A</v>
      </c>
      <c r="AH122" s="74" t="str">
        <f>VLOOKUP(B122,'ABC расчет'!T:Y,6,0)</f>
        <v>A</v>
      </c>
      <c r="AI122" s="74" t="str">
        <f>VLOOKUP(B122,'ABC расчет'!AC:AH,6,0)</f>
        <v>A</v>
      </c>
      <c r="AJ122" s="74"/>
      <c r="AK122" s="74"/>
      <c r="AL122" s="19" t="s">
        <v>455</v>
      </c>
    </row>
    <row r="123" spans="1:38" x14ac:dyDescent="0.3">
      <c r="A123" s="51" t="s">
        <v>248</v>
      </c>
      <c r="B123" s="21" t="s">
        <v>158</v>
      </c>
      <c r="C123" s="20">
        <f>IFERROR(VLOOKUP(B123,'Факт продаж'!A:B,2,0),"нет продаж")</f>
        <v>8</v>
      </c>
      <c r="D123" s="47">
        <f>IFERROR(VLOOKUP(B123,'Факт продаж'!A:C,3,0),"нет продаж")</f>
        <v>52826.9058</v>
      </c>
      <c r="E123" s="47">
        <f>IFERROR(VLOOKUP(B123,'Факт продаж'!A:E,5,0),"нет продаж")</f>
        <v>25246.058207922251</v>
      </c>
      <c r="F123" s="25">
        <f>IFERROR(VLOOKUP(B123,'Факт продаж'!A:C,3,0)/SUM('План Антонова'!$C$11:$C$13),0)</f>
        <v>4.0112029160803192E-4</v>
      </c>
      <c r="G123" s="5">
        <f>IFERROR(VLOOKUP(B123,'Факт продаж'!J:K,2,0),"нет продаж")</f>
        <v>76</v>
      </c>
      <c r="H123" s="48">
        <f>IFERROR(VLOOKUP(B123,'Факт продаж'!J:L,3,0),"нет продаж")</f>
        <v>395221.65</v>
      </c>
      <c r="I123" s="48">
        <f>IFERROR(VLOOKUP(B123,'Факт продаж'!J:N,5,0),"нет продаж")</f>
        <v>124151.1652845054</v>
      </c>
      <c r="J123" s="7">
        <f>IFERROR(VLOOKUP(B123,'Факт продаж'!J:L,3,0)/SUM('План Антонова'!$C$14:$C$16),0)</f>
        <v>2.7289502534341456E-3</v>
      </c>
      <c r="K123" s="44">
        <f>IFERROR(VLOOKUP(B123,'Факт продаж'!J:O,6,0),"-")</f>
        <v>3.9176455295324706</v>
      </c>
      <c r="L123" s="44">
        <f>IF(AND(F123=0,J123&gt;0),5,IF(J123/F123&gt;5,5,IF(J123/F123=0,0.0000001,J123/F123)))</f>
        <v>5</v>
      </c>
      <c r="M123" s="5">
        <f>IFERROR(VLOOKUP(B123,'Факт продаж'!S:T,2,0),"нет продаж")</f>
        <v>77</v>
      </c>
      <c r="N123" s="48">
        <f>IFERROR(VLOOKUP(B123,'Факт продаж'!S:U,3,0),"нет продаж")</f>
        <v>407435.76999999984</v>
      </c>
      <c r="O123" s="48">
        <f>IFERROR(VLOOKUP(B123,'Факт продаж'!S:W,5,0),"нет продаж")</f>
        <v>128410.08584925097</v>
      </c>
      <c r="P123" s="7">
        <f>IFERROR(VLOOKUP(B123,'Факт продаж'!S:U,3,0)/SUM('План Антонова'!$C$17:$C$19),0)</f>
        <v>2.4817117965766832E-3</v>
      </c>
      <c r="Q123" s="44">
        <f>IFERROR(VLOOKUP(B123,'Факт продаж'!S:X,6,0),"-")</f>
        <v>3.430431405928247E-2</v>
      </c>
      <c r="R123" s="44">
        <f>IF(AND(J123=0,P123&gt;0),5,IF(P123/J123&gt;5,5,IF(P123/J123=0,0.0000001,P123/J123)))</f>
        <v>0.90940162557146864</v>
      </c>
      <c r="S123" s="16">
        <f>IFERROR(VLOOKUP(B123,'Факт продаж'!AB:AD,2,0),"нет продаж")</f>
        <v>107</v>
      </c>
      <c r="T123" s="16">
        <f>IFERROR(VLOOKUP(B123,'Факт продаж'!AB:AD,3,0),"нет продаж")</f>
        <v>511430.01</v>
      </c>
      <c r="U123" s="16">
        <f>IFERROR(VLOOKUP(B123,'Факт продаж'!AB:AF,5,0),"нет продаж")</f>
        <v>109539.60704904544</v>
      </c>
      <c r="V123" s="7">
        <f>IFERROR(VLOOKUP(B123,'Факт продаж'!AB:AD,3,0)/SUM('План Антонова'!$C$20:$C$22),0)</f>
        <v>3.3236287846235232E-3</v>
      </c>
      <c r="W123" s="44">
        <f>IFERROR(VLOOKUP(B123,'Факт продаж'!AB:AG,6,0),"-")</f>
        <v>-0.14695480246278181</v>
      </c>
      <c r="X123" s="44">
        <f>IF(AND(P123=0,V123&gt;0),5,IF(V123/P123&gt;5,5,IF(V123/P123=0,0.0000001,V123/P123)))</f>
        <v>1.3392484934020925</v>
      </c>
      <c r="Y123" s="44">
        <f>IFERROR(VLOOKUP(B123,'Факт продаж'!AB:AH,7,0),"-")</f>
        <v>3.3388796043681683</v>
      </c>
      <c r="Z123" s="44">
        <f>IF(AND(F123=0,V123&gt;0),5,IF(V123/F123&gt;5,5,IF(V123/F123=0,0.0000001,V123/F123)))</f>
        <v>5</v>
      </c>
      <c r="AB123" s="10" t="str">
        <f>IFERROR(VLOOKUP(VALUE(IF(L123&lt;1,1,0)&amp;IF(J123&lt;'Факт продаж'!$M$24,0,1)),$AB$1:$AC$4,2,FALSE),"НЕТ ПРОДАЖ")</f>
        <v>Звезда</v>
      </c>
      <c r="AC123" s="10" t="str">
        <f>IFERROR(VLOOKUP(VALUE(IF(R123&lt;1,1,0)&amp;IF(P123&lt;'Факт продаж'!$V$24,0,1)),$AB$1:$AC$4,2,FALSE),"НЕТ ПРОДАЖ")</f>
        <v>Корова</v>
      </c>
      <c r="AD123" s="10" t="str">
        <f>IFERROR(VLOOKUP(VALUE(IF(X123&lt;1,1,0)&amp;IF(V123&lt;'Факт продаж'!$AE$24,0,1)),$AB$1:$AC$4,2,FALSE),"НЕТ ПРОДАЖ")</f>
        <v>Звезда</v>
      </c>
      <c r="AE123" s="18" t="str">
        <f>IFERROR(VLOOKUP(VALUE(IF(Z123&lt;1,1,0)&amp;IF(V123&lt;'Факт продаж'!$AE$24,0,1)),$AB$1:$AC$4,2,FALSE),"НЕТ ПРОДАЖ")</f>
        <v>Звезда</v>
      </c>
      <c r="AF123" s="74" t="str">
        <f>VLOOKUP(B123,'ABC расчет'!B:G,6,0)</f>
        <v>A</v>
      </c>
      <c r="AG123" s="74" t="str">
        <f>VLOOKUP(B123,'ABC расчет'!K:P,6,0)</f>
        <v>A</v>
      </c>
      <c r="AH123" s="74" t="str">
        <f>VLOOKUP(B123,'ABC расчет'!T:Y,6,0)</f>
        <v>A</v>
      </c>
      <c r="AI123" s="74" t="str">
        <f>VLOOKUP(B123,'ABC расчет'!AC:AH,6,0)</f>
        <v>A</v>
      </c>
      <c r="AJ123" s="74"/>
      <c r="AK123" s="74"/>
      <c r="AL123" s="19"/>
    </row>
    <row r="124" spans="1:38" x14ac:dyDescent="0.3">
      <c r="A124" s="51" t="s">
        <v>256</v>
      </c>
      <c r="B124" s="21" t="s">
        <v>132</v>
      </c>
      <c r="C124" s="20" t="str">
        <f>IFERROR(VLOOKUP(B124,'Факт продаж'!A:B,2,0),"нет продаж")</f>
        <v>нет продаж</v>
      </c>
      <c r="D124" s="47" t="str">
        <f>IFERROR(VLOOKUP(B124,'Факт продаж'!A:C,3,0),"нет продаж")</f>
        <v>нет продаж</v>
      </c>
      <c r="E124" s="47" t="str">
        <f>IFERROR(VLOOKUP(B124,'Факт продаж'!A:E,5,0),"нет продаж")</f>
        <v>нет продаж</v>
      </c>
      <c r="F124" s="25">
        <f>IFERROR(VLOOKUP(B124,'Факт продаж'!A:C,3,0)/SUM('План Антонова'!$C$11:$C$13),0)</f>
        <v>0</v>
      </c>
      <c r="G124" s="5">
        <f>IFERROR(VLOOKUP(B124,'Факт продаж'!J:K,2,0),"нет продаж")</f>
        <v>84</v>
      </c>
      <c r="H124" s="48">
        <f>IFERROR(VLOOKUP(B124,'Факт продаж'!J:L,3,0),"нет продаж")</f>
        <v>351939.3</v>
      </c>
      <c r="I124" s="48">
        <f>IFERROR(VLOOKUP(B124,'Факт продаж'!J:N,5,0),"нет продаж")</f>
        <v>139549.05899714658</v>
      </c>
      <c r="J124" s="7">
        <f>IFERROR(VLOOKUP(B124,'Факт продаж'!J:L,3,0)/SUM('План Антонова'!$C$14:$C$16),0)</f>
        <v>2.4300916762237993E-3</v>
      </c>
      <c r="K124" s="44">
        <f>IFERROR(VLOOKUP(B124,'Факт продаж'!J:O,6,0),"-")</f>
        <v>1</v>
      </c>
      <c r="L124" s="44">
        <f>IF(AND(F124=0,J124&gt;0),5,IF(J124/F124&gt;5,5,IF(J124/F124=0,0.0000001,J124/F124)))</f>
        <v>5</v>
      </c>
      <c r="M124" s="5">
        <f>IFERROR(VLOOKUP(B124,'Факт продаж'!S:T,2,0),"нет продаж")</f>
        <v>79</v>
      </c>
      <c r="N124" s="48">
        <f>IFERROR(VLOOKUP(B124,'Факт продаж'!S:U,3,0),"нет продаж")</f>
        <v>338400.05</v>
      </c>
      <c r="O124" s="48">
        <f>IFERROR(VLOOKUP(B124,'Факт продаж'!S:W,5,0),"нет продаж")</f>
        <v>117592.19465538775</v>
      </c>
      <c r="P124" s="7">
        <f>IFERROR(VLOOKUP(B124,'Факт продаж'!S:U,3,0)/SUM('План Антонова'!$C$17:$C$19),0)</f>
        <v>2.0612117489025071E-3</v>
      </c>
      <c r="Q124" s="44">
        <f>IFERROR(VLOOKUP(B124,'Факт продаж'!S:X,6,0),"-")</f>
        <v>-0.1573415435370854</v>
      </c>
      <c r="R124" s="44">
        <f>IF(AND(J124=0,P124&gt;0),5,IF(P124/J124&gt;5,5,IF(P124/J124=0,0.0000001,P124/J124)))</f>
        <v>0.84820328758357499</v>
      </c>
      <c r="S124" s="16">
        <f>IFERROR(VLOOKUP(B124,'Факт продаж'!AB:AD,2,0),"нет продаж")</f>
        <v>66</v>
      </c>
      <c r="T124" s="16">
        <f>IFERROR(VLOOKUP(B124,'Факт продаж'!AB:AD,3,0),"нет продаж")</f>
        <v>275236.95</v>
      </c>
      <c r="U124" s="16">
        <f>IFERROR(VLOOKUP(B124,'Факт продаж'!AB:AF,5,0),"нет продаж")</f>
        <v>104330.56197435486</v>
      </c>
      <c r="V124" s="7">
        <f>IFERROR(VLOOKUP(B124,'Факт продаж'!AB:AD,3,0)/SUM('План Антонова'!$C$20:$C$22),0)</f>
        <v>1.7886816020279792E-3</v>
      </c>
      <c r="W124" s="44">
        <f>IFERROR(VLOOKUP(B124,'Факт продаж'!AB:AG,6,0),"-")</f>
        <v>-0.11277647058035645</v>
      </c>
      <c r="X124" s="44">
        <f>IF(AND(P124=0,V124&gt;0),5,IF(V124/P124&gt;5,5,IF(V124/P124=0,0.0000001,V124/P124)))</f>
        <v>0.86778158671973571</v>
      </c>
      <c r="Y124" s="44">
        <f>IFERROR(VLOOKUP(B124,'Факт продаж'!AB:AH,7,0),"-")</f>
        <v>1</v>
      </c>
      <c r="Z124" s="44">
        <f>IF(AND(F124=0,V124&gt;0),5,IF(V124/F124&gt;5,5,IF(V124/F124=0,0.0000001,V124/F124)))</f>
        <v>5</v>
      </c>
      <c r="AB124" s="10" t="str">
        <f>IFERROR(VLOOKUP(VALUE(IF(L124&lt;1,1,0)&amp;IF(J124&lt;'Факт продаж'!$M$24,0,1)),$AB$1:$AC$4,2,FALSE),"НЕТ ПРОДАЖ")</f>
        <v>Звезда</v>
      </c>
      <c r="AC124" s="10" t="str">
        <f>IFERROR(VLOOKUP(VALUE(IF(R124&lt;1,1,0)&amp;IF(P124&lt;'Факт продаж'!$V$24,0,1)),$AB$1:$AC$4,2,FALSE),"НЕТ ПРОДАЖ")</f>
        <v>Корова</v>
      </c>
      <c r="AD124" s="10" t="str">
        <f>IFERROR(VLOOKUP(VALUE(IF(X124&lt;1,1,0)&amp;IF(V124&lt;'Факт продаж'!$AE$24,0,1)),$AB$1:$AC$4,2,FALSE),"НЕТ ПРОДАЖ")</f>
        <v>Корова</v>
      </c>
      <c r="AE124" s="18" t="str">
        <f>IFERROR(VLOOKUP(VALUE(IF(Z124&lt;1,1,0)&amp;IF(V124&lt;'Факт продаж'!$AE$24,0,1)),$AB$1:$AC$4,2,FALSE),"НЕТ ПРОДАЖ")</f>
        <v>Звезда</v>
      </c>
      <c r="AF124" s="74" t="str">
        <f>VLOOKUP(B124,'ABC расчет'!B:G,6,0)</f>
        <v>C</v>
      </c>
      <c r="AG124" s="74" t="str">
        <f>VLOOKUP(B124,'ABC расчет'!K:P,6,0)</f>
        <v>A</v>
      </c>
      <c r="AH124" s="74" t="str">
        <f>VLOOKUP(B124,'ABC расчет'!T:Y,6,0)</f>
        <v>A</v>
      </c>
      <c r="AI124" s="74" t="str">
        <f>VLOOKUP(B124,'ABC расчет'!AC:AH,6,0)</f>
        <v>A</v>
      </c>
      <c r="AJ124" s="74"/>
      <c r="AK124" s="74"/>
      <c r="AL124" s="19"/>
    </row>
    <row r="125" spans="1:38" ht="15" customHeight="1" x14ac:dyDescent="0.3">
      <c r="A125" s="51" t="s">
        <v>329</v>
      </c>
      <c r="B125" s="21" t="s">
        <v>274</v>
      </c>
      <c r="C125" s="20" t="str">
        <f>IFERROR(VLOOKUP(B125,'Факт продаж'!A:B,2,0),"нет продаж")</f>
        <v>нет продаж</v>
      </c>
      <c r="D125" s="47" t="str">
        <f>IFERROR(VLOOKUP(B125,'Факт продаж'!A:C,3,0),"нет продаж")</f>
        <v>нет продаж</v>
      </c>
      <c r="E125" s="47" t="str">
        <f>IFERROR(VLOOKUP(B125,'Факт продаж'!A:E,5,0),"нет продаж")</f>
        <v>нет продаж</v>
      </c>
      <c r="F125" s="25">
        <f>IFERROR(VLOOKUP(B125,'Факт продаж'!A:C,3,0)/SUM('План Антонова'!$C$11:$C$13),0)</f>
        <v>0</v>
      </c>
      <c r="G125" s="5">
        <f>IFERROR(VLOOKUP(B125,'Факт продаж'!J:K,2,0),"нет продаж")</f>
        <v>50</v>
      </c>
      <c r="H125" s="48">
        <f>IFERROR(VLOOKUP(B125,'Факт продаж'!J:L,3,0),"нет продаж")</f>
        <v>182402.8</v>
      </c>
      <c r="I125" s="48">
        <f>IFERROR(VLOOKUP(B125,'Факт продаж'!J:N,5,0),"нет продаж")</f>
        <v>78744.561975130695</v>
      </c>
      <c r="J125" s="7">
        <f>IFERROR(VLOOKUP(B125,'Факт продаж'!J:L,3,0)/SUM('План Антонова'!$C$14:$C$16),0)</f>
        <v>1.2594658397056379E-3</v>
      </c>
      <c r="K125" s="44">
        <f>IFERROR(VLOOKUP(B125,'Факт продаж'!J:O,6,0),"-")</f>
        <v>1</v>
      </c>
      <c r="L125" s="44">
        <f>IF(AND(F125=0,J125&gt;0),5,IF(J125/F125&gt;5,5,IF(J125/F125=0,0.0000001,J125/F125)))</f>
        <v>5</v>
      </c>
      <c r="M125" s="5">
        <f>IFERROR(VLOOKUP(B125,'Факт продаж'!S:T,2,0),"нет продаж")</f>
        <v>63</v>
      </c>
      <c r="N125" s="48">
        <f>IFERROR(VLOOKUP(B125,'Факт продаж'!S:U,3,0),"нет продаж")</f>
        <v>240927.45000000004</v>
      </c>
      <c r="O125" s="48">
        <f>IFERROR(VLOOKUP(B125,'Факт продаж'!S:W,5,0),"нет продаж")</f>
        <v>104599.62344933335</v>
      </c>
      <c r="P125" s="7">
        <f>IFERROR(VLOOKUP(B125,'Факт продаж'!S:U,3,0)/SUM('План Антонова'!$C$17:$C$19),0)</f>
        <v>1.4675012328547866E-3</v>
      </c>
      <c r="Q125" s="44">
        <f>IFERROR(VLOOKUP(B125,'Факт продаж'!S:X,6,0),"-")</f>
        <v>0.3283409142890179</v>
      </c>
      <c r="R125" s="44">
        <f>IF(AND(J125=0,P125&gt;0),5,IF(P125/J125&gt;5,5,IF(P125/J125=0,0.0000001,P125/J125)))</f>
        <v>1.1651774796827921</v>
      </c>
      <c r="S125" s="16">
        <f>IFERROR(VLOOKUP(B125,'Факт продаж'!AB:AD,2,0),"нет продаж")</f>
        <v>56</v>
      </c>
      <c r="T125" s="16">
        <f>IFERROR(VLOOKUP(B125,'Факт продаж'!AB:AD,3,0),"нет продаж")</f>
        <v>232738.55</v>
      </c>
      <c r="U125" s="16">
        <f>IFERROR(VLOOKUP(B125,'Факт продаж'!AB:AF,5,0),"нет продаж")</f>
        <v>103320.80111305305</v>
      </c>
      <c r="V125" s="7">
        <f>IFERROR(VLOOKUP(B125,'Факт продаж'!AB:AD,3,0)/SUM('План Антонова'!$C$20:$C$22),0)</f>
        <v>1.512497368059299E-3</v>
      </c>
      <c r="W125" s="44">
        <f>IFERROR(VLOOKUP(B125,'Факт продаж'!AB:AG,6,0),"-")</f>
        <v>-1.2225878966951931E-2</v>
      </c>
      <c r="X125" s="44">
        <f>IF(AND(P125=0,V125&gt;0),5,IF(V125/P125&gt;5,5,IF(V125/P125=0,0.0000001,V125/P125)))</f>
        <v>1.030661735879417</v>
      </c>
      <c r="Y125" s="44">
        <f>IFERROR(VLOOKUP(B125,'Факт продаж'!AB:AH,7,0),"-")</f>
        <v>1</v>
      </c>
      <c r="Z125" s="44">
        <f>IF(AND(F125=0,V125&gt;0),5,IF(V125/F125&gt;5,5,IF(V125/F125=0,0.0000001,V125/F125)))</f>
        <v>5</v>
      </c>
      <c r="AB125" s="10" t="str">
        <f>IFERROR(VLOOKUP(VALUE(IF(L125&lt;1,1,0)&amp;IF(J125&lt;'Факт продаж'!$M$24,0,1)),$AB$1:$AC$4,2,FALSE),"НЕТ ПРОДАЖ")</f>
        <v>Звезда</v>
      </c>
      <c r="AC125" s="10" t="str">
        <f>IFERROR(VLOOKUP(VALUE(IF(R125&lt;1,1,0)&amp;IF(P125&lt;'Факт продаж'!$V$24,0,1)),$AB$1:$AC$4,2,FALSE),"НЕТ ПРОДАЖ")</f>
        <v>Звезда</v>
      </c>
      <c r="AD125" s="10" t="str">
        <f>IFERROR(VLOOKUP(VALUE(IF(X125&lt;1,1,0)&amp;IF(V125&lt;'Факт продаж'!$AE$24,0,1)),$AB$1:$AC$4,2,FALSE),"НЕТ ПРОДАЖ")</f>
        <v>Звезда</v>
      </c>
      <c r="AE125" s="18" t="str">
        <f>IFERROR(VLOOKUP(VALUE(IF(Z125&lt;1,1,0)&amp;IF(V125&lt;'Факт продаж'!$AE$24,0,1)),$AB$1:$AC$4,2,FALSE),"НЕТ ПРОДАЖ")</f>
        <v>Звезда</v>
      </c>
      <c r="AF125" s="74" t="str">
        <f>VLOOKUP(B125,'ABC расчет'!B:G,6,0)</f>
        <v>C</v>
      </c>
      <c r="AG125" s="74" t="str">
        <f>VLOOKUP(B125,'ABC расчет'!K:P,6,0)</f>
        <v>B</v>
      </c>
      <c r="AH125" s="74" t="str">
        <f>VLOOKUP(B125,'ABC расчет'!T:Y,6,0)</f>
        <v>B</v>
      </c>
      <c r="AI125" s="74" t="str">
        <f>VLOOKUP(B125,'ABC расчет'!AC:AH,6,0)</f>
        <v>B</v>
      </c>
      <c r="AJ125" s="74"/>
      <c r="AK125" s="74"/>
      <c r="AL125" s="19"/>
    </row>
    <row r="126" spans="1:38" x14ac:dyDescent="0.3">
      <c r="A126" s="51" t="s">
        <v>252</v>
      </c>
      <c r="B126" s="21" t="s">
        <v>69</v>
      </c>
      <c r="C126" s="20">
        <f>IFERROR(VLOOKUP(B126,'Факт продаж'!A:B,2,0),"нет продаж")</f>
        <v>184</v>
      </c>
      <c r="D126" s="47">
        <f>IFERROR(VLOOKUP(B126,'Факт продаж'!A:C,3,0),"нет продаж")</f>
        <v>133649.9822</v>
      </c>
      <c r="E126" s="47">
        <f>IFERROR(VLOOKUP(B126,'Факт продаж'!A:E,5,0),"нет продаж")</f>
        <v>50347.078889286015</v>
      </c>
      <c r="F126" s="25">
        <f>IFERROR(VLOOKUP(B126,'Факт продаж'!A:C,3,0)/SUM('План Антонова'!$C$11:$C$13),0)</f>
        <v>1.0148184721709042E-3</v>
      </c>
      <c r="G126" s="5">
        <f>IFERROR(VLOOKUP(B126,'Факт продаж'!J:K,2,0),"нет продаж")</f>
        <v>220</v>
      </c>
      <c r="H126" s="48">
        <f>IFERROR(VLOOKUP(B126,'Факт продаж'!J:L,3,0),"нет продаж")</f>
        <v>133011.97999999998</v>
      </c>
      <c r="I126" s="48">
        <f>IFERROR(VLOOKUP(B126,'Факт продаж'!J:N,5,0),"нет продаж")</f>
        <v>61988.780126438956</v>
      </c>
      <c r="J126" s="7">
        <f>IFERROR(VLOOKUP(B126,'Факт продаж'!J:L,3,0)/SUM('План Антонова'!$C$14:$C$16),0)</f>
        <v>9.1842913092128793E-4</v>
      </c>
      <c r="K126" s="44">
        <f>IFERROR(VLOOKUP(B126,'Факт продаж'!J:O,6,0),"-")</f>
        <v>0.23122893113130205</v>
      </c>
      <c r="L126" s="44">
        <f>IF(AND(F126=0,J126&gt;0),5,IF(J126/F126&gt;5,5,IF(J126/F126=0,0.0000001,J126/F126)))</f>
        <v>0.90501814472945119</v>
      </c>
      <c r="M126" s="5">
        <f>IFERROR(VLOOKUP(B126,'Факт продаж'!S:T,2,0),"нет продаж")</f>
        <v>240</v>
      </c>
      <c r="N126" s="48">
        <f>IFERROR(VLOOKUP(B126,'Факт продаж'!S:U,3,0),"нет продаж")</f>
        <v>121822.55</v>
      </c>
      <c r="O126" s="48">
        <f>IFERROR(VLOOKUP(B126,'Факт продаж'!S:W,5,0),"нет продаж")</f>
        <v>58998.108949607173</v>
      </c>
      <c r="P126" s="7">
        <f>IFERROR(VLOOKUP(B126,'Факт продаж'!S:U,3,0)/SUM('План Антонова'!$C$17:$C$19),0)</f>
        <v>7.4202728794296323E-4</v>
      </c>
      <c r="Q126" s="44">
        <f>IFERROR(VLOOKUP(B126,'Факт продаж'!S:X,6,0),"-")</f>
        <v>-4.8245362640330858E-2</v>
      </c>
      <c r="R126" s="44">
        <f>IF(AND(J126=0,P126&gt;0),5,IF(P126/J126&gt;5,5,IF(P126/J126=0,0.0000001,P126/J126)))</f>
        <v>0.80793091482042412</v>
      </c>
      <c r="S126" s="16">
        <f>IFERROR(VLOOKUP(B126,'Факт продаж'!AB:AD,2,0),"нет продаж")</f>
        <v>315</v>
      </c>
      <c r="T126" s="16">
        <f>IFERROR(VLOOKUP(B126,'Факт продаж'!AB:AD,3,0),"нет продаж")</f>
        <v>213043.90000000002</v>
      </c>
      <c r="U126" s="16">
        <f>IFERROR(VLOOKUP(B126,'Факт продаж'!AB:AF,5,0),"нет продаж")</f>
        <v>103159.99844179153</v>
      </c>
      <c r="V126" s="7">
        <f>IFERROR(VLOOKUP(B126,'Факт продаж'!AB:AD,3,0)/SUM('План Антонова'!$C$20:$C$22),0)</f>
        <v>1.3845078008395625E-3</v>
      </c>
      <c r="W126" s="44">
        <f>IFERROR(VLOOKUP(B126,'Факт продаж'!AB:AG,6,0),"-")</f>
        <v>0.74853059324163973</v>
      </c>
      <c r="X126" s="44">
        <f>IF(AND(P126=0,V126&gt;0),5,IF(V126/P126&gt;5,5,IF(V126/P126=0,0.0000001,V126/P126)))</f>
        <v>1.8658448595302661</v>
      </c>
      <c r="Y126" s="44">
        <f>IFERROR(VLOOKUP(B126,'Факт продаж'!AB:AH,7,0),"-")</f>
        <v>1.0489768367424439</v>
      </c>
      <c r="Z126" s="44">
        <f>IF(AND(F126=0,V126&gt;0),5,IF(V126/F126&gt;5,5,IF(V126/F126=0,0.0000001,V126/F126)))</f>
        <v>1.3642910912705573</v>
      </c>
      <c r="AB126" s="10" t="str">
        <f>IFERROR(VLOOKUP(VALUE(IF(L126&lt;1,1,0)&amp;IF(J126&lt;'Факт продаж'!$M$24,0,1)),$AB$1:$AC$4,2,FALSE),"НЕТ ПРОДАЖ")</f>
        <v>Корова</v>
      </c>
      <c r="AC126" s="10" t="str">
        <f>IFERROR(VLOOKUP(VALUE(IF(R126&lt;1,1,0)&amp;IF(P126&lt;'Факт продаж'!$V$24,0,1)),$AB$1:$AC$4,2,FALSE),"НЕТ ПРОДАЖ")</f>
        <v>Собака</v>
      </c>
      <c r="AD126" s="10" t="str">
        <f>IFERROR(VLOOKUP(VALUE(IF(X126&lt;1,1,0)&amp;IF(V126&lt;'Факт продаж'!$AE$24,0,1)),$AB$1:$AC$4,2,FALSE),"НЕТ ПРОДАЖ")</f>
        <v>Звезда</v>
      </c>
      <c r="AE126" s="18" t="str">
        <f>IFERROR(VLOOKUP(VALUE(IF(Z126&lt;1,1,0)&amp;IF(V126&lt;'Факт продаж'!$AE$24,0,1)),$AB$1:$AC$4,2,FALSE),"НЕТ ПРОДАЖ")</f>
        <v>Звезда</v>
      </c>
      <c r="AF126" s="74" t="str">
        <f>VLOOKUP(B126,'ABC расчет'!B:G,6,0)</f>
        <v>B</v>
      </c>
      <c r="AG126" s="74" t="str">
        <f>VLOOKUP(B126,'ABC расчет'!K:P,6,0)</f>
        <v>C</v>
      </c>
      <c r="AH126" s="74" t="str">
        <f>VLOOKUP(B126,'ABC расчет'!T:Y,6,0)</f>
        <v>C</v>
      </c>
      <c r="AI126" s="74" t="str">
        <f>VLOOKUP(B126,'ABC расчет'!AC:AH,6,0)</f>
        <v>B</v>
      </c>
      <c r="AJ126" s="74"/>
      <c r="AK126" s="74"/>
      <c r="AL126" s="19"/>
    </row>
    <row r="127" spans="1:38" x14ac:dyDescent="0.3">
      <c r="A127" s="51" t="s">
        <v>116</v>
      </c>
      <c r="B127" s="21" t="s">
        <v>48</v>
      </c>
      <c r="C127" s="20">
        <f>IFERROR(VLOOKUP(B127,'Факт продаж'!A:B,2,0),"нет продаж")</f>
        <v>30</v>
      </c>
      <c r="D127" s="47">
        <f>IFERROR(VLOOKUP(B127,'Факт продаж'!A:C,3,0),"нет продаж")</f>
        <v>86468.759699999995</v>
      </c>
      <c r="E127" s="47">
        <f>IFERROR(VLOOKUP(B127,'Факт продаж'!A:E,5,0),"нет продаж")</f>
        <v>41906.760123339474</v>
      </c>
      <c r="F127" s="25">
        <f>IFERROR(VLOOKUP(B127,'Факт продаж'!A:C,3,0)/SUM('План Антонова'!$C$11:$C$13),0)</f>
        <v>6.565664518978667E-4</v>
      </c>
      <c r="G127" s="5">
        <f>IFERROR(VLOOKUP(B127,'Факт продаж'!J:K,2,0),"нет продаж")</f>
        <v>15</v>
      </c>
      <c r="H127" s="48">
        <f>IFERROR(VLOOKUP(B127,'Факт продаж'!J:L,3,0),"нет продаж")</f>
        <v>56214.1</v>
      </c>
      <c r="I127" s="48">
        <f>IFERROR(VLOOKUP(B127,'Факт продаж'!J:N,5,0),"нет продаж")</f>
        <v>28995.725927636904</v>
      </c>
      <c r="J127" s="7">
        <f>IFERROR(VLOOKUP(B127,'Факт продаж'!J:L,3,0)/SUM('План Антонова'!$C$14:$C$16),0)</f>
        <v>3.8815050349992819E-4</v>
      </c>
      <c r="K127" s="44">
        <f>IFERROR(VLOOKUP(B127,'Факт продаж'!J:O,6,0),"-")</f>
        <v>-0.30808953394877026</v>
      </c>
      <c r="L127" s="44">
        <f>IF(AND(F127=0,J127&gt;0),5,IF(J127/F127&gt;5,5,IF(J127/F127=0,0.0000001,J127/F127)))</f>
        <v>0.59118235843141675</v>
      </c>
      <c r="M127" s="5">
        <f>IFERROR(VLOOKUP(B127,'Факт продаж'!S:T,2,0),"нет продаж")</f>
        <v>106</v>
      </c>
      <c r="N127" s="48">
        <f>IFERROR(VLOOKUP(B127,'Факт продаж'!S:U,3,0),"нет продаж")</f>
        <v>344064.2</v>
      </c>
      <c r="O127" s="48">
        <f>IFERROR(VLOOKUP(B127,'Факт продаж'!S:W,5,0),"нет продаж")</f>
        <v>136478.2096285705</v>
      </c>
      <c r="P127" s="7">
        <f>IFERROR(VLOOKUP(B127,'Факт продаж'!S:U,3,0)/SUM('План Антонова'!$C$17:$C$19),0)</f>
        <v>2.0957123718413815E-3</v>
      </c>
      <c r="Q127" s="44">
        <f>IFERROR(VLOOKUP(B127,'Факт продаж'!S:X,6,0),"-")</f>
        <v>3.706838862016145</v>
      </c>
      <c r="R127" s="44">
        <f>IF(AND(J127=0,P127&gt;0),5,IF(P127/J127&gt;5,5,IF(P127/J127=0,0.0000001,P127/J127)))</f>
        <v>5</v>
      </c>
      <c r="S127" s="16">
        <f>IFERROR(VLOOKUP(B127,'Факт продаж'!AB:AD,2,0),"нет продаж")</f>
        <v>54</v>
      </c>
      <c r="T127" s="16">
        <f>IFERROR(VLOOKUP(B127,'Факт продаж'!AB:AD,3,0),"нет продаж")</f>
        <v>198649.8</v>
      </c>
      <c r="U127" s="16">
        <f>IFERROR(VLOOKUP(B127,'Факт продаж'!AB:AF,5,0),"нет продаж")</f>
        <v>101854.52707933837</v>
      </c>
      <c r="V127" s="7">
        <f>IFERROR(VLOOKUP(B127,'Факт продаж'!AB:AD,3,0)/SUM('План Антонова'!$C$20:$C$22),0)</f>
        <v>1.290964903173566E-3</v>
      </c>
      <c r="W127" s="44">
        <f>IFERROR(VLOOKUP(B127,'Факт продаж'!AB:AG,6,0),"-")</f>
        <v>-0.25369385078732731</v>
      </c>
      <c r="X127" s="44">
        <f>IF(AND(P127=0,V127&gt;0),5,IF(V127/P127&gt;5,5,IF(V127/P127=0,0.0000001,V127/P127)))</f>
        <v>0.61600290217272025</v>
      </c>
      <c r="Y127" s="44">
        <f>IFERROR(VLOOKUP(B127,'Факт продаж'!AB:AH,7,0),"-")</f>
        <v>1.430503498231821</v>
      </c>
      <c r="Z127" s="44">
        <f>IF(AND(F127=0,V127&gt;0),5,IF(V127/F127&gt;5,5,IF(V127/F127=0,0.0000001,V127/F127)))</f>
        <v>1.9662364707211453</v>
      </c>
      <c r="AB127" s="10" t="str">
        <f>IFERROR(VLOOKUP(VALUE(IF(L127&lt;1,1,0)&amp;IF(J127&lt;'Факт продаж'!$M$24,0,1)),$AB$1:$AC$4,2,FALSE),"НЕТ ПРОДАЖ")</f>
        <v>Собака</v>
      </c>
      <c r="AC127" s="10" t="str">
        <f>IFERROR(VLOOKUP(VALUE(IF(R127&lt;1,1,0)&amp;IF(P127&lt;'Факт продаж'!$V$24,0,1)),$AB$1:$AC$4,2,FALSE),"НЕТ ПРОДАЖ")</f>
        <v>Звезда</v>
      </c>
      <c r="AD127" s="10" t="str">
        <f>IFERROR(VLOOKUP(VALUE(IF(X127&lt;1,1,0)&amp;IF(V127&lt;'Факт продаж'!$AE$24,0,1)),$AB$1:$AC$4,2,FALSE),"НЕТ ПРОДАЖ")</f>
        <v>Корова</v>
      </c>
      <c r="AE127" s="18" t="str">
        <f>IFERROR(VLOOKUP(VALUE(IF(Z127&lt;1,1,0)&amp;IF(V127&lt;'Факт продаж'!$AE$24,0,1)),$AB$1:$AC$4,2,FALSE),"НЕТ ПРОДАЖ")</f>
        <v>Звезда</v>
      </c>
      <c r="AF127" s="74" t="str">
        <f>VLOOKUP(B127,'ABC расчет'!B:G,6,0)</f>
        <v>B</v>
      </c>
      <c r="AG127" s="74" t="str">
        <f>VLOOKUP(B127,'ABC расчет'!K:P,6,0)</f>
        <v>C</v>
      </c>
      <c r="AH127" s="74" t="str">
        <f>VLOOKUP(B127,'ABC расчет'!T:Y,6,0)</f>
        <v>B</v>
      </c>
      <c r="AI127" s="74" t="str">
        <f>VLOOKUP(B127,'ABC расчет'!AC:AH,6,0)</f>
        <v>C</v>
      </c>
      <c r="AJ127" s="74"/>
      <c r="AK127" s="74"/>
      <c r="AL127" s="19"/>
    </row>
    <row r="128" spans="1:38" x14ac:dyDescent="0.3">
      <c r="A128" s="51" t="s">
        <v>252</v>
      </c>
      <c r="B128" s="21" t="s">
        <v>241</v>
      </c>
      <c r="C128" s="20" t="str">
        <f>IFERROR(VLOOKUP(B128,'Факт продаж'!A:B,2,0),"нет продаж")</f>
        <v>нет продаж</v>
      </c>
      <c r="D128" s="47" t="str">
        <f>IFERROR(VLOOKUP(B128,'Факт продаж'!A:C,3,0),"нет продаж")</f>
        <v>нет продаж</v>
      </c>
      <c r="E128" s="47" t="str">
        <f>IFERROR(VLOOKUP(B128,'Факт продаж'!A:E,5,0),"нет продаж")</f>
        <v>нет продаж</v>
      </c>
      <c r="F128" s="25">
        <f>IFERROR(VLOOKUP(B128,'Факт продаж'!A:C,3,0)/SUM('План Антонова'!$C$11:$C$13),0)</f>
        <v>0</v>
      </c>
      <c r="G128" s="5">
        <f>IFERROR(VLOOKUP(B128,'Факт продаж'!J:K,2,0),"нет продаж")</f>
        <v>170</v>
      </c>
      <c r="H128" s="48">
        <f>IFERROR(VLOOKUP(B128,'Факт продаж'!J:L,3,0),"нет продаж")</f>
        <v>276964.89999999997</v>
      </c>
      <c r="I128" s="48">
        <f>IFERROR(VLOOKUP(B128,'Факт продаж'!J:N,5,0),"нет продаж")</f>
        <v>121600.41503166266</v>
      </c>
      <c r="J128" s="7">
        <f>IFERROR(VLOOKUP(B128,'Факт продаж'!J:L,3,0)/SUM('План Антонова'!$C$14:$C$16),0)</f>
        <v>1.9124039233360892E-3</v>
      </c>
      <c r="K128" s="44">
        <f>IFERROR(VLOOKUP(B128,'Факт продаж'!J:O,6,0),"-")</f>
        <v>1</v>
      </c>
      <c r="L128" s="44">
        <f>IF(AND(F128=0,J128&gt;0),5,IF(J128/F128&gt;5,5,IF(J128/F128=0,0.0000001,J128/F128)))</f>
        <v>5</v>
      </c>
      <c r="M128" s="5">
        <f>IFERROR(VLOOKUP(B128,'Факт продаж'!S:T,2,0),"нет продаж")</f>
        <v>264</v>
      </c>
      <c r="N128" s="48">
        <f>IFERROR(VLOOKUP(B128,'Факт продаж'!S:U,3,0),"нет продаж")</f>
        <v>414706.2</v>
      </c>
      <c r="O128" s="48">
        <f>IFERROR(VLOOKUP(B128,'Факт продаж'!S:W,5,0),"нет продаж")</f>
        <v>124715.64482261623</v>
      </c>
      <c r="P128" s="7">
        <f>IFERROR(VLOOKUP(B128,'Факт продаж'!S:U,3,0)/SUM('План Антонова'!$C$17:$C$19),0)</f>
        <v>2.5259963518998092E-3</v>
      </c>
      <c r="Q128" s="44">
        <f>IFERROR(VLOOKUP(B128,'Факт продаж'!S:X,6,0),"-")</f>
        <v>2.5618578605528741E-2</v>
      </c>
      <c r="R128" s="44">
        <f>IF(AND(J128=0,P128&gt;0),5,IF(P128/J128&gt;5,5,IF(P128/J128=0,0.0000001,P128/J128)))</f>
        <v>1.3208487605972592</v>
      </c>
      <c r="S128" s="16">
        <f>IFERROR(VLOOKUP(B128,'Факт продаж'!AB:AD,2,0),"нет продаж")</f>
        <v>198</v>
      </c>
      <c r="T128" s="16">
        <f>IFERROR(VLOOKUP(B128,'Факт продаж'!AB:AD,3,0),"нет продаж")</f>
        <v>323336.09999999998</v>
      </c>
      <c r="U128" s="16">
        <f>IFERROR(VLOOKUP(B128,'Факт продаж'!AB:AF,5,0),"нет продаж")</f>
        <v>95686.305752693763</v>
      </c>
      <c r="V128" s="7">
        <f>IFERROR(VLOOKUP(B128,'Факт продаж'!AB:AD,3,0)/SUM('План Антонова'!$C$20:$C$22),0)</f>
        <v>2.1012634144560853E-3</v>
      </c>
      <c r="W128" s="44">
        <f>IFERROR(VLOOKUP(B128,'Факт продаж'!AB:AG,6,0),"-")</f>
        <v>-0.23276421423479843</v>
      </c>
      <c r="X128" s="44">
        <f>IF(AND(P128=0,V128&gt;0),5,IF(V128/P128&gt;5,5,IF(V128/P128=0,0.0000001,V128/P128)))</f>
        <v>0.83185528469814252</v>
      </c>
      <c r="Y128" s="44">
        <f>IFERROR(VLOOKUP(B128,'Факт продаж'!AB:AH,7,0),"-")</f>
        <v>1</v>
      </c>
      <c r="Z128" s="44">
        <f>IF(AND(F128=0,V128&gt;0),5,IF(V128/F128&gt;5,5,IF(V128/F128=0,0.0000001,V128/F128)))</f>
        <v>5</v>
      </c>
      <c r="AB128" s="10" t="str">
        <f>IFERROR(VLOOKUP(VALUE(IF(L128&lt;1,1,0)&amp;IF(J128&lt;'Факт продаж'!$M$24,0,1)),$AB$1:$AC$4,2,FALSE),"НЕТ ПРОДАЖ")</f>
        <v>Звезда</v>
      </c>
      <c r="AC128" s="10" t="str">
        <f>IFERROR(VLOOKUP(VALUE(IF(R128&lt;1,1,0)&amp;IF(P128&lt;'Факт продаж'!$V$24,0,1)),$AB$1:$AC$4,2,FALSE),"НЕТ ПРОДАЖ")</f>
        <v>Звезда</v>
      </c>
      <c r="AD128" s="10" t="str">
        <f>IFERROR(VLOOKUP(VALUE(IF(X128&lt;1,1,0)&amp;IF(V128&lt;'Факт продаж'!$AE$24,0,1)),$AB$1:$AC$4,2,FALSE),"НЕТ ПРОДАЖ")</f>
        <v>Корова</v>
      </c>
      <c r="AE128" s="18" t="str">
        <f>IFERROR(VLOOKUP(VALUE(IF(Z128&lt;1,1,0)&amp;IF(V128&lt;'Факт продаж'!$AE$24,0,1)),$AB$1:$AC$4,2,FALSE),"НЕТ ПРОДАЖ")</f>
        <v>Звезда</v>
      </c>
      <c r="AF128" s="74" t="str">
        <f>VLOOKUP(B128,'ABC расчет'!B:G,6,0)</f>
        <v>C</v>
      </c>
      <c r="AG128" s="74" t="str">
        <f>VLOOKUP(B128,'ABC расчет'!K:P,6,0)</f>
        <v>B</v>
      </c>
      <c r="AH128" s="74" t="str">
        <f>VLOOKUP(B128,'ABC расчет'!T:Y,6,0)</f>
        <v>A</v>
      </c>
      <c r="AI128" s="74" t="str">
        <f>VLOOKUP(B128,'ABC расчет'!AC:AH,6,0)</f>
        <v>B</v>
      </c>
      <c r="AJ128" s="74"/>
      <c r="AK128" s="74"/>
      <c r="AL128" s="19"/>
    </row>
    <row r="129" spans="1:38" x14ac:dyDescent="0.3">
      <c r="A129" s="51" t="s">
        <v>259</v>
      </c>
      <c r="B129" s="21" t="s">
        <v>204</v>
      </c>
      <c r="C129" s="20" t="str">
        <f>IFERROR(VLOOKUP(B129,'Факт продаж'!A:B,2,0),"нет продаж")</f>
        <v>нет продаж</v>
      </c>
      <c r="D129" s="47" t="str">
        <f>IFERROR(VLOOKUP(B129,'Факт продаж'!A:C,3,0),"нет продаж")</f>
        <v>нет продаж</v>
      </c>
      <c r="E129" s="47" t="str">
        <f>IFERROR(VLOOKUP(B129,'Факт продаж'!A:E,5,0),"нет продаж")</f>
        <v>нет продаж</v>
      </c>
      <c r="F129" s="25">
        <f>IFERROR(VLOOKUP(B129,'Факт продаж'!A:C,3,0)/SUM('План Антонова'!$C$11:$C$13),0)</f>
        <v>0</v>
      </c>
      <c r="G129" s="5" t="str">
        <f>IFERROR(VLOOKUP(B129,'Факт продаж'!J:K,2,0),"нет продаж")</f>
        <v>нет продаж</v>
      </c>
      <c r="H129" s="48" t="str">
        <f>IFERROR(VLOOKUP(B129,'Факт продаж'!J:L,3,0),"нет продаж")</f>
        <v>нет продаж</v>
      </c>
      <c r="I129" s="48" t="str">
        <f>IFERROR(VLOOKUP(B129,'Факт продаж'!J:N,5,0),"нет продаж")</f>
        <v>нет продаж</v>
      </c>
      <c r="J129" s="7">
        <f>IFERROR(VLOOKUP(B129,'Факт продаж'!J:L,3,0)/SUM('План Антонова'!$C$14:$C$16),0)</f>
        <v>0</v>
      </c>
      <c r="K129" s="44" t="str">
        <f>IFERROR(VLOOKUP(B129,'Факт продаж'!J:O,6,0),"-")</f>
        <v>-</v>
      </c>
      <c r="L129" s="44" t="e">
        <f>IF(AND(F129=0,J129&gt;0),5,IF(J129/F129&gt;5,5,IF(J129/F129=0,0.0000001,J129/F129)))</f>
        <v>#DIV/0!</v>
      </c>
      <c r="M129" s="5" t="str">
        <f>IFERROR(VLOOKUP(B129,'Факт продаж'!S:T,2,0),"нет продаж")</f>
        <v>нет продаж</v>
      </c>
      <c r="N129" s="48" t="str">
        <f>IFERROR(VLOOKUP(B129,'Факт продаж'!S:U,3,0),"нет продаж")</f>
        <v>нет продаж</v>
      </c>
      <c r="O129" s="48" t="str">
        <f>IFERROR(VLOOKUP(B129,'Факт продаж'!S:W,5,0),"нет продаж")</f>
        <v>нет продаж</v>
      </c>
      <c r="P129" s="7">
        <f>IFERROR(VLOOKUP(B129,'Факт продаж'!S:U,3,0)/SUM('План Антонова'!$C$17:$C$19),0)</f>
        <v>0</v>
      </c>
      <c r="Q129" s="44" t="str">
        <f>IFERROR(VLOOKUP(B129,'Факт продаж'!S:X,6,0),"-")</f>
        <v>-</v>
      </c>
      <c r="R129" s="44" t="e">
        <f>IF(AND(J129=0,P129&gt;0),5,IF(P129/J129&gt;5,5,IF(P129/J129=0,0.0000001,P129/J129)))</f>
        <v>#DIV/0!</v>
      </c>
      <c r="S129" s="16">
        <f>IFERROR(VLOOKUP(B129,'Факт продаж'!AB:AD,2,0),"нет продаж")</f>
        <v>24</v>
      </c>
      <c r="T129" s="16">
        <f>IFERROR(VLOOKUP(B129,'Факт продаж'!AB:AD,3,0),"нет продаж")</f>
        <v>204420</v>
      </c>
      <c r="U129" s="16">
        <f>IFERROR(VLOOKUP(B129,'Факт продаж'!AB:AF,5,0),"нет продаж")</f>
        <v>95671.701002976624</v>
      </c>
      <c r="V129" s="7">
        <f>IFERROR(VLOOKUP(B129,'Факт продаж'!AB:AD,3,0)/SUM('План Антонова'!$C$20:$C$22),0)</f>
        <v>1.3284636858770578E-3</v>
      </c>
      <c r="W129" s="44">
        <f>IFERROR(VLOOKUP(B129,'Факт продаж'!AB:AG,6,0),"-")</f>
        <v>1</v>
      </c>
      <c r="X129" s="44">
        <f>IF(AND(P129=0,V129&gt;0),5,IF(V129/P129&gt;5,5,IF(V129/P129=0,0.0000001,V129/P129)))</f>
        <v>5</v>
      </c>
      <c r="Y129" s="44">
        <f>IFERROR(VLOOKUP(B129,'Факт продаж'!AB:AH,7,0),"-")</f>
        <v>1</v>
      </c>
      <c r="Z129" s="44">
        <f>IF(AND(F129=0,V129&gt;0),5,IF(V129/F129&gt;5,5,IF(V129/F129=0,0.0000001,V129/F129)))</f>
        <v>5</v>
      </c>
      <c r="AB129" s="10" t="str">
        <f>IFERROR(VLOOKUP(VALUE(IF(L129&lt;1,1,0)&amp;IF(J129&lt;'Факт продаж'!$M$24,0,1)),$AB$1:$AC$4,2,FALSE),"НЕТ ПРОДАЖ")</f>
        <v>НЕТ ПРОДАЖ</v>
      </c>
      <c r="AC129" s="10" t="str">
        <f>IFERROR(VLOOKUP(VALUE(IF(R129&lt;1,1,0)&amp;IF(P129&lt;'Факт продаж'!$V$24,0,1)),$AB$1:$AC$4,2,FALSE),"НЕТ ПРОДАЖ")</f>
        <v>НЕТ ПРОДАЖ</v>
      </c>
      <c r="AD129" s="10" t="str">
        <f>IFERROR(VLOOKUP(VALUE(IF(X129&lt;1,1,0)&amp;IF(V129&lt;'Факт продаж'!$AE$24,0,1)),$AB$1:$AC$4,2,FALSE),"НЕТ ПРОДАЖ")</f>
        <v>Звезда</v>
      </c>
      <c r="AE129" s="18" t="str">
        <f>IFERROR(VLOOKUP(VALUE(IF(Z129&lt;1,1,0)&amp;IF(V129&lt;'Факт продаж'!$AE$24,0,1)),$AB$1:$AC$4,2,FALSE),"НЕТ ПРОДАЖ")</f>
        <v>Звезда</v>
      </c>
      <c r="AF129" s="74" t="str">
        <f>VLOOKUP(B129,'ABC расчет'!B:G,6,0)</f>
        <v>C</v>
      </c>
      <c r="AG129" s="74" t="str">
        <f>VLOOKUP(B129,'ABC расчет'!K:P,6,0)</f>
        <v>C</v>
      </c>
      <c r="AH129" s="74" t="str">
        <f>VLOOKUP(B129,'ABC расчет'!T:Y,6,0)</f>
        <v>C</v>
      </c>
      <c r="AI129" s="74" t="str">
        <f>VLOOKUP(B129,'ABC расчет'!AC:AH,6,0)</f>
        <v>C</v>
      </c>
      <c r="AJ129" s="74"/>
      <c r="AK129" s="74"/>
      <c r="AL129" s="5"/>
    </row>
    <row r="130" spans="1:38" x14ac:dyDescent="0.3">
      <c r="A130" s="51" t="s">
        <v>388</v>
      </c>
      <c r="B130" s="21" t="s">
        <v>292</v>
      </c>
      <c r="C130" s="20" t="str">
        <f>IFERROR(VLOOKUP(B130,'Факт продаж'!A:B,2,0),"нет продаж")</f>
        <v>нет продаж</v>
      </c>
      <c r="D130" s="47" t="str">
        <f>IFERROR(VLOOKUP(B130,'Факт продаж'!A:C,3,0),"нет продаж")</f>
        <v>нет продаж</v>
      </c>
      <c r="E130" s="47" t="str">
        <f>IFERROR(VLOOKUP(B130,'Факт продаж'!A:E,5,0),"нет продаж")</f>
        <v>нет продаж</v>
      </c>
      <c r="F130" s="25">
        <f>IFERROR(VLOOKUP(B130,'Факт продаж'!A:C,3,0)/SUM('План Антонова'!$C$11:$C$13),0)</f>
        <v>0</v>
      </c>
      <c r="G130" s="5">
        <f>IFERROR(VLOOKUP(B130,'Факт продаж'!J:K,2,0),"нет продаж")</f>
        <v>166</v>
      </c>
      <c r="H130" s="48">
        <f>IFERROR(VLOOKUP(B130,'Факт продаж'!J:L,3,0),"нет продаж")</f>
        <v>360673</v>
      </c>
      <c r="I130" s="48">
        <f>IFERROR(VLOOKUP(B130,'Факт продаж'!J:N,5,0),"нет продаж")</f>
        <v>129412.13279874191</v>
      </c>
      <c r="J130" s="7">
        <f>IFERROR(VLOOKUP(B130,'Факт продаж'!J:L,3,0)/SUM('План Антонова'!$C$14:$C$16),0)</f>
        <v>2.490396654021493E-3</v>
      </c>
      <c r="K130" s="44">
        <f>IFERROR(VLOOKUP(B130,'Факт продаж'!J:O,6,0),"-")</f>
        <v>1</v>
      </c>
      <c r="L130" s="44">
        <f>IF(AND(F130=0,J130&gt;0),5,IF(J130/F130&gt;5,5,IF(J130/F130=0,0.0000001,J130/F130)))</f>
        <v>5</v>
      </c>
      <c r="M130" s="5">
        <f>IFERROR(VLOOKUP(B130,'Факт продаж'!S:T,2,0),"нет продаж")</f>
        <v>227</v>
      </c>
      <c r="N130" s="48">
        <f>IFERROR(VLOOKUP(B130,'Факт продаж'!S:U,3,0),"нет продаж")</f>
        <v>695052.64999999991</v>
      </c>
      <c r="O130" s="48">
        <f>IFERROR(VLOOKUP(B130,'Факт продаж'!S:W,5,0),"нет продаж")</f>
        <v>272833.3830266716</v>
      </c>
      <c r="P130" s="7">
        <f>IFERROR(VLOOKUP(B130,'Факт продаж'!S:U,3,0)/SUM('План Антонова'!$C$17:$C$19),0)</f>
        <v>4.2336006991896781E-3</v>
      </c>
      <c r="Q130" s="44">
        <f>IFERROR(VLOOKUP(B130,'Факт продаж'!S:X,6,0),"-")</f>
        <v>1.1082519631368286</v>
      </c>
      <c r="R130" s="44">
        <f>IF(AND(J130=0,P130&gt;0),5,IF(P130/J130&gt;5,5,IF(P130/J130=0,0.0000001,P130/J130)))</f>
        <v>1.6999704413966581</v>
      </c>
      <c r="S130" s="16">
        <f>IFERROR(VLOOKUP(B130,'Факт продаж'!AB:AD,2,0),"нет продаж")</f>
        <v>105</v>
      </c>
      <c r="T130" s="16">
        <f>IFERROR(VLOOKUP(B130,'Факт продаж'!AB:AD,3,0),"нет продаж")</f>
        <v>273535</v>
      </c>
      <c r="U130" s="16">
        <f>IFERROR(VLOOKUP(B130,'Факт продаж'!AB:AF,5,0),"нет продаж")</f>
        <v>93247.295784890521</v>
      </c>
      <c r="V130" s="7">
        <f>IFERROR(VLOOKUP(B130,'Факт продаж'!AB:AD,3,0)/SUM('План Антонова'!$C$20:$C$22),0)</f>
        <v>1.7776211442930292E-3</v>
      </c>
      <c r="W130" s="44">
        <f>IFERROR(VLOOKUP(B130,'Факт продаж'!AB:AG,6,0),"-")</f>
        <v>-0.65822622308731593</v>
      </c>
      <c r="X130" s="44">
        <f>IF(AND(P130=0,V130&gt;0),5,IF(V130/P130&gt;5,5,IF(V130/P130=0,0.0000001,V130/P130)))</f>
        <v>0.41988398779159081</v>
      </c>
      <c r="Y130" s="44">
        <f>IFERROR(VLOOKUP(B130,'Факт продаж'!AB:AH,7,0),"-")</f>
        <v>1</v>
      </c>
      <c r="Z130" s="44">
        <f>IF(AND(F130=0,V130&gt;0),5,IF(V130/F130&gt;5,5,IF(V130/F130=0,0.0000001,V130/F130)))</f>
        <v>5</v>
      </c>
      <c r="AB130" s="10" t="str">
        <f>IFERROR(VLOOKUP(VALUE(IF(L130&lt;1,1,0)&amp;IF(J130&lt;'Факт продаж'!$M$24,0,1)),$AB$1:$AC$4,2,FALSE),"НЕТ ПРОДАЖ")</f>
        <v>Звезда</v>
      </c>
      <c r="AC130" s="10" t="str">
        <f>IFERROR(VLOOKUP(VALUE(IF(R130&lt;1,1,0)&amp;IF(P130&lt;'Факт продаж'!$V$24,0,1)),$AB$1:$AC$4,2,FALSE),"НЕТ ПРОДАЖ")</f>
        <v>Звезда</v>
      </c>
      <c r="AD130" s="10" t="str">
        <f>IFERROR(VLOOKUP(VALUE(IF(X130&lt;1,1,0)&amp;IF(V130&lt;'Факт продаж'!$AE$24,0,1)),$AB$1:$AC$4,2,FALSE),"НЕТ ПРОДАЖ")</f>
        <v>Корова</v>
      </c>
      <c r="AE130" s="18" t="str">
        <f>IFERROR(VLOOKUP(VALUE(IF(Z130&lt;1,1,0)&amp;IF(V130&lt;'Факт продаж'!$AE$24,0,1)),$AB$1:$AC$4,2,FALSE),"НЕТ ПРОДАЖ")</f>
        <v>Звезда</v>
      </c>
      <c r="AF130" s="74" t="str">
        <f>VLOOKUP(B130,'ABC расчет'!B:G,6,0)</f>
        <v>C</v>
      </c>
      <c r="AG130" s="74" t="str">
        <f>VLOOKUP(B130,'ABC расчет'!K:P,6,0)</f>
        <v>B</v>
      </c>
      <c r="AH130" s="74" t="str">
        <f>VLOOKUP(B130,'ABC расчет'!T:Y,6,0)</f>
        <v>A</v>
      </c>
      <c r="AI130" s="74" t="str">
        <f>VLOOKUP(B130,'ABC расчет'!AC:AH,6,0)</f>
        <v>A</v>
      </c>
      <c r="AJ130" s="74"/>
      <c r="AK130" s="74"/>
      <c r="AL130" s="19"/>
    </row>
    <row r="131" spans="1:38" x14ac:dyDescent="0.3">
      <c r="A131" s="51" t="s">
        <v>116</v>
      </c>
      <c r="B131" s="53" t="s">
        <v>33</v>
      </c>
      <c r="C131" s="20">
        <f>IFERROR(VLOOKUP(B131,'Факт продаж'!A:B,2,0),"нет продаж")</f>
        <v>1</v>
      </c>
      <c r="D131" s="47">
        <f>IFERROR(VLOOKUP(B131,'Факт продаж'!A:C,3,0),"нет продаж")</f>
        <v>3790.864</v>
      </c>
      <c r="E131" s="47">
        <f>IFERROR(VLOOKUP(B131,'Факт продаж'!A:E,5,0),"нет продаж")</f>
        <v>2073.1858239149205</v>
      </c>
      <c r="F131" s="25">
        <f>IFERROR(VLOOKUP(B131,'Факт продаж'!A:C,3,0)/SUM('План Антонова'!$C$11:$C$13),0)</f>
        <v>2.8784431912088069E-5</v>
      </c>
      <c r="G131" s="5">
        <f>IFERROR(VLOOKUP(B131,'Факт продаж'!J:K,2,0),"нет продаж")</f>
        <v>6</v>
      </c>
      <c r="H131" s="48">
        <f>IFERROR(VLOOKUP(B131,'Факт продаж'!J:L,3,0),"нет продаж")</f>
        <v>30524.65</v>
      </c>
      <c r="I131" s="48">
        <f>IFERROR(VLOOKUP(B131,'Факт продаж'!J:N,5,0),"нет продаж")</f>
        <v>17991.07958887206</v>
      </c>
      <c r="J131" s="7">
        <f>IFERROR(VLOOKUP(B131,'Факт продаж'!J:L,3,0)/SUM('План Антонова'!$C$14:$C$16),0)</f>
        <v>2.107684418439339E-4</v>
      </c>
      <c r="K131" s="44">
        <f>IFERROR(VLOOKUP(B131,'Факт продаж'!J:O,6,0),"-")</f>
        <v>7.6779869808768186</v>
      </c>
      <c r="L131" s="44">
        <f>IF(AND(F131=0,J131&gt;0),5,IF(J131/F131&gt;5,5,IF(J131/F131=0,0.0000001,J131/F131)))</f>
        <v>5</v>
      </c>
      <c r="M131" s="5">
        <f>IFERROR(VLOOKUP(B131,'Факт продаж'!S:T,2,0),"нет продаж")</f>
        <v>150</v>
      </c>
      <c r="N131" s="48">
        <f>IFERROR(VLOOKUP(B131,'Факт продаж'!S:U,3,0),"нет продаж")</f>
        <v>530427.15</v>
      </c>
      <c r="O131" s="48">
        <f>IFERROR(VLOOKUP(B131,'Факт продаж'!S:W,5,0),"нет продаж")</f>
        <v>203441.5386629866</v>
      </c>
      <c r="P131" s="7">
        <f>IFERROR(VLOOKUP(B131,'Факт продаж'!S:U,3,0)/SUM('План Антонова'!$C$17:$C$19),0)</f>
        <v>3.230858486920651E-3</v>
      </c>
      <c r="Q131" s="44">
        <f>IFERROR(VLOOKUP(B131,'Факт продаж'!S:X,6,0),"-")</f>
        <v>10.307911660221899</v>
      </c>
      <c r="R131" s="44">
        <f>IF(AND(J131=0,P131&gt;0),5,IF(P131/J131&gt;5,5,IF(P131/J131=0,0.0000001,P131/J131)))</f>
        <v>5</v>
      </c>
      <c r="S131" s="16">
        <f>IFERROR(VLOOKUP(B131,'Факт продаж'!AB:AD,2,0),"нет продаж")</f>
        <v>62</v>
      </c>
      <c r="T131" s="16">
        <f>IFERROR(VLOOKUP(B131,'Факт продаж'!AB:AD,3,0),"нет продаж")</f>
        <v>221225.5</v>
      </c>
      <c r="U131" s="16">
        <f>IFERROR(VLOOKUP(B131,'Факт продаж'!AB:AF,5,0),"нет продаж")</f>
        <v>92843.228848873521</v>
      </c>
      <c r="V131" s="7">
        <f>IFERROR(VLOOKUP(B131,'Факт продаж'!AB:AD,3,0)/SUM('План Антонова'!$C$20:$C$22),0)</f>
        <v>1.4376775420213044E-3</v>
      </c>
      <c r="W131" s="44">
        <f>IFERROR(VLOOKUP(B131,'Факт продаж'!AB:AG,6,0),"-")</f>
        <v>-0.54363681350899518</v>
      </c>
      <c r="X131" s="44">
        <f>IF(AND(P131=0,V131&gt;0),5,IF(V131/P131&gt;5,5,IF(V131/P131=0,0.0000001,V131/P131)))</f>
        <v>0.44498313616687146</v>
      </c>
      <c r="Y131" s="44">
        <f>IFERROR(VLOOKUP(B131,'Факт продаж'!AB:AH,7,0),"-")</f>
        <v>43.782878494486383</v>
      </c>
      <c r="Z131" s="44">
        <f>IF(AND(F131=0,V131&gt;0),5,IF(V131/F131&gt;5,5,IF(V131/F131=0,0.0000001,V131/F131)))</f>
        <v>5</v>
      </c>
      <c r="AB131" s="10" t="str">
        <f>IFERROR(VLOOKUP(VALUE(IF(L131&lt;1,1,0)&amp;IF(J131&lt;'Факт продаж'!$M$24,0,1)),$AB$1:$AC$4,2,FALSE),"НЕТ ПРОДАЖ")</f>
        <v>Темная лошадка</v>
      </c>
      <c r="AC131" s="10" t="str">
        <f>IFERROR(VLOOKUP(VALUE(IF(R131&lt;1,1,0)&amp;IF(P131&lt;'Факт продаж'!$V$24,0,1)),$AB$1:$AC$4,2,FALSE),"НЕТ ПРОДАЖ")</f>
        <v>Звезда</v>
      </c>
      <c r="AD131" s="10" t="str">
        <f>IFERROR(VLOOKUP(VALUE(IF(X131&lt;1,1,0)&amp;IF(V131&lt;'Факт продаж'!$AE$24,0,1)),$AB$1:$AC$4,2,FALSE),"НЕТ ПРОДАЖ")</f>
        <v>Корова</v>
      </c>
      <c r="AE131" s="18" t="str">
        <f>IFERROR(VLOOKUP(VALUE(IF(Z131&lt;1,1,0)&amp;IF(V131&lt;'Факт продаж'!$AE$24,0,1)),$AB$1:$AC$4,2,FALSE),"НЕТ ПРОДАЖ")</f>
        <v>Звезда</v>
      </c>
      <c r="AF131" s="74" t="str">
        <f>VLOOKUP(B131,'ABC расчет'!B:G,6,0)</f>
        <v>C</v>
      </c>
      <c r="AG131" s="74" t="str">
        <f>VLOOKUP(B131,'ABC расчет'!K:P,6,0)</f>
        <v>C</v>
      </c>
      <c r="AH131" s="74" t="str">
        <f>VLOOKUP(B131,'ABC расчет'!T:Y,6,0)</f>
        <v>B</v>
      </c>
      <c r="AI131" s="74" t="str">
        <f>VLOOKUP(B131,'ABC расчет'!AC:AH,6,0)</f>
        <v>C</v>
      </c>
      <c r="AJ131" s="74"/>
      <c r="AK131" s="74"/>
      <c r="AL131" s="19"/>
    </row>
    <row r="132" spans="1:38" x14ac:dyDescent="0.3">
      <c r="A132" s="51" t="s">
        <v>258</v>
      </c>
      <c r="B132" s="21" t="s">
        <v>229</v>
      </c>
      <c r="C132" s="20">
        <f>IFERROR(VLOOKUP(B132,'Факт продаж'!A:B,2,0),"нет продаж")</f>
        <v>2</v>
      </c>
      <c r="D132" s="47">
        <f>IFERROR(VLOOKUP(B132,'Факт продаж'!A:C,3,0),"нет продаж")</f>
        <v>3092.4</v>
      </c>
      <c r="E132" s="47">
        <f>IFERROR(VLOOKUP(B132,'Факт продаж'!A:E,5,0),"нет продаж")</f>
        <v>789.37349738554826</v>
      </c>
      <c r="F132" s="25">
        <f>IFERROR(VLOOKUP(B132,'Факт продаж'!A:C,3,0)/SUM('План Антонова'!$C$11:$C$13),0)</f>
        <v>2.3480920772927002E-5</v>
      </c>
      <c r="G132" s="5">
        <f>IFERROR(VLOOKUP(B132,'Факт продаж'!J:K,2,0),"нет продаж")</f>
        <v>230</v>
      </c>
      <c r="H132" s="48">
        <f>IFERROR(VLOOKUP(B132,'Факт продаж'!J:L,3,0),"нет продаж")</f>
        <v>506117.54000000004</v>
      </c>
      <c r="I132" s="48">
        <f>IFERROR(VLOOKUP(B132,'Факт продаж'!J:N,5,0),"нет продаж")</f>
        <v>225956.6060388468</v>
      </c>
      <c r="J132" s="7">
        <f>IFERROR(VLOOKUP(B132,'Факт продаж'!J:L,3,0)/SUM('План Антонова'!$C$14:$C$16),0)</f>
        <v>3.4946708740537531E-3</v>
      </c>
      <c r="K132" s="44">
        <f>IFERROR(VLOOKUP(B132,'Факт продаж'!J:O,6,0),"-")</f>
        <v>285.24802680509094</v>
      </c>
      <c r="L132" s="44">
        <f>IF(AND(F132=0,J132&gt;0),5,IF(J132/F132&gt;5,5,IF(J132/F132=0,0.0000001,J132/F132)))</f>
        <v>5</v>
      </c>
      <c r="M132" s="5">
        <f>IFERROR(VLOOKUP(B132,'Факт продаж'!S:T,2,0),"нет продаж")</f>
        <v>266</v>
      </c>
      <c r="N132" s="48">
        <f>IFERROR(VLOOKUP(B132,'Факт продаж'!S:U,3,0),"нет продаж")</f>
        <v>614215.28</v>
      </c>
      <c r="O132" s="48">
        <f>IFERROR(VLOOKUP(B132,'Факт продаж'!S:W,5,0),"нет продаж")</f>
        <v>193940.68685476642</v>
      </c>
      <c r="P132" s="7">
        <f>IFERROR(VLOOKUP(B132,'Факт продаж'!S:U,3,0)/SUM('План Антонова'!$C$17:$C$19),0)</f>
        <v>3.741216206946315E-3</v>
      </c>
      <c r="Q132" s="44">
        <f>IFERROR(VLOOKUP(B132,'Факт продаж'!S:X,6,0),"-")</f>
        <v>-0.14169056503962607</v>
      </c>
      <c r="R132" s="44">
        <f>IF(AND(J132=0,P132&gt;0),5,IF(P132/J132&gt;5,5,IF(P132/J132=0,0.0000001,P132/J132)))</f>
        <v>1.0705489420257119</v>
      </c>
      <c r="S132" s="16">
        <f>IFERROR(VLOOKUP(B132,'Факт продаж'!AB:AD,2,0),"нет продаж")</f>
        <v>105</v>
      </c>
      <c r="T132" s="16">
        <f>IFERROR(VLOOKUP(B132,'Факт продаж'!AB:AD,3,0),"нет продаж")</f>
        <v>256932.53330000001</v>
      </c>
      <c r="U132" s="16">
        <f>IFERROR(VLOOKUP(B132,'Факт продаж'!AB:AF,5,0),"нет продаж")</f>
        <v>92506.590233023482</v>
      </c>
      <c r="V132" s="7">
        <f>IFERROR(VLOOKUP(B132,'Факт продаж'!AB:AD,3,0)/SUM('План Антонова'!$C$20:$C$22),0)</f>
        <v>1.6697267400912236E-3</v>
      </c>
      <c r="W132" s="44">
        <f>IFERROR(VLOOKUP(B132,'Факт продаж'!AB:AG,6,0),"-")</f>
        <v>-0.52301607396957617</v>
      </c>
      <c r="X132" s="44">
        <f>IF(AND(P132=0,V132&gt;0),5,IF(V132/P132&gt;5,5,IF(V132/P132=0,0.0000001,V132/P132)))</f>
        <v>0.44630586625574925</v>
      </c>
      <c r="Y132" s="44">
        <f>IFERROR(VLOOKUP(B132,'Факт продаж'!AB:AH,7,0),"-")</f>
        <v>116.18988607979719</v>
      </c>
      <c r="Z132" s="44">
        <f>IF(AND(F132=0,V132&gt;0),5,IF(V132/F132&gt;5,5,IF(V132/F132=0,0.0000001,V132/F132)))</f>
        <v>5</v>
      </c>
      <c r="AB132" s="10" t="str">
        <f>IFERROR(VLOOKUP(VALUE(IF(L132&lt;1,1,0)&amp;IF(J132&lt;'Факт продаж'!$M$24,0,1)),$AB$1:$AC$4,2,FALSE),"НЕТ ПРОДАЖ")</f>
        <v>Звезда</v>
      </c>
      <c r="AC132" s="10" t="str">
        <f>IFERROR(VLOOKUP(VALUE(IF(R132&lt;1,1,0)&amp;IF(P132&lt;'Факт продаж'!$V$24,0,1)),$AB$1:$AC$4,2,FALSE),"НЕТ ПРОДАЖ")</f>
        <v>Звезда</v>
      </c>
      <c r="AD132" s="10" t="str">
        <f>IFERROR(VLOOKUP(VALUE(IF(X132&lt;1,1,0)&amp;IF(V132&lt;'Факт продаж'!$AE$24,0,1)),$AB$1:$AC$4,2,FALSE),"НЕТ ПРОДАЖ")</f>
        <v>Корова</v>
      </c>
      <c r="AE132" s="18" t="str">
        <f>IFERROR(VLOOKUP(VALUE(IF(Z132&lt;1,1,0)&amp;IF(V132&lt;'Факт продаж'!$AE$24,0,1)),$AB$1:$AC$4,2,FALSE),"НЕТ ПРОДАЖ")</f>
        <v>Звезда</v>
      </c>
      <c r="AF132" s="74" t="str">
        <f>VLOOKUP(B132,'ABC расчет'!B:G,6,0)</f>
        <v>C</v>
      </c>
      <c r="AG132" s="74" t="str">
        <f>VLOOKUP(B132,'ABC расчет'!K:P,6,0)</f>
        <v>A</v>
      </c>
      <c r="AH132" s="74" t="str">
        <f>VLOOKUP(B132,'ABC расчет'!T:Y,6,0)</f>
        <v>A</v>
      </c>
      <c r="AI132" s="74" t="str">
        <f>VLOOKUP(B132,'ABC расчет'!AC:AH,6,0)</f>
        <v>A</v>
      </c>
      <c r="AJ132" s="74" t="s">
        <v>452</v>
      </c>
      <c r="AK132" s="74"/>
      <c r="AL132" s="19"/>
    </row>
    <row r="133" spans="1:38" x14ac:dyDescent="0.3">
      <c r="A133" s="51" t="s">
        <v>250</v>
      </c>
      <c r="B133" s="21" t="s">
        <v>88</v>
      </c>
      <c r="C133" s="20">
        <f>IFERROR(VLOOKUP(B133,'Факт продаж'!A:B,2,0),"нет продаж")</f>
        <v>290</v>
      </c>
      <c r="D133" s="47">
        <f>IFERROR(VLOOKUP(B133,'Факт продаж'!A:C,3,0),"нет продаж")</f>
        <v>291387.8676</v>
      </c>
      <c r="E133" s="47">
        <f>IFERROR(VLOOKUP(B133,'Факт продаж'!A:E,5,0),"нет продаж")</f>
        <v>132259.51558598195</v>
      </c>
      <c r="F133" s="25">
        <f>IFERROR(VLOOKUP(B133,'Факт продаж'!A:C,3,0)/SUM('План Антонова'!$C$11:$C$13),0)</f>
        <v>2.2125389449320081E-3</v>
      </c>
      <c r="G133" s="5">
        <f>IFERROR(VLOOKUP(B133,'Факт продаж'!J:K,2,0),"нет продаж")</f>
        <v>202</v>
      </c>
      <c r="H133" s="48">
        <f>IFERROR(VLOOKUP(B133,'Факт продаж'!J:L,3,0),"нет продаж")</f>
        <v>273548.32999999996</v>
      </c>
      <c r="I133" s="48">
        <f>IFERROR(VLOOKUP(B133,'Факт продаж'!J:N,5,0),"нет продаж")</f>
        <v>129386.04045415898</v>
      </c>
      <c r="J133" s="7">
        <f>IFERROR(VLOOKUP(B133,'Факт продаж'!J:L,3,0)/SUM('План Антонова'!$C$14:$C$16),0)</f>
        <v>1.8888129850173623E-3</v>
      </c>
      <c r="K133" s="44">
        <f>IFERROR(VLOOKUP(B133,'Факт продаж'!J:O,6,0),"-")</f>
        <v>-2.1726037019657141E-2</v>
      </c>
      <c r="L133" s="44">
        <f>IF(AND(F133=0,J133&gt;0),5,IF(J133/F133&gt;5,5,IF(J133/F133=0,0.0000001,J133/F133)))</f>
        <v>0.85368575741630892</v>
      </c>
      <c r="M133" s="5">
        <f>IFERROR(VLOOKUP(B133,'Факт продаж'!S:T,2,0),"нет продаж")</f>
        <v>210</v>
      </c>
      <c r="N133" s="48">
        <f>IFERROR(VLOOKUP(B133,'Факт продаж'!S:U,3,0),"нет продаж")</f>
        <v>274599.3</v>
      </c>
      <c r="O133" s="48">
        <f>IFERROR(VLOOKUP(B133,'Факт продаж'!S:W,5,0),"нет продаж")</f>
        <v>129125.23298461358</v>
      </c>
      <c r="P133" s="7">
        <f>IFERROR(VLOOKUP(B133,'Факт продаж'!S:U,3,0)/SUM('План Антонова'!$C$17:$C$19),0)</f>
        <v>1.6725981671704962E-3</v>
      </c>
      <c r="Q133" s="44">
        <f>IFERROR(VLOOKUP(B133,'Факт продаж'!S:X,6,0),"-")</f>
        <v>-2.0157311301121084E-3</v>
      </c>
      <c r="R133" s="44">
        <f>IF(AND(J133=0,P133&gt;0),5,IF(P133/J133&gt;5,5,IF(P133/J133=0,0.0000001,P133/J133)))</f>
        <v>0.88552873176860403</v>
      </c>
      <c r="S133" s="16">
        <f>IFERROR(VLOOKUP(B133,'Факт продаж'!AB:AD,2,0),"нет продаж")</f>
        <v>119</v>
      </c>
      <c r="T133" s="16">
        <f>IFERROR(VLOOKUP(B133,'Факт продаж'!AB:AD,3,0),"нет продаж")</f>
        <v>181420.09999999998</v>
      </c>
      <c r="U133" s="16">
        <f>IFERROR(VLOOKUP(B133,'Факт продаж'!AB:AF,5,0),"нет продаж")</f>
        <v>91275.620956050901</v>
      </c>
      <c r="V133" s="7">
        <f>IFERROR(VLOOKUP(B133,'Факт продаж'!AB:AD,3,0)/SUM('План Антонова'!$C$20:$C$22),0)</f>
        <v>1.1789942996682536E-3</v>
      </c>
      <c r="W133" s="44">
        <f>IFERROR(VLOOKUP(B133,'Факт продаж'!AB:AG,6,0),"-")</f>
        <v>-0.29312328159030543</v>
      </c>
      <c r="X133" s="44">
        <f>IF(AND(P133=0,V133&gt;0),5,IF(V133/P133&gt;5,5,IF(V133/P133=0,0.0000001,V133/P133)))</f>
        <v>0.70488795384891323</v>
      </c>
      <c r="Y133" s="44">
        <f>IFERROR(VLOOKUP(B133,'Факт продаж'!AB:AH,7,0),"-")</f>
        <v>-0.30987482789688137</v>
      </c>
      <c r="Z133" s="44">
        <f>IF(AND(F133=0,V133&gt;0),5,IF(V133/F133&gt;5,5,IF(V133/F133=0,0.0000001,V133/F133)))</f>
        <v>0.53286939982178905</v>
      </c>
      <c r="AB133" s="10" t="str">
        <f>IFERROR(VLOOKUP(VALUE(IF(L133&lt;1,1,0)&amp;IF(J133&lt;'Факт продаж'!$M$24,0,1)),$AB$1:$AC$4,2,FALSE),"НЕТ ПРОДАЖ")</f>
        <v>Корова</v>
      </c>
      <c r="AC133" s="10" t="str">
        <f>IFERROR(VLOOKUP(VALUE(IF(R133&lt;1,1,0)&amp;IF(P133&lt;'Факт продаж'!$V$24,0,1)),$AB$1:$AC$4,2,FALSE),"НЕТ ПРОДАЖ")</f>
        <v>Корова</v>
      </c>
      <c r="AD133" s="10" t="str">
        <f>IFERROR(VLOOKUP(VALUE(IF(X133&lt;1,1,0)&amp;IF(V133&lt;'Факт продаж'!$AE$24,0,1)),$AB$1:$AC$4,2,FALSE),"НЕТ ПРОДАЖ")</f>
        <v>Корова</v>
      </c>
      <c r="AE133" s="18" t="str">
        <f>IFERROR(VLOOKUP(VALUE(IF(Z133&lt;1,1,0)&amp;IF(V133&lt;'Факт продаж'!$AE$24,0,1)),$AB$1:$AC$4,2,FALSE),"НЕТ ПРОДАЖ")</f>
        <v>Корова</v>
      </c>
      <c r="AF133" s="74" t="str">
        <f>VLOOKUP(B133,'ABC расчет'!B:G,6,0)</f>
        <v>C</v>
      </c>
      <c r="AG133" s="74" t="str">
        <f>VLOOKUP(B133,'ABC расчет'!K:P,6,0)</f>
        <v>B</v>
      </c>
      <c r="AH133" s="74" t="str">
        <f>VLOOKUP(B133,'ABC расчет'!T:Y,6,0)</f>
        <v>C</v>
      </c>
      <c r="AI133" s="74" t="str">
        <f>VLOOKUP(B133,'ABC расчет'!AC:AH,6,0)</f>
        <v>C</v>
      </c>
      <c r="AJ133" s="74"/>
      <c r="AK133" s="74"/>
      <c r="AL133" s="19"/>
    </row>
    <row r="134" spans="1:38" x14ac:dyDescent="0.3">
      <c r="A134" s="51" t="s">
        <v>251</v>
      </c>
      <c r="B134" s="21" t="s">
        <v>29</v>
      </c>
      <c r="C134" s="20">
        <f>IFERROR(VLOOKUP(B134,'Факт продаж'!A:B,2,0),"нет продаж")</f>
        <v>1</v>
      </c>
      <c r="D134" s="47">
        <f>IFERROR(VLOOKUP(B134,'Факт продаж'!A:C,3,0),"нет продаж")</f>
        <v>4061.8926999999999</v>
      </c>
      <c r="E134" s="47">
        <f>IFERROR(VLOOKUP(B134,'Факт продаж'!A:E,5,0),"нет продаж")</f>
        <v>1608.3012974565904</v>
      </c>
      <c r="F134" s="25">
        <f>IFERROR(VLOOKUP(B134,'Факт продаж'!A:C,3,0)/SUM('План Антонова'!$C$11:$C$13),0)</f>
        <v>3.0842381540819603E-5</v>
      </c>
      <c r="G134" s="5">
        <f>IFERROR(VLOOKUP(B134,'Факт продаж'!J:K,2,0),"нет продаж")</f>
        <v>67</v>
      </c>
      <c r="H134" s="48">
        <f>IFERROR(VLOOKUP(B134,'Факт продаж'!J:L,3,0),"нет продаж")</f>
        <v>339910.05000000005</v>
      </c>
      <c r="I134" s="48">
        <f>IFERROR(VLOOKUP(B134,'Факт продаж'!J:N,5,0),"нет продаж")</f>
        <v>146599.07407856916</v>
      </c>
      <c r="J134" s="7">
        <f>IFERROR(VLOOKUP(B134,'Факт продаж'!J:L,3,0)/SUM('План Антонова'!$C$14:$C$16),0)</f>
        <v>2.34703138629251E-3</v>
      </c>
      <c r="K134" s="44">
        <f>IFERROR(VLOOKUP(B134,'Факт продаж'!J:O,6,0),"-")</f>
        <v>90.151498982438653</v>
      </c>
      <c r="L134" s="44">
        <f>IF(AND(F134=0,J134&gt;0),5,IF(J134/F134&gt;5,5,IF(J134/F134=0,0.0000001,J134/F134)))</f>
        <v>5</v>
      </c>
      <c r="M134" s="5">
        <f>IFERROR(VLOOKUP(B134,'Факт продаж'!S:T,2,0),"нет продаж")</f>
        <v>35</v>
      </c>
      <c r="N134" s="48">
        <f>IFERROR(VLOOKUP(B134,'Факт продаж'!S:U,3,0),"нет продаж")</f>
        <v>185784.30000000002</v>
      </c>
      <c r="O134" s="48">
        <f>IFERROR(VLOOKUP(B134,'Факт продаж'!S:W,5,0),"нет продаж")</f>
        <v>73954.379237140965</v>
      </c>
      <c r="P134" s="7">
        <f>IFERROR(VLOOKUP(B134,'Факт продаж'!S:U,3,0)/SUM('План Антонова'!$C$17:$C$19),0)</f>
        <v>1.1316215287841362E-3</v>
      </c>
      <c r="Q134" s="44">
        <f>IFERROR(VLOOKUP(B134,'Факт продаж'!S:X,6,0),"-")</f>
        <v>-0.49553310822750885</v>
      </c>
      <c r="R134" s="44">
        <f>IF(AND(J134=0,P134&gt;0),5,IF(P134/J134&gt;5,5,IF(P134/J134=0,0.0000001,P134/J134)))</f>
        <v>0.48215014737050582</v>
      </c>
      <c r="S134" s="16">
        <f>IFERROR(VLOOKUP(B134,'Факт продаж'!AB:AD,2,0),"нет продаж")</f>
        <v>40</v>
      </c>
      <c r="T134" s="16">
        <f>IFERROR(VLOOKUP(B134,'Факт продаж'!AB:AD,3,0),"нет продаж")</f>
        <v>220064.19999999995</v>
      </c>
      <c r="U134" s="16">
        <f>IFERROR(VLOOKUP(B134,'Факт продаж'!AB:AF,5,0),"нет продаж")</f>
        <v>91149.272469134885</v>
      </c>
      <c r="V134" s="7">
        <f>IFERROR(VLOOKUP(B134,'Факт продаж'!AB:AD,3,0)/SUM('План Антонова'!$C$20:$C$22),0)</f>
        <v>1.4301306049387828E-3</v>
      </c>
      <c r="W134" s="44">
        <f>IFERROR(VLOOKUP(B134,'Факт продаж'!AB:AG,6,0),"-")</f>
        <v>0.23250676172748386</v>
      </c>
      <c r="X134" s="44">
        <f>IF(AND(P134=0,V134&gt;0),5,IF(V134/P134&gt;5,5,IF(V134/P134=0,0.0000001,V134/P134)))</f>
        <v>1.2637887920667061</v>
      </c>
      <c r="Y134" s="44">
        <f>IFERROR(VLOOKUP(B134,'Факт продаж'!AB:AH,7,0),"-")</f>
        <v>55.674251655010615</v>
      </c>
      <c r="Z134" s="44">
        <f>IF(AND(F134=0,V134&gt;0),5,IF(V134/F134&gt;5,5,IF(V134/F134=0,0.0000001,V134/F134)))</f>
        <v>5</v>
      </c>
      <c r="AB134" s="10" t="str">
        <f>IFERROR(VLOOKUP(VALUE(IF(L134&lt;1,1,0)&amp;IF(J134&lt;'Факт продаж'!$M$24,0,1)),$AB$1:$AC$4,2,FALSE),"НЕТ ПРОДАЖ")</f>
        <v>Звезда</v>
      </c>
      <c r="AC134" s="10" t="str">
        <f>IFERROR(VLOOKUP(VALUE(IF(R134&lt;1,1,0)&amp;IF(P134&lt;'Факт продаж'!$V$24,0,1)),$AB$1:$AC$4,2,FALSE),"НЕТ ПРОДАЖ")</f>
        <v>Корова</v>
      </c>
      <c r="AD134" s="10" t="str">
        <f>IFERROR(VLOOKUP(VALUE(IF(X134&lt;1,1,0)&amp;IF(V134&lt;'Факт продаж'!$AE$24,0,1)),$AB$1:$AC$4,2,FALSE),"НЕТ ПРОДАЖ")</f>
        <v>Звезда</v>
      </c>
      <c r="AE134" s="18" t="str">
        <f>IFERROR(VLOOKUP(VALUE(IF(Z134&lt;1,1,0)&amp;IF(V134&lt;'Факт продаж'!$AE$24,0,1)),$AB$1:$AC$4,2,FALSE),"НЕТ ПРОДАЖ")</f>
        <v>Звезда</v>
      </c>
      <c r="AF134" s="74" t="str">
        <f>VLOOKUP(B134,'ABC расчет'!B:G,6,0)</f>
        <v>C</v>
      </c>
      <c r="AG134" s="74" t="str">
        <f>VLOOKUP(B134,'ABC расчет'!K:P,6,0)</f>
        <v>B</v>
      </c>
      <c r="AH134" s="74" t="str">
        <f>VLOOKUP(B134,'ABC расчет'!T:Y,6,0)</f>
        <v>C</v>
      </c>
      <c r="AI134" s="74" t="str">
        <f>VLOOKUP(B134,'ABC расчет'!AC:AH,6,0)</f>
        <v>C</v>
      </c>
      <c r="AJ134" s="74"/>
      <c r="AK134" s="74"/>
      <c r="AL134" s="19"/>
    </row>
    <row r="135" spans="1:38" x14ac:dyDescent="0.3">
      <c r="A135" s="51" t="s">
        <v>249</v>
      </c>
      <c r="B135" s="21" t="s">
        <v>152</v>
      </c>
      <c r="C135" s="20">
        <f>IFERROR(VLOOKUP(B135,'Факт продаж'!A:B,2,0),"нет продаж")</f>
        <v>23</v>
      </c>
      <c r="D135" s="47">
        <f>IFERROR(VLOOKUP(B135,'Факт продаж'!A:C,3,0),"нет продаж")</f>
        <v>38163.313700000006</v>
      </c>
      <c r="E135" s="47">
        <f>IFERROR(VLOOKUP(B135,'Факт продаж'!A:E,5,0),"нет продаж")</f>
        <v>19157.25794540115</v>
      </c>
      <c r="F135" s="25">
        <f>IFERROR(VLOOKUP(B135,'Факт продаж'!A:C,3,0)/SUM('План Антонова'!$C$11:$C$13),0)</f>
        <v>2.8977808350215357E-4</v>
      </c>
      <c r="G135" s="5">
        <f>IFERROR(VLOOKUP(B135,'Факт продаж'!J:K,2,0),"нет продаж")</f>
        <v>43</v>
      </c>
      <c r="H135" s="48">
        <f>IFERROR(VLOOKUP(B135,'Факт продаж'!J:L,3,0),"нет продаж")</f>
        <v>74820.25</v>
      </c>
      <c r="I135" s="48">
        <f>IFERROR(VLOOKUP(B135,'Факт продаж'!J:N,5,0),"нет продаж")</f>
        <v>35392.194730550138</v>
      </c>
      <c r="J135" s="7">
        <f>IFERROR(VLOOKUP(B135,'Факт продаж'!J:L,3,0)/SUM('План Антонова'!$C$14:$C$16),0)</f>
        <v>5.1662336868313298E-4</v>
      </c>
      <c r="K135" s="44">
        <f>IFERROR(VLOOKUP(B135,'Факт продаж'!J:O,6,0),"-")</f>
        <v>0.84745618769758813</v>
      </c>
      <c r="L135" s="44">
        <f>IF(AND(F135=0,J135&gt;0),5,IF(J135/F135&gt;5,5,IF(J135/F135=0,0.0000001,J135/F135)))</f>
        <v>1.7828241613009823</v>
      </c>
      <c r="M135" s="5">
        <f>IFERROR(VLOOKUP(B135,'Факт продаж'!S:T,2,0),"нет продаж")</f>
        <v>184</v>
      </c>
      <c r="N135" s="48">
        <f>IFERROR(VLOOKUP(B135,'Факт продаж'!S:U,3,0),"нет продаж")</f>
        <v>320148.38700000005</v>
      </c>
      <c r="O135" s="48">
        <f>IFERROR(VLOOKUP(B135,'Факт продаж'!S:W,5,0),"нет продаж")</f>
        <v>146688.24091501787</v>
      </c>
      <c r="P135" s="7">
        <f>IFERROR(VLOOKUP(B135,'Факт продаж'!S:U,3,0)/SUM('План Антонова'!$C$17:$C$19),0)</f>
        <v>1.9500399502795193E-3</v>
      </c>
      <c r="Q135" s="44">
        <f>IFERROR(VLOOKUP(B135,'Факт продаж'!S:X,6,0),"-")</f>
        <v>3.1446494638660614</v>
      </c>
      <c r="R135" s="44">
        <f>IF(AND(J135=0,P135&gt;0),5,IF(P135/J135&gt;5,5,IF(P135/J135=0,0.0000001,P135/J135)))</f>
        <v>3.774587191535971</v>
      </c>
      <c r="S135" s="16">
        <f>IFERROR(VLOOKUP(B135,'Факт продаж'!AB:AD,2,0),"нет продаж")</f>
        <v>98</v>
      </c>
      <c r="T135" s="16">
        <f>IFERROR(VLOOKUP(B135,'Факт продаж'!AB:AD,3,0),"нет продаж")</f>
        <v>185177.3</v>
      </c>
      <c r="U135" s="16">
        <f>IFERROR(VLOOKUP(B135,'Факт продаж'!AB:AF,5,0),"нет продаж")</f>
        <v>90899.216495751287</v>
      </c>
      <c r="V135" s="7">
        <f>IFERROR(VLOOKUP(B135,'Факт продаж'!AB:AD,3,0)/SUM('План Антонова'!$C$20:$C$22),0)</f>
        <v>1.2034112048662641E-3</v>
      </c>
      <c r="W135" s="44">
        <f>IFERROR(VLOOKUP(B135,'Факт продаж'!AB:AG,6,0),"-")</f>
        <v>-0.38032376740809992</v>
      </c>
      <c r="X135" s="44">
        <f>IF(AND(P135=0,V135&gt;0),5,IF(V135/P135&gt;5,5,IF(V135/P135=0,0.0000001,V135/P135)))</f>
        <v>0.6171213080500052</v>
      </c>
      <c r="Y135" s="44">
        <f>IFERROR(VLOOKUP(B135,'Факт продаж'!AB:AH,7,0),"-")</f>
        <v>3.7448970387524776</v>
      </c>
      <c r="Z135" s="44">
        <f>IF(AND(F135=0,V135&gt;0),5,IF(V135/F135&gt;5,5,IF(V135/F135=0,0.0000001,V135/F135)))</f>
        <v>4.1528717090066634</v>
      </c>
      <c r="AB135" s="10" t="str">
        <f>IFERROR(VLOOKUP(VALUE(IF(L135&lt;1,1,0)&amp;IF(J135&lt;'Факт продаж'!$M$24,0,1)),$AB$1:$AC$4,2,FALSE),"НЕТ ПРОДАЖ")</f>
        <v>Темная лошадка</v>
      </c>
      <c r="AC135" s="10" t="str">
        <f>IFERROR(VLOOKUP(VALUE(IF(R135&lt;1,1,0)&amp;IF(P135&lt;'Факт продаж'!$V$24,0,1)),$AB$1:$AC$4,2,FALSE),"НЕТ ПРОДАЖ")</f>
        <v>Звезда</v>
      </c>
      <c r="AD135" s="10" t="str">
        <f>IFERROR(VLOOKUP(VALUE(IF(X135&lt;1,1,0)&amp;IF(V135&lt;'Факт продаж'!$AE$24,0,1)),$AB$1:$AC$4,2,FALSE),"НЕТ ПРОДАЖ")</f>
        <v>Корова</v>
      </c>
      <c r="AE135" s="18" t="str">
        <f>IFERROR(VLOOKUP(VALUE(IF(Z135&lt;1,1,0)&amp;IF(V135&lt;'Факт продаж'!$AE$24,0,1)),$AB$1:$AC$4,2,FALSE),"НЕТ ПРОДАЖ")</f>
        <v>Звезда</v>
      </c>
      <c r="AF135" s="74" t="str">
        <f>VLOOKUP(B135,'ABC расчет'!B:G,6,0)</f>
        <v>B</v>
      </c>
      <c r="AG135" s="74" t="str">
        <f>VLOOKUP(B135,'ABC расчет'!K:P,6,0)</f>
        <v>C</v>
      </c>
      <c r="AH135" s="74" t="str">
        <f>VLOOKUP(B135,'ABC расчет'!T:Y,6,0)</f>
        <v>B</v>
      </c>
      <c r="AI135" s="74" t="str">
        <f>VLOOKUP(B135,'ABC расчет'!AC:AH,6,0)</f>
        <v>B</v>
      </c>
      <c r="AJ135" s="74"/>
      <c r="AK135" s="74"/>
      <c r="AL135" s="19"/>
    </row>
    <row r="136" spans="1:38" x14ac:dyDescent="0.3">
      <c r="A136" s="51" t="s">
        <v>257</v>
      </c>
      <c r="B136" s="21" t="s">
        <v>243</v>
      </c>
      <c r="C136" s="20">
        <f>IFERROR(VLOOKUP(B136,'Факт продаж'!A:B,2,0),"нет продаж")</f>
        <v>4</v>
      </c>
      <c r="D136" s="47">
        <f>IFERROR(VLOOKUP(B136,'Факт продаж'!A:C,3,0),"нет продаж")</f>
        <v>10536.6368</v>
      </c>
      <c r="E136" s="47">
        <f>IFERROR(VLOOKUP(B136,'Факт продаж'!A:E,5,0),"нет продаж")</f>
        <v>5552.1273984619183</v>
      </c>
      <c r="F136" s="25">
        <f>IFERROR(VLOOKUP(B136,'Факт продаж'!A:C,3,0)/SUM('План Антонова'!$C$11:$C$13),0)</f>
        <v>8.0005799351282842E-5</v>
      </c>
      <c r="G136" s="5">
        <f>IFERROR(VLOOKUP(B136,'Факт продаж'!J:K,2,0),"нет продаж")</f>
        <v>56</v>
      </c>
      <c r="H136" s="48">
        <f>IFERROR(VLOOKUP(B136,'Факт продаж'!J:L,3,0),"нет продаж")</f>
        <v>102317.9</v>
      </c>
      <c r="I136" s="48">
        <f>IFERROR(VLOOKUP(B136,'Факт продаж'!J:N,5,0),"нет продаж")</f>
        <v>38384.542792472159</v>
      </c>
      <c r="J136" s="7">
        <f>IFERROR(VLOOKUP(B136,'Факт продаж'!J:L,3,0)/SUM('План Антонова'!$C$14:$C$16),0)</f>
        <v>7.0649079860845058E-4</v>
      </c>
      <c r="K136" s="44">
        <f>IFERROR(VLOOKUP(B136,'Факт продаж'!J:O,6,0),"-")</f>
        <v>5.9134837941769245</v>
      </c>
      <c r="L136" s="44">
        <f>IF(AND(F136=0,J136&gt;0),5,IF(J136/F136&gt;5,5,IF(J136/F136=0,0.0000001,J136/F136)))</f>
        <v>5</v>
      </c>
      <c r="M136" s="5">
        <f>IFERROR(VLOOKUP(B136,'Факт продаж'!S:T,2,0),"нет продаж")</f>
        <v>130</v>
      </c>
      <c r="N136" s="48">
        <f>IFERROR(VLOOKUP(B136,'Факт продаж'!S:U,3,0),"нет продаж")</f>
        <v>250269.4</v>
      </c>
      <c r="O136" s="48">
        <f>IFERROR(VLOOKUP(B136,'Факт продаж'!S:W,5,0),"нет продаж")</f>
        <v>68143.174756115201</v>
      </c>
      <c r="P136" s="7">
        <f>IFERROR(VLOOKUP(B136,'Факт продаж'!S:U,3,0)/SUM('План Антонова'!$C$17:$C$19),0)</f>
        <v>1.5244035208351215E-3</v>
      </c>
      <c r="Q136" s="44">
        <f>IFERROR(VLOOKUP(B136,'Факт продаж'!S:X,6,0),"-")</f>
        <v>0.77527644720257549</v>
      </c>
      <c r="R136" s="44">
        <f>IF(AND(J136=0,P136&gt;0),5,IF(P136/J136&gt;5,5,IF(P136/J136=0,0.0000001,P136/J136)))</f>
        <v>2.1577117831367145</v>
      </c>
      <c r="S136" s="16">
        <f>IFERROR(VLOOKUP(B136,'Факт продаж'!AB:AD,2,0),"нет продаж")</f>
        <v>93</v>
      </c>
      <c r="T136" s="16">
        <f>IFERROR(VLOOKUP(B136,'Факт продаж'!AB:AD,3,0),"нет продаж")</f>
        <v>221187.745</v>
      </c>
      <c r="U136" s="16">
        <f>IFERROR(VLOOKUP(B136,'Факт продаж'!AB:AF,5,0),"нет продаж")</f>
        <v>90164.335645948828</v>
      </c>
      <c r="V136" s="7">
        <f>IFERROR(VLOOKUP(B136,'Факт продаж'!AB:AD,3,0)/SUM('План Антонова'!$C$20:$C$22),0)</f>
        <v>1.437432183707733E-3</v>
      </c>
      <c r="W136" s="44">
        <f>IFERROR(VLOOKUP(B136,'Факт продаж'!AB:AG,6,0),"-")</f>
        <v>0.32316018396042567</v>
      </c>
      <c r="X136" s="44">
        <f>IF(AND(P136=0,V136&gt;0),5,IF(V136/P136&gt;5,5,IF(V136/P136=0,0.0000001,V136/P136)))</f>
        <v>0.94294729975450164</v>
      </c>
      <c r="Y136" s="44">
        <f>IFERROR(VLOOKUP(B136,'Факт продаж'!AB:AH,7,0),"-")</f>
        <v>15.239601359098256</v>
      </c>
      <c r="Z136" s="44">
        <f>IF(AND(F136=0,V136&gt;0),5,IF(V136/F136&gt;5,5,IF(V136/F136=0,0.0000001,V136/F136)))</f>
        <v>5</v>
      </c>
      <c r="AB136" s="10" t="str">
        <f>IFERROR(VLOOKUP(VALUE(IF(L136&lt;1,1,0)&amp;IF(J136&lt;'Факт продаж'!$M$24,0,1)),$AB$1:$AC$4,2,FALSE),"НЕТ ПРОДАЖ")</f>
        <v>Темная лошадка</v>
      </c>
      <c r="AC136" s="10" t="str">
        <f>IFERROR(VLOOKUP(VALUE(IF(R136&lt;1,1,0)&amp;IF(P136&lt;'Факт продаж'!$V$24,0,1)),$AB$1:$AC$4,2,FALSE),"НЕТ ПРОДАЖ")</f>
        <v>Звезда</v>
      </c>
      <c r="AD136" s="10" t="str">
        <f>IFERROR(VLOOKUP(VALUE(IF(X136&lt;1,1,0)&amp;IF(V136&lt;'Факт продаж'!$AE$24,0,1)),$AB$1:$AC$4,2,FALSE),"НЕТ ПРОДАЖ")</f>
        <v>Корова</v>
      </c>
      <c r="AE136" s="18" t="str">
        <f>IFERROR(VLOOKUP(VALUE(IF(Z136&lt;1,1,0)&amp;IF(V136&lt;'Факт продаж'!$AE$24,0,1)),$AB$1:$AC$4,2,FALSE),"НЕТ ПРОДАЖ")</f>
        <v>Звезда</v>
      </c>
      <c r="AF136" s="74" t="str">
        <f>VLOOKUP(B136,'ABC расчет'!B:G,6,0)</f>
        <v>C</v>
      </c>
      <c r="AG136" s="74" t="str">
        <f>VLOOKUP(B136,'ABC расчет'!K:P,6,0)</f>
        <v>A</v>
      </c>
      <c r="AH136" s="74" t="str">
        <f>VLOOKUP(B136,'ABC расчет'!T:Y,6,0)</f>
        <v>A</v>
      </c>
      <c r="AI136" s="74" t="str">
        <f>VLOOKUP(B136,'ABC расчет'!AC:AH,6,0)</f>
        <v>A</v>
      </c>
      <c r="AJ136" s="74"/>
      <c r="AK136" s="74"/>
      <c r="AL136" s="19"/>
    </row>
    <row r="137" spans="1:38" x14ac:dyDescent="0.3">
      <c r="A137" s="51" t="s">
        <v>252</v>
      </c>
      <c r="B137" s="21" t="s">
        <v>185</v>
      </c>
      <c r="C137" s="20" t="str">
        <f>IFERROR(VLOOKUP(B137,'Факт продаж'!A:B,2,0),"нет продаж")</f>
        <v>нет продаж</v>
      </c>
      <c r="D137" s="47" t="str">
        <f>IFERROR(VLOOKUP(B137,'Факт продаж'!A:C,3,0),"нет продаж")</f>
        <v>нет продаж</v>
      </c>
      <c r="E137" s="47" t="str">
        <f>IFERROR(VLOOKUP(B137,'Факт продаж'!A:E,5,0),"нет продаж")</f>
        <v>нет продаж</v>
      </c>
      <c r="F137" s="25">
        <f>IFERROR(VLOOKUP(B137,'Факт продаж'!A:C,3,0)/SUM('План Антонова'!$C$11:$C$13),0)</f>
        <v>0</v>
      </c>
      <c r="G137" s="5">
        <f>IFERROR(VLOOKUP(B137,'Факт продаж'!J:K,2,0),"нет продаж")</f>
        <v>226</v>
      </c>
      <c r="H137" s="48">
        <f>IFERROR(VLOOKUP(B137,'Факт продаж'!J:L,3,0),"нет продаж")</f>
        <v>301883.90000000002</v>
      </c>
      <c r="I137" s="48">
        <f>IFERROR(VLOOKUP(B137,'Факт продаж'!J:N,5,0),"нет продаж")</f>
        <v>125100.91801836876</v>
      </c>
      <c r="J137" s="7">
        <f>IFERROR(VLOOKUP(B137,'Факт продаж'!J:L,3,0)/SUM('План Антонова'!$C$14:$C$16),0)</f>
        <v>2.084466135427268E-3</v>
      </c>
      <c r="K137" s="44">
        <f>IFERROR(VLOOKUP(B137,'Факт продаж'!J:O,6,0),"-")</f>
        <v>1</v>
      </c>
      <c r="L137" s="44">
        <f>IF(AND(F137=0,J137&gt;0),5,IF(J137/F137&gt;5,5,IF(J137/F137=0,0.0000001,J137/F137)))</f>
        <v>5</v>
      </c>
      <c r="M137" s="5">
        <f>IFERROR(VLOOKUP(B137,'Факт продаж'!S:T,2,0),"нет продаж")</f>
        <v>216</v>
      </c>
      <c r="N137" s="48">
        <f>IFERROR(VLOOKUP(B137,'Факт продаж'!S:U,3,0),"нет продаж")</f>
        <v>300633.5</v>
      </c>
      <c r="O137" s="48">
        <f>IFERROR(VLOOKUP(B137,'Факт продаж'!S:W,5,0),"нет продаж")</f>
        <v>101140.41691225185</v>
      </c>
      <c r="P137" s="7">
        <f>IFERROR(VLOOKUP(B137,'Факт продаж'!S:U,3,0)/SUM('План Антонова'!$C$17:$C$19),0)</f>
        <v>1.8311737906471406E-3</v>
      </c>
      <c r="Q137" s="44">
        <f>IFERROR(VLOOKUP(B137,'Факт продаж'!S:X,6,0),"-")</f>
        <v>-0.1915293787260518</v>
      </c>
      <c r="R137" s="44">
        <f>IF(AND(J137=0,P137&gt;0),5,IF(P137/J137&gt;5,5,IF(P137/J137=0,0.0000001,P137/J137)))</f>
        <v>0.87848574727350592</v>
      </c>
      <c r="S137" s="16">
        <f>IFERROR(VLOOKUP(B137,'Факт продаж'!AB:AD,2,0),"нет продаж")</f>
        <v>228</v>
      </c>
      <c r="T137" s="16">
        <f>IFERROR(VLOOKUP(B137,'Факт продаж'!AB:AD,3,0),"нет продаж")</f>
        <v>337819</v>
      </c>
      <c r="U137" s="16">
        <f>IFERROR(VLOOKUP(B137,'Факт продаж'!AB:AF,5,0),"нет продаж")</f>
        <v>88693.614785978847</v>
      </c>
      <c r="V137" s="7">
        <f>IFERROR(VLOOKUP(B137,'Факт продаж'!AB:AD,3,0)/SUM('План Антонова'!$C$20:$C$22),0)</f>
        <v>2.1953833964352891E-3</v>
      </c>
      <c r="W137" s="44">
        <f>IFERROR(VLOOKUP(B137,'Факт продаж'!AB:AG,6,0),"-")</f>
        <v>-0.12306457206985499</v>
      </c>
      <c r="X137" s="44">
        <f>IF(AND(P137=0,V137&gt;0),5,IF(V137/P137&gt;5,5,IF(V137/P137=0,0.0000001,V137/P137)))</f>
        <v>1.1988940687379739</v>
      </c>
      <c r="Y137" s="44">
        <f>IFERROR(VLOOKUP(B137,'Факт продаж'!AB:AH,7,0),"-")</f>
        <v>1</v>
      </c>
      <c r="Z137" s="44">
        <f>IF(AND(F137=0,V137&gt;0),5,IF(V137/F137&gt;5,5,IF(V137/F137=0,0.0000001,V137/F137)))</f>
        <v>5</v>
      </c>
      <c r="AB137" s="10" t="str">
        <f>IFERROR(VLOOKUP(VALUE(IF(L137&lt;1,1,0)&amp;IF(J137&lt;'Факт продаж'!$M$24,0,1)),$AB$1:$AC$4,2,FALSE),"НЕТ ПРОДАЖ")</f>
        <v>Звезда</v>
      </c>
      <c r="AC137" s="10" t="str">
        <f>IFERROR(VLOOKUP(VALUE(IF(R137&lt;1,1,0)&amp;IF(P137&lt;'Факт продаж'!$V$24,0,1)),$AB$1:$AC$4,2,FALSE),"НЕТ ПРОДАЖ")</f>
        <v>Корова</v>
      </c>
      <c r="AD137" s="10" t="str">
        <f>IFERROR(VLOOKUP(VALUE(IF(X137&lt;1,1,0)&amp;IF(V137&lt;'Факт продаж'!$AE$24,0,1)),$AB$1:$AC$4,2,FALSE),"НЕТ ПРОДАЖ")</f>
        <v>Звезда</v>
      </c>
      <c r="AE137" s="18" t="str">
        <f>IFERROR(VLOOKUP(VALUE(IF(Z137&lt;1,1,0)&amp;IF(V137&lt;'Факт продаж'!$AE$24,0,1)),$AB$1:$AC$4,2,FALSE),"НЕТ ПРОДАЖ")</f>
        <v>Звезда</v>
      </c>
      <c r="AF137" s="74" t="str">
        <f>VLOOKUP(B137,'ABC расчет'!B:G,6,0)</f>
        <v>C</v>
      </c>
      <c r="AG137" s="74" t="str">
        <f>VLOOKUP(B137,'ABC расчет'!K:P,6,0)</f>
        <v>B</v>
      </c>
      <c r="AH137" s="74" t="str">
        <f>VLOOKUP(B137,'ABC расчет'!T:Y,6,0)</f>
        <v>B</v>
      </c>
      <c r="AI137" s="74" t="str">
        <f>VLOOKUP(B137,'ABC расчет'!AC:AH,6,0)</f>
        <v>B</v>
      </c>
      <c r="AJ137" s="74"/>
      <c r="AK137" s="74"/>
      <c r="AL137" s="19"/>
    </row>
    <row r="138" spans="1:38" x14ac:dyDescent="0.3">
      <c r="A138" s="51" t="s">
        <v>329</v>
      </c>
      <c r="B138" s="21" t="s">
        <v>168</v>
      </c>
      <c r="C138" s="20" t="str">
        <f>IFERROR(VLOOKUP(B138,'Факт продаж'!A:B,2,0),"нет продаж")</f>
        <v>нет продаж</v>
      </c>
      <c r="D138" s="47" t="str">
        <f>IFERROR(VLOOKUP(B138,'Факт продаж'!A:C,3,0),"нет продаж")</f>
        <v>нет продаж</v>
      </c>
      <c r="E138" s="47" t="str">
        <f>IFERROR(VLOOKUP(B138,'Факт продаж'!A:E,5,0),"нет продаж")</f>
        <v>нет продаж</v>
      </c>
      <c r="F138" s="25">
        <f>IFERROR(VLOOKUP(B138,'Факт продаж'!A:C,3,0)/SUM('План Антонова'!$C$11:$C$13),0)</f>
        <v>0</v>
      </c>
      <c r="G138" s="5">
        <f>IFERROR(VLOOKUP(B138,'Факт продаж'!J:K,2,0),"нет продаж")</f>
        <v>25</v>
      </c>
      <c r="H138" s="48">
        <f>IFERROR(VLOOKUP(B138,'Факт продаж'!J:L,3,0),"нет продаж")</f>
        <v>51797.5</v>
      </c>
      <c r="I138" s="48">
        <f>IFERROR(VLOOKUP(B138,'Факт продаж'!J:N,5,0),"нет продаж")</f>
        <v>20388.416793796499</v>
      </c>
      <c r="J138" s="7">
        <f>IFERROR(VLOOKUP(B138,'Факт продаж'!J:L,3,0)/SUM('План Антонова'!$C$14:$C$16),0)</f>
        <v>3.5765449780459941E-4</v>
      </c>
      <c r="K138" s="44">
        <f>IFERROR(VLOOKUP(B138,'Факт продаж'!J:O,6,0),"-")</f>
        <v>1</v>
      </c>
      <c r="L138" s="44">
        <f>IF(AND(F138=0,J138&gt;0),5,IF(J138/F138&gt;5,5,IF(J138/F138=0,0.0000001,J138/F138)))</f>
        <v>5</v>
      </c>
      <c r="M138" s="5">
        <f>IFERROR(VLOOKUP(B138,'Факт продаж'!S:T,2,0),"нет продаж")</f>
        <v>46</v>
      </c>
      <c r="N138" s="48">
        <f>IFERROR(VLOOKUP(B138,'Факт продаж'!S:U,3,0),"нет продаж")</f>
        <v>84762.6</v>
      </c>
      <c r="O138" s="48">
        <f>IFERROR(VLOOKUP(B138,'Факт продаж'!S:W,5,0),"нет продаж")</f>
        <v>24203.114923582223</v>
      </c>
      <c r="P138" s="7">
        <f>IFERROR(VLOOKUP(B138,'Факт продаж'!S:U,3,0)/SUM('План Антонова'!$C$17:$C$19),0)</f>
        <v>5.16293265877247E-4</v>
      </c>
      <c r="Q138" s="44">
        <f>IFERROR(VLOOKUP(B138,'Факт продаж'!S:X,6,0),"-")</f>
        <v>0.18710124323858279</v>
      </c>
      <c r="R138" s="44">
        <f>IF(AND(J138=0,P138&gt;0),5,IF(P138/J138&gt;5,5,IF(P138/J138=0,0.0000001,P138/J138)))</f>
        <v>1.4435531191315205</v>
      </c>
      <c r="S138" s="16">
        <f>IFERROR(VLOOKUP(B138,'Факт продаж'!AB:AD,2,0),"нет продаж")</f>
        <v>139</v>
      </c>
      <c r="T138" s="16">
        <f>IFERROR(VLOOKUP(B138,'Факт продаж'!AB:AD,3,0),"нет продаж")</f>
        <v>264607.40000000002</v>
      </c>
      <c r="U138" s="16">
        <f>IFERROR(VLOOKUP(B138,'Факт продаж'!AB:AF,5,0),"нет продаж")</f>
        <v>88181.726439105216</v>
      </c>
      <c r="V138" s="7">
        <f>IFERROR(VLOOKUP(B138,'Факт продаж'!AB:AD,3,0)/SUM('План Антонова'!$C$20:$C$22),0)</f>
        <v>1.7196033749845663E-3</v>
      </c>
      <c r="W138" s="44">
        <f>IFERROR(VLOOKUP(B138,'Факт продаж'!AB:AG,6,0),"-")</f>
        <v>2.6434040295030639</v>
      </c>
      <c r="X138" s="44">
        <f>IF(AND(P138=0,V138&gt;0),5,IF(V138/P138&gt;5,5,IF(V138/P138=0,0.0000001,V138/P138)))</f>
        <v>3.3306717105107784</v>
      </c>
      <c r="Y138" s="44">
        <f>IFERROR(VLOOKUP(B138,'Факт продаж'!AB:AH,7,0),"-")</f>
        <v>1</v>
      </c>
      <c r="Z138" s="44">
        <f>IF(AND(F138=0,V138&gt;0),5,IF(V138/F138&gt;5,5,IF(V138/F138=0,0.0000001,V138/F138)))</f>
        <v>5</v>
      </c>
      <c r="AB138" s="10" t="str">
        <f>IFERROR(VLOOKUP(VALUE(IF(L138&lt;1,1,0)&amp;IF(J138&lt;'Факт продаж'!$M$24,0,1)),$AB$1:$AC$4,2,FALSE),"НЕТ ПРОДАЖ")</f>
        <v>Темная лошадка</v>
      </c>
      <c r="AC138" s="10" t="str">
        <f>IFERROR(VLOOKUP(VALUE(IF(R138&lt;1,1,0)&amp;IF(P138&lt;'Факт продаж'!$V$24,0,1)),$AB$1:$AC$4,2,FALSE),"НЕТ ПРОДАЖ")</f>
        <v>Темная лошадка</v>
      </c>
      <c r="AD138" s="10" t="str">
        <f>IFERROR(VLOOKUP(VALUE(IF(X138&lt;1,1,0)&amp;IF(V138&lt;'Факт продаж'!$AE$24,0,1)),$AB$1:$AC$4,2,FALSE),"НЕТ ПРОДАЖ")</f>
        <v>Звезда</v>
      </c>
      <c r="AE138" s="18" t="str">
        <f>IFERROR(VLOOKUP(VALUE(IF(Z138&lt;1,1,0)&amp;IF(V138&lt;'Факт продаж'!$AE$24,0,1)),$AB$1:$AC$4,2,FALSE),"НЕТ ПРОДАЖ")</f>
        <v>Звезда</v>
      </c>
      <c r="AF138" s="74" t="str">
        <f>VLOOKUP(B138,'ABC расчет'!B:G,6,0)</f>
        <v>C</v>
      </c>
      <c r="AG138" s="74" t="str">
        <f>VLOOKUP(B138,'ABC расчет'!K:P,6,0)</f>
        <v>B</v>
      </c>
      <c r="AH138" s="74" t="str">
        <f>VLOOKUP(B138,'ABC расчет'!T:Y,6,0)</f>
        <v>B</v>
      </c>
      <c r="AI138" s="74" t="str">
        <f>VLOOKUP(B138,'ABC расчет'!AC:AH,6,0)</f>
        <v>A</v>
      </c>
      <c r="AJ138" s="74" t="s">
        <v>452</v>
      </c>
      <c r="AK138" s="74"/>
      <c r="AL138" s="19"/>
    </row>
    <row r="139" spans="1:38" x14ac:dyDescent="0.3">
      <c r="A139" s="51" t="s">
        <v>252</v>
      </c>
      <c r="B139" s="21" t="s">
        <v>178</v>
      </c>
      <c r="C139" s="20">
        <f>IFERROR(VLOOKUP(B139,'Факт продаж'!A:B,2,0),"нет продаж")</f>
        <v>144</v>
      </c>
      <c r="D139" s="47">
        <f>IFERROR(VLOOKUP(B139,'Факт продаж'!A:C,3,0),"нет продаж")</f>
        <v>118028.9065</v>
      </c>
      <c r="E139" s="47">
        <f>IFERROR(VLOOKUP(B139,'Факт продаж'!A:E,5,0),"нет продаж")</f>
        <v>24760.418241764473</v>
      </c>
      <c r="F139" s="25">
        <f>IFERROR(VLOOKUP(B139,'Факт продаж'!A:C,3,0)/SUM('План Антонова'!$C$11:$C$13),0)</f>
        <v>8.9620598966553763E-4</v>
      </c>
      <c r="G139" s="5">
        <f>IFERROR(VLOOKUP(B139,'Факт продаж'!J:K,2,0),"нет продаж")</f>
        <v>164</v>
      </c>
      <c r="H139" s="48">
        <f>IFERROR(VLOOKUP(B139,'Факт продаж'!J:L,3,0),"нет продаж")</f>
        <v>192879.4</v>
      </c>
      <c r="I139" s="48">
        <f>IFERROR(VLOOKUP(B139,'Факт продаж'!J:N,5,0),"нет продаж")</f>
        <v>84307.440475799813</v>
      </c>
      <c r="J139" s="7">
        <f>IFERROR(VLOOKUP(B139,'Факт продаж'!J:L,3,0)/SUM('План Антонова'!$C$14:$C$16),0)</f>
        <v>1.3318052983995838E-3</v>
      </c>
      <c r="K139" s="44">
        <f>IFERROR(VLOOKUP(B139,'Факт продаж'!J:O,6,0),"-")</f>
        <v>2.4049279641647892</v>
      </c>
      <c r="L139" s="44">
        <f>IF(AND(F139=0,J139&gt;0),5,IF(J139/F139&gt;5,5,IF(J139/F139=0,0.0000001,J139/F139)))</f>
        <v>1.4860482007006124</v>
      </c>
      <c r="M139" s="5">
        <f>IFERROR(VLOOKUP(B139,'Факт продаж'!S:T,2,0),"нет продаж")</f>
        <v>279</v>
      </c>
      <c r="N139" s="48">
        <f>IFERROR(VLOOKUP(B139,'Факт продаж'!S:U,3,0),"нет продаж")</f>
        <v>338965.2</v>
      </c>
      <c r="O139" s="48">
        <f>IFERROR(VLOOKUP(B139,'Факт продаж'!S:W,5,0),"нет продаж")</f>
        <v>117836.34972263886</v>
      </c>
      <c r="P139" s="7">
        <f>IFERROR(VLOOKUP(B139,'Факт продаж'!S:U,3,0)/SUM('План Антонова'!$C$17:$C$19),0)</f>
        <v>2.0646541060176798E-3</v>
      </c>
      <c r="Q139" s="44">
        <f>IFERROR(VLOOKUP(B139,'Факт продаж'!S:X,6,0),"-")</f>
        <v>0.39769810419595664</v>
      </c>
      <c r="R139" s="44">
        <f>IF(AND(J139=0,P139&gt;0),5,IF(P139/J139&gt;5,5,IF(P139/J139=0,0.0000001,P139/J139)))</f>
        <v>1.5502672263721675</v>
      </c>
      <c r="S139" s="16">
        <f>IFERROR(VLOOKUP(B139,'Факт продаж'!AB:AD,2,0),"нет продаж")</f>
        <v>182</v>
      </c>
      <c r="T139" s="16">
        <f>IFERROR(VLOOKUP(B139,'Факт продаж'!AB:AD,3,0),"нет продаж")</f>
        <v>224443.4</v>
      </c>
      <c r="U139" s="16">
        <f>IFERROR(VLOOKUP(B139,'Факт продаж'!AB:AF,5,0),"нет продаж")</f>
        <v>83861.911344366032</v>
      </c>
      <c r="V139" s="7">
        <f>IFERROR(VLOOKUP(B139,'Факт продаж'!AB:AD,3,0)/SUM('План Антонова'!$C$20:$C$22),0)</f>
        <v>1.4585896998081346E-3</v>
      </c>
      <c r="W139" s="44">
        <f>IFERROR(VLOOKUP(B139,'Факт продаж'!AB:AG,6,0),"-")</f>
        <v>-0.28831882910698836</v>
      </c>
      <c r="X139" s="44">
        <f>IF(AND(P139=0,V139&gt;0),5,IF(V139/P139&gt;5,5,IF(V139/P139=0,0.0000001,V139/P139)))</f>
        <v>0.7064571714733725</v>
      </c>
      <c r="Y139" s="44">
        <f>IFERROR(VLOOKUP(B139,'Факт продаж'!AB:AH,7,0),"-")</f>
        <v>2.3869343613474387</v>
      </c>
      <c r="Z139" s="44">
        <f>IF(AND(F139=0,V139&gt;0),5,IF(V139/F139&gt;5,5,IF(V139/F139=0,0.0000001,V139/F139)))</f>
        <v>1.6275161253413151</v>
      </c>
      <c r="AB139" s="10" t="str">
        <f>IFERROR(VLOOKUP(VALUE(IF(L139&lt;1,1,0)&amp;IF(J139&lt;'Факт продаж'!$M$24,0,1)),$AB$1:$AC$4,2,FALSE),"НЕТ ПРОДАЖ")</f>
        <v>Звезда</v>
      </c>
      <c r="AC139" s="10" t="str">
        <f>IFERROR(VLOOKUP(VALUE(IF(R139&lt;1,1,0)&amp;IF(P139&lt;'Факт продаж'!$V$24,0,1)),$AB$1:$AC$4,2,FALSE),"НЕТ ПРОДАЖ")</f>
        <v>Звезда</v>
      </c>
      <c r="AD139" s="10" t="str">
        <f>IFERROR(VLOOKUP(VALUE(IF(X139&lt;1,1,0)&amp;IF(V139&lt;'Факт продаж'!$AE$24,0,1)),$AB$1:$AC$4,2,FALSE),"НЕТ ПРОДАЖ")</f>
        <v>Корова</v>
      </c>
      <c r="AE139" s="18" t="str">
        <f>IFERROR(VLOOKUP(VALUE(IF(Z139&lt;1,1,0)&amp;IF(V139&lt;'Факт продаж'!$AE$24,0,1)),$AB$1:$AC$4,2,FALSE),"НЕТ ПРОДАЖ")</f>
        <v>Звезда</v>
      </c>
      <c r="AF139" s="74" t="str">
        <f>VLOOKUP(B139,'ABC расчет'!B:G,6,0)</f>
        <v>B</v>
      </c>
      <c r="AG139" s="74" t="str">
        <f>VLOOKUP(B139,'ABC расчет'!K:P,6,0)</f>
        <v>B</v>
      </c>
      <c r="AH139" s="74" t="str">
        <f>VLOOKUP(B139,'ABC расчет'!T:Y,6,0)</f>
        <v>B</v>
      </c>
      <c r="AI139" s="74" t="str">
        <f>VLOOKUP(B139,'ABC расчет'!AC:AH,6,0)</f>
        <v>B</v>
      </c>
      <c r="AJ139" s="74"/>
      <c r="AK139" s="74"/>
      <c r="AL139" s="19"/>
    </row>
    <row r="140" spans="1:38" x14ac:dyDescent="0.3">
      <c r="A140" s="51" t="s">
        <v>388</v>
      </c>
      <c r="B140" s="20" t="s">
        <v>233</v>
      </c>
      <c r="C140" s="20">
        <f>IFERROR(VLOOKUP(B140,'Факт продаж'!A:B,2,0),"нет продаж")</f>
        <v>184</v>
      </c>
      <c r="D140" s="47">
        <f>IFERROR(VLOOKUP(B140,'Факт продаж'!A:C,3,0),"нет продаж")</f>
        <v>228586.93890000004</v>
      </c>
      <c r="E140" s="47">
        <f>IFERROR(VLOOKUP(B140,'Факт продаж'!A:E,5,0),"нет продаж")</f>
        <v>73395.71734804337</v>
      </c>
      <c r="F140" s="25">
        <f>IFERROR(VLOOKUP(B140,'Факт продаж'!A:C,3,0)/SUM('План Антонова'!$C$11:$C$13),0)</f>
        <v>1.7356848409121736E-3</v>
      </c>
      <c r="G140" s="5">
        <f>IFERROR(VLOOKUP(B140,'Факт продаж'!J:K,2,0),"нет продаж")</f>
        <v>23</v>
      </c>
      <c r="H140" s="48">
        <f>IFERROR(VLOOKUP(B140,'Факт продаж'!J:L,3,0),"нет продаж")</f>
        <v>52723.6</v>
      </c>
      <c r="I140" s="48">
        <f>IFERROR(VLOOKUP(B140,'Факт продаж'!J:N,5,0),"нет продаж")</f>
        <v>26409.356383560938</v>
      </c>
      <c r="J140" s="7">
        <f>IFERROR(VLOOKUP(B140,'Факт продаж'!J:L,3,0)/SUM('План Антонова'!$C$14:$C$16),0)</f>
        <v>3.6404908886433855E-4</v>
      </c>
      <c r="K140" s="44">
        <f>IFERROR(VLOOKUP(B140,'Факт продаж'!J:O,6,0),"-")</f>
        <v>-0.64017850989414748</v>
      </c>
      <c r="L140" s="44">
        <f>IF(AND(F140=0,J140&gt;0),5,IF(J140/F140&gt;5,5,IF(J140/F140=0,0.0000001,J140/F140)))</f>
        <v>0.20974377391751362</v>
      </c>
      <c r="M140" s="5">
        <f>IFERROR(VLOOKUP(B140,'Факт продаж'!S:T,2,0),"нет продаж")</f>
        <v>60</v>
      </c>
      <c r="N140" s="48">
        <f>IFERROR(VLOOKUP(B140,'Факт продаж'!S:U,3,0),"нет продаж")</f>
        <v>152805.65000000002</v>
      </c>
      <c r="O140" s="48">
        <f>IFERROR(VLOOKUP(B140,'Факт продаж'!S:W,5,0),"нет продаж")</f>
        <v>77517.652438786536</v>
      </c>
      <c r="P140" s="7">
        <f>IFERROR(VLOOKUP(B140,'Факт продаж'!S:U,3,0)/SUM('План Антонова'!$C$17:$C$19),0)</f>
        <v>9.3074691058315292E-4</v>
      </c>
      <c r="Q140" s="44">
        <f>IFERROR(VLOOKUP(B140,'Факт продаж'!S:X,6,0),"-")</f>
        <v>1.9352344416480758</v>
      </c>
      <c r="R140" s="44">
        <f>IF(AND(J140=0,P140&gt;0),5,IF(P140/J140&gt;5,5,IF(P140/J140=0,0.0000001,P140/J140)))</f>
        <v>2.5566522182122315</v>
      </c>
      <c r="S140" s="16">
        <f>IFERROR(VLOOKUP(B140,'Факт продаж'!AB:AD,2,0),"нет продаж")</f>
        <v>81</v>
      </c>
      <c r="T140" s="16">
        <f>IFERROR(VLOOKUP(B140,'Факт продаж'!AB:AD,3,0),"нет продаж")</f>
        <v>222731.9</v>
      </c>
      <c r="U140" s="16">
        <f>IFERROR(VLOOKUP(B140,'Факт продаж'!AB:AF,5,0),"нет продаж")</f>
        <v>82323.704936798371</v>
      </c>
      <c r="V140" s="7">
        <f>IFERROR(VLOOKUP(B140,'Факт продаж'!AB:AD,3,0)/SUM('План Антонова'!$C$20:$C$22),0)</f>
        <v>1.4474671795147258E-3</v>
      </c>
      <c r="W140" s="44">
        <f>IFERROR(VLOOKUP(B140,'Факт продаж'!AB:AG,6,0),"-")</f>
        <v>6.1999458791751172E-2</v>
      </c>
      <c r="X140" s="44">
        <f>IF(AND(P140=0,V140&gt;0),5,IF(V140/P140&gt;5,5,IF(V140/P140=0,0.0000001,V140/P140)))</f>
        <v>1.5551673210581225</v>
      </c>
      <c r="Y140" s="44">
        <f>IFERROR(VLOOKUP(B140,'Факт продаж'!AB:AH,7,0),"-")</f>
        <v>0.12164180569853111</v>
      </c>
      <c r="Z140" s="44">
        <f>IF(AND(F140=0,V140&gt;0),5,IF(V140/F140&gt;5,5,IF(V140/F140=0,0.0000001,V140/F140)))</f>
        <v>0.83394585548953826</v>
      </c>
      <c r="AB140" s="10" t="str">
        <f>IFERROR(VLOOKUP(VALUE(IF(L140&lt;1,1,0)&amp;IF(J140&lt;'Факт продаж'!$M$24,0,1)),$AB$1:$AC$4,2,FALSE),"НЕТ ПРОДАЖ")</f>
        <v>Собака</v>
      </c>
      <c r="AC140" s="10" t="str">
        <f>IFERROR(VLOOKUP(VALUE(IF(R140&lt;1,1,0)&amp;IF(P140&lt;'Факт продаж'!$V$24,0,1)),$AB$1:$AC$4,2,FALSE),"НЕТ ПРОДАЖ")</f>
        <v>Темная лошадка</v>
      </c>
      <c r="AD140" s="10" t="str">
        <f>IFERROR(VLOOKUP(VALUE(IF(X140&lt;1,1,0)&amp;IF(V140&lt;'Факт продаж'!$AE$24,0,1)),$AB$1:$AC$4,2,FALSE),"НЕТ ПРОДАЖ")</f>
        <v>Звезда</v>
      </c>
      <c r="AE140" s="18" t="str">
        <f>IFERROR(VLOOKUP(VALUE(IF(Z140&lt;1,1,0)&amp;IF(V140&lt;'Факт продаж'!$AE$24,0,1)),$AB$1:$AC$4,2,FALSE),"НЕТ ПРОДАЖ")</f>
        <v>Корова</v>
      </c>
      <c r="AF140" s="74" t="str">
        <f>VLOOKUP(B140,'ABC расчет'!B:G,6,0)</f>
        <v>A</v>
      </c>
      <c r="AG140" s="74" t="str">
        <f>VLOOKUP(B140,'ABC расчет'!K:P,6,0)</f>
        <v>C</v>
      </c>
      <c r="AH140" s="74" t="str">
        <f>VLOOKUP(B140,'ABC расчет'!T:Y,6,0)</f>
        <v>B</v>
      </c>
      <c r="AI140" s="74" t="str">
        <f>VLOOKUP(B140,'ABC расчет'!AC:AH,6,0)</f>
        <v>B</v>
      </c>
      <c r="AJ140" s="74"/>
      <c r="AK140" s="74"/>
      <c r="AL140" s="19"/>
    </row>
    <row r="141" spans="1:38" x14ac:dyDescent="0.3">
      <c r="A141" s="51" t="s">
        <v>251</v>
      </c>
      <c r="B141" s="21" t="s">
        <v>193</v>
      </c>
      <c r="C141" s="20" t="str">
        <f>IFERROR(VLOOKUP(B141,'Факт продаж'!A:B,2,0),"нет продаж")</f>
        <v>нет продаж</v>
      </c>
      <c r="D141" s="47" t="str">
        <f>IFERROR(VLOOKUP(B141,'Факт продаж'!A:C,3,0),"нет продаж")</f>
        <v>нет продаж</v>
      </c>
      <c r="E141" s="47" t="str">
        <f>IFERROR(VLOOKUP(B141,'Факт продаж'!A:E,5,0),"нет продаж")</f>
        <v>нет продаж</v>
      </c>
      <c r="F141" s="25">
        <f>IFERROR(VLOOKUP(B141,'Факт продаж'!A:C,3,0)/SUM('План Антонова'!$C$11:$C$13),0)</f>
        <v>0</v>
      </c>
      <c r="G141" s="5">
        <f>IFERROR(VLOOKUP(B141,'Факт продаж'!J:K,2,0),"нет продаж")</f>
        <v>36</v>
      </c>
      <c r="H141" s="48">
        <f>IFERROR(VLOOKUP(B141,'Факт продаж'!J:L,3,0),"нет продаж")</f>
        <v>143192</v>
      </c>
      <c r="I141" s="48">
        <f>IFERROR(VLOOKUP(B141,'Факт продаж'!J:N,5,0),"нет продаж")</f>
        <v>73314.550129699986</v>
      </c>
      <c r="J141" s="7">
        <f>IFERROR(VLOOKUP(B141,'Факт продаж'!J:L,3,0)/SUM('План Антонова'!$C$14:$C$16),0)</f>
        <v>9.8872074616798483E-4</v>
      </c>
      <c r="K141" s="44">
        <f>IFERROR(VLOOKUP(B141,'Факт продаж'!J:O,6,0),"-")</f>
        <v>1</v>
      </c>
      <c r="L141" s="44">
        <f>IF(AND(F141=0,J141&gt;0),5,IF(J141/F141&gt;5,5,IF(J141/F141=0,0.0000001,J141/F141)))</f>
        <v>5</v>
      </c>
      <c r="M141" s="5">
        <f>IFERROR(VLOOKUP(B141,'Факт продаж'!S:T,2,0),"нет продаж")</f>
        <v>31</v>
      </c>
      <c r="N141" s="48">
        <f>IFERROR(VLOOKUP(B141,'Факт продаж'!S:U,3,0),"нет продаж")</f>
        <v>126569.31</v>
      </c>
      <c r="O141" s="48">
        <f>IFERROR(VLOOKUP(B141,'Факт продаж'!S:W,5,0),"нет продаж")</f>
        <v>63717.107870027619</v>
      </c>
      <c r="P141" s="7">
        <f>IFERROR(VLOOKUP(B141,'Факт продаж'!S:U,3,0)/SUM('План Антонова'!$C$17:$C$19),0)</f>
        <v>7.7094004218522896E-4</v>
      </c>
      <c r="Q141" s="44">
        <f>IFERROR(VLOOKUP(B141,'Факт продаж'!S:X,6,0),"-")</f>
        <v>-0.13090774263353777</v>
      </c>
      <c r="R141" s="44">
        <f>IF(AND(J141=0,P141&gt;0),5,IF(P141/J141&gt;5,5,IF(P141/J141=0,0.0000001,P141/J141)))</f>
        <v>0.77973486970227424</v>
      </c>
      <c r="S141" s="16">
        <f>IFERROR(VLOOKUP(B141,'Факт продаж'!AB:AD,2,0),"нет продаж")</f>
        <v>41</v>
      </c>
      <c r="T141" s="16">
        <f>IFERROR(VLOOKUP(B141,'Факт продаж'!AB:AD,3,0),"нет продаж")</f>
        <v>166546.30000000002</v>
      </c>
      <c r="U141" s="16">
        <f>IFERROR(VLOOKUP(B141,'Факт продаж'!AB:AF,5,0),"нет продаж")</f>
        <v>81712.444908908743</v>
      </c>
      <c r="V141" s="7">
        <f>IFERROR(VLOOKUP(B141,'Факт продаж'!AB:AD,3,0)/SUM('План Антонова'!$C$20:$C$22),0)</f>
        <v>1.0823339769454371E-3</v>
      </c>
      <c r="W141" s="44">
        <f>IFERROR(VLOOKUP(B141,'Факт продаж'!AB:AG,6,0),"-")</f>
        <v>0.28242551553954143</v>
      </c>
      <c r="X141" s="44">
        <f>IF(AND(P141=0,V141&gt;0),5,IF(V141/P141&gt;5,5,IF(V141/P141=0,0.0000001,V141/P141)))</f>
        <v>1.4039145948076095</v>
      </c>
      <c r="Y141" s="44">
        <f>IFERROR(VLOOKUP(B141,'Факт продаж'!AB:AH,7,0),"-")</f>
        <v>1</v>
      </c>
      <c r="Z141" s="44">
        <f>IF(AND(F141=0,V141&gt;0),5,IF(V141/F141&gt;5,5,IF(V141/F141=0,0.0000001,V141/F141)))</f>
        <v>5</v>
      </c>
      <c r="AB141" s="10" t="str">
        <f>IFERROR(VLOOKUP(VALUE(IF(L141&lt;1,1,0)&amp;IF(J141&lt;'Факт продаж'!$M$24,0,1)),$AB$1:$AC$4,2,FALSE),"НЕТ ПРОДАЖ")</f>
        <v>Звезда</v>
      </c>
      <c r="AC141" s="10" t="str">
        <f>IFERROR(VLOOKUP(VALUE(IF(R141&lt;1,1,0)&amp;IF(P141&lt;'Факт продаж'!$V$24,0,1)),$AB$1:$AC$4,2,FALSE),"НЕТ ПРОДАЖ")</f>
        <v>Собака</v>
      </c>
      <c r="AD141" s="10" t="str">
        <f>IFERROR(VLOOKUP(VALUE(IF(X141&lt;1,1,0)&amp;IF(V141&lt;'Факт продаж'!$AE$24,0,1)),$AB$1:$AC$4,2,FALSE),"НЕТ ПРОДАЖ")</f>
        <v>Звезда</v>
      </c>
      <c r="AE141" s="18" t="str">
        <f>IFERROR(VLOOKUP(VALUE(IF(Z141&lt;1,1,0)&amp;IF(V141&lt;'Факт продаж'!$AE$24,0,1)),$AB$1:$AC$4,2,FALSE),"НЕТ ПРОДАЖ")</f>
        <v>Звезда</v>
      </c>
      <c r="AF141" s="74" t="str">
        <f>VLOOKUP(B141,'ABC расчет'!B:G,6,0)</f>
        <v>C</v>
      </c>
      <c r="AG141" s="74" t="str">
        <f>VLOOKUP(B141,'ABC расчет'!K:P,6,0)</f>
        <v>C</v>
      </c>
      <c r="AH141" s="74" t="str">
        <f>VLOOKUP(B141,'ABC расчет'!T:Y,6,0)</f>
        <v>C</v>
      </c>
      <c r="AI141" s="74" t="str">
        <f>VLOOKUP(B141,'ABC расчет'!AC:AH,6,0)</f>
        <v>C</v>
      </c>
      <c r="AJ141" s="74"/>
      <c r="AK141" s="74"/>
      <c r="AL141" s="19"/>
    </row>
    <row r="142" spans="1:38" x14ac:dyDescent="0.3">
      <c r="A142" s="51" t="s">
        <v>252</v>
      </c>
      <c r="B142" s="21" t="s">
        <v>167</v>
      </c>
      <c r="C142" s="20" t="str">
        <f>IFERROR(VLOOKUP(B142,'Факт продаж'!A:B,2,0),"нет продаж")</f>
        <v>нет продаж</v>
      </c>
      <c r="D142" s="47" t="str">
        <f>IFERROR(VLOOKUP(B142,'Факт продаж'!A:C,3,0),"нет продаж")</f>
        <v>нет продаж</v>
      </c>
      <c r="E142" s="47" t="str">
        <f>IFERROR(VLOOKUP(B142,'Факт продаж'!A:E,5,0),"нет продаж")</f>
        <v>нет продаж</v>
      </c>
      <c r="F142" s="25">
        <f>IFERROR(VLOOKUP(B142,'Факт продаж'!A:C,3,0)/SUM('План Антонова'!$C$11:$C$13),0)</f>
        <v>0</v>
      </c>
      <c r="G142" s="5">
        <f>IFERROR(VLOOKUP(B142,'Факт продаж'!J:K,2,0),"нет продаж")</f>
        <v>274</v>
      </c>
      <c r="H142" s="48">
        <f>IFERROR(VLOOKUP(B142,'Факт продаж'!J:L,3,0),"нет продаж")</f>
        <v>369409.19999999995</v>
      </c>
      <c r="I142" s="48">
        <f>IFERROR(VLOOKUP(B142,'Факт продаж'!J:N,5,0),"нет продаж")</f>
        <v>168805.36010275531</v>
      </c>
      <c r="J142" s="7">
        <f>IFERROR(VLOOKUP(B142,'Факт продаж'!J:L,3,0)/SUM('План Антонова'!$C$14:$C$16),0)</f>
        <v>2.5507188939697632E-3</v>
      </c>
      <c r="K142" s="44">
        <f>IFERROR(VLOOKUP(B142,'Факт продаж'!J:O,6,0),"-")</f>
        <v>1</v>
      </c>
      <c r="L142" s="44">
        <f>IF(AND(F142=0,J142&gt;0),5,IF(J142/F142&gt;5,5,IF(J142/F142=0,0.0000001,J142/F142)))</f>
        <v>5</v>
      </c>
      <c r="M142" s="5">
        <f>IFERROR(VLOOKUP(B142,'Факт продаж'!S:T,2,0),"нет продаж")</f>
        <v>290</v>
      </c>
      <c r="N142" s="48">
        <f>IFERROR(VLOOKUP(B142,'Факт продаж'!S:U,3,0),"нет продаж")</f>
        <v>403336.24</v>
      </c>
      <c r="O142" s="48">
        <f>IFERROR(VLOOKUP(B142,'Факт продаж'!S:W,5,0),"нет продаж")</f>
        <v>132236.94318602723</v>
      </c>
      <c r="P142" s="7">
        <f>IFERROR(VLOOKUP(B142,'Факт продаж'!S:U,3,0)/SUM('План Антонова'!$C$17:$C$19),0)</f>
        <v>2.4567413528637522E-3</v>
      </c>
      <c r="Q142" s="44">
        <f>IFERROR(VLOOKUP(B142,'Факт продаж'!S:X,6,0),"-")</f>
        <v>-0.21663066205047121</v>
      </c>
      <c r="R142" s="44">
        <f>IF(AND(J142=0,P142&gt;0),5,IF(P142/J142&gt;5,5,IF(P142/J142=0,0.0000001,P142/J142)))</f>
        <v>0.96315644921587151</v>
      </c>
      <c r="S142" s="16">
        <f>IFERROR(VLOOKUP(B142,'Факт продаж'!AB:AD,2,0),"нет продаж")</f>
        <v>177</v>
      </c>
      <c r="T142" s="16">
        <f>IFERROR(VLOOKUP(B142,'Факт продаж'!AB:AD,3,0),"нет продаж")</f>
        <v>250068.5</v>
      </c>
      <c r="U142" s="16">
        <f>IFERROR(VLOOKUP(B142,'Факт продаж'!AB:AF,5,0),"нет продаж")</f>
        <v>78771.760160144157</v>
      </c>
      <c r="V142" s="7">
        <f>IFERROR(VLOOKUP(B142,'Факт продаж'!AB:AD,3,0)/SUM('План Антонова'!$C$20:$C$22),0)</f>
        <v>1.6251194659609972E-3</v>
      </c>
      <c r="W142" s="44">
        <f>IFERROR(VLOOKUP(B142,'Факт продаж'!AB:AG,6,0),"-")</f>
        <v>-0.40431351283332184</v>
      </c>
      <c r="X142" s="44">
        <f>IF(AND(P142=0,V142&gt;0),5,IF(V142/P142&gt;5,5,IF(V142/P142=0,0.0000001,V142/P142)))</f>
        <v>0.66149391919773826</v>
      </c>
      <c r="Y142" s="44">
        <f>IFERROR(VLOOKUP(B142,'Факт продаж'!AB:AH,7,0),"-")</f>
        <v>1</v>
      </c>
      <c r="Z142" s="44">
        <f>IF(AND(F142=0,V142&gt;0),5,IF(V142/F142&gt;5,5,IF(V142/F142=0,0.0000001,V142/F142)))</f>
        <v>5</v>
      </c>
      <c r="AB142" s="10" t="str">
        <f>IFERROR(VLOOKUP(VALUE(IF(L142&lt;1,1,0)&amp;IF(J142&lt;'Факт продаж'!$M$24,0,1)),$AB$1:$AC$4,2,FALSE),"НЕТ ПРОДАЖ")</f>
        <v>Звезда</v>
      </c>
      <c r="AC142" s="10" t="str">
        <f>IFERROR(VLOOKUP(VALUE(IF(R142&lt;1,1,0)&amp;IF(P142&lt;'Факт продаж'!$V$24,0,1)),$AB$1:$AC$4,2,FALSE),"НЕТ ПРОДАЖ")</f>
        <v>Корова</v>
      </c>
      <c r="AD142" s="10" t="str">
        <f>IFERROR(VLOOKUP(VALUE(IF(X142&lt;1,1,0)&amp;IF(V142&lt;'Факт продаж'!$AE$24,0,1)),$AB$1:$AC$4,2,FALSE),"НЕТ ПРОДАЖ")</f>
        <v>Корова</v>
      </c>
      <c r="AE142" s="18" t="str">
        <f>IFERROR(VLOOKUP(VALUE(IF(Z142&lt;1,1,0)&amp;IF(V142&lt;'Факт продаж'!$AE$24,0,1)),$AB$1:$AC$4,2,FALSE),"НЕТ ПРОДАЖ")</f>
        <v>Звезда</v>
      </c>
      <c r="AF142" s="74" t="str">
        <f>VLOOKUP(B142,'ABC расчет'!B:G,6,0)</f>
        <v>C</v>
      </c>
      <c r="AG142" s="74" t="str">
        <f>VLOOKUP(B142,'ABC расчет'!K:P,6,0)</f>
        <v>B</v>
      </c>
      <c r="AH142" s="74" t="str">
        <f>VLOOKUP(B142,'ABC расчет'!T:Y,6,0)</f>
        <v>B</v>
      </c>
      <c r="AI142" s="74" t="str">
        <f>VLOOKUP(B142,'ABC расчет'!AC:AH,6,0)</f>
        <v>B</v>
      </c>
      <c r="AJ142" s="74"/>
      <c r="AK142" s="74"/>
      <c r="AL142" s="19"/>
    </row>
    <row r="143" spans="1:38" x14ac:dyDescent="0.3">
      <c r="A143" s="51" t="s">
        <v>256</v>
      </c>
      <c r="B143" s="21" t="s">
        <v>139</v>
      </c>
      <c r="C143" s="20">
        <f>IFERROR(VLOOKUP(B143,'Факт продаж'!A:B,2,0),"нет продаж")</f>
        <v>81</v>
      </c>
      <c r="D143" s="47">
        <f>IFERROR(VLOOKUP(B143,'Факт продаж'!A:C,3,0),"нет продаж")</f>
        <v>138977.76080000002</v>
      </c>
      <c r="E143" s="47">
        <f>IFERROR(VLOOKUP(B143,'Факт продаж'!A:E,5,0),"нет продаж")</f>
        <v>75799.603343269962</v>
      </c>
      <c r="F143" s="25">
        <f>IFERROR(VLOOKUP(B143,'Факт продаж'!A:C,3,0)/SUM('План Антонова'!$C$11:$C$13),0)</f>
        <v>1.0552728594436685E-3</v>
      </c>
      <c r="G143" s="5">
        <f>IFERROR(VLOOKUP(B143,'Факт продаж'!J:K,2,0),"нет продаж")</f>
        <v>141</v>
      </c>
      <c r="H143" s="48">
        <f>IFERROR(VLOOKUP(B143,'Факт продаж'!J:L,3,0),"нет продаж")</f>
        <v>282571.42499999999</v>
      </c>
      <c r="I143" s="48">
        <f>IFERROR(VLOOKUP(B143,'Факт продаж'!J:N,5,0),"нет продаж")</f>
        <v>117324.06701470639</v>
      </c>
      <c r="J143" s="7">
        <f>IFERROR(VLOOKUP(B143,'Факт продаж'!J:L,3,0)/SUM('План Антонова'!$C$14:$C$16),0)</f>
        <v>1.9511161948415469E-3</v>
      </c>
      <c r="K143" s="44">
        <f>IFERROR(VLOOKUP(B143,'Факт продаж'!J:O,6,0),"-")</f>
        <v>0.54781901012577361</v>
      </c>
      <c r="L143" s="44">
        <f>IF(AND(F143=0,J143&gt;0),5,IF(J143/F143&gt;5,5,IF(J143/F143=0,0.0000001,J143/F143)))</f>
        <v>1.8489210419664919</v>
      </c>
      <c r="M143" s="5">
        <f>IFERROR(VLOOKUP(B143,'Факт продаж'!S:T,2,0),"нет продаж")</f>
        <v>101</v>
      </c>
      <c r="N143" s="48">
        <f>IFERROR(VLOOKUP(B143,'Факт продаж'!S:U,3,0),"нет продаж")</f>
        <v>213512.5</v>
      </c>
      <c r="O143" s="48">
        <f>IFERROR(VLOOKUP(B143,'Факт продаж'!S:W,5,0),"нет продаж")</f>
        <v>76350.241327904208</v>
      </c>
      <c r="P143" s="7">
        <f>IFERROR(VLOOKUP(B143,'Факт продаж'!S:U,3,0)/SUM('План Антонова'!$C$17:$C$19),0)</f>
        <v>1.3005153915832655E-3</v>
      </c>
      <c r="Q143" s="44">
        <f>IFERROR(VLOOKUP(B143,'Факт продаж'!S:X,6,0),"-")</f>
        <v>-0.34923632234523694</v>
      </c>
      <c r="R143" s="44">
        <f>IF(AND(J143=0,P143&gt;0),5,IF(P143/J143&gt;5,5,IF(P143/J143=0,0.0000001,P143/J143)))</f>
        <v>0.6665494320746399</v>
      </c>
      <c r="S143" s="16">
        <f>IFERROR(VLOOKUP(B143,'Факт продаж'!AB:AD,2,0),"нет продаж")</f>
        <v>96</v>
      </c>
      <c r="T143" s="16">
        <f>IFERROR(VLOOKUP(B143,'Факт продаж'!AB:AD,3,0),"нет продаж")</f>
        <v>215280</v>
      </c>
      <c r="U143" s="16">
        <f>IFERROR(VLOOKUP(B143,'Факт продаж'!AB:AF,5,0),"нет продаж")</f>
        <v>78029.094372324456</v>
      </c>
      <c r="V143" s="7">
        <f>IFERROR(VLOOKUP(B143,'Факт продаж'!AB:AD,3,0)/SUM('План Антонова'!$C$20:$C$22),0)</f>
        <v>1.3990395376950054E-3</v>
      </c>
      <c r="W143" s="44">
        <f>IFERROR(VLOOKUP(B143,'Факт продаж'!AB:AG,6,0),"-")</f>
        <v>2.1988837431567765E-2</v>
      </c>
      <c r="X143" s="44">
        <f>IF(AND(P143=0,V143&gt;0),5,IF(V143/P143&gt;5,5,IF(V143/P143=0,0.0000001,V143/P143)))</f>
        <v>1.0757577701497214</v>
      </c>
      <c r="Y143" s="44">
        <f>IFERROR(VLOOKUP(B143,'Факт продаж'!AB:AH,7,0),"-")</f>
        <v>2.9412964325919999E-2</v>
      </c>
      <c r="Z143" s="44">
        <f>IF(AND(F143=0,V143&gt;0),5,IF(V143/F143&gt;5,5,IF(V143/F143=0,0.0000001,V143/F143)))</f>
        <v>1.3257609396233008</v>
      </c>
      <c r="AB143" s="10" t="str">
        <f>IFERROR(VLOOKUP(VALUE(IF(L143&lt;1,1,0)&amp;IF(J143&lt;'Факт продаж'!$M$24,0,1)),$AB$1:$AC$4,2,FALSE),"НЕТ ПРОДАЖ")</f>
        <v>Звезда</v>
      </c>
      <c r="AC143" s="10" t="str">
        <f>IFERROR(VLOOKUP(VALUE(IF(R143&lt;1,1,0)&amp;IF(P143&lt;'Факт продаж'!$V$24,0,1)),$AB$1:$AC$4,2,FALSE),"НЕТ ПРОДАЖ")</f>
        <v>Корова</v>
      </c>
      <c r="AD143" s="10" t="str">
        <f>IFERROR(VLOOKUP(VALUE(IF(X143&lt;1,1,0)&amp;IF(V143&lt;'Факт продаж'!$AE$24,0,1)),$AB$1:$AC$4,2,FALSE),"НЕТ ПРОДАЖ")</f>
        <v>Звезда</v>
      </c>
      <c r="AE143" s="18" t="str">
        <f>IFERROR(VLOOKUP(VALUE(IF(Z143&lt;1,1,0)&amp;IF(V143&lt;'Факт продаж'!$AE$24,0,1)),$AB$1:$AC$4,2,FALSE),"НЕТ ПРОДАЖ")</f>
        <v>Звезда</v>
      </c>
      <c r="AF143" s="74" t="str">
        <f>VLOOKUP(B143,'ABC расчет'!B:G,6,0)</f>
        <v>B</v>
      </c>
      <c r="AG143" s="74" t="str">
        <f>VLOOKUP(B143,'ABC расчет'!K:P,6,0)</f>
        <v>B</v>
      </c>
      <c r="AH143" s="74" t="str">
        <f>VLOOKUP(B143,'ABC расчет'!T:Y,6,0)</f>
        <v>B</v>
      </c>
      <c r="AI143" s="74" t="str">
        <f>VLOOKUP(B143,'ABC расчет'!AC:AH,6,0)</f>
        <v>B</v>
      </c>
      <c r="AJ143" s="74"/>
      <c r="AK143" s="74"/>
      <c r="AL143" s="19"/>
    </row>
    <row r="144" spans="1:38" x14ac:dyDescent="0.3">
      <c r="A144" s="51" t="s">
        <v>116</v>
      </c>
      <c r="B144" s="21" t="s">
        <v>151</v>
      </c>
      <c r="C144" s="20" t="str">
        <f>IFERROR(VLOOKUP(B144,'Факт продаж'!A:B,2,0),"нет продаж")</f>
        <v>нет продаж</v>
      </c>
      <c r="D144" s="47" t="str">
        <f>IFERROR(VLOOKUP(B144,'Факт продаж'!A:C,3,0),"нет продаж")</f>
        <v>нет продаж</v>
      </c>
      <c r="E144" s="47" t="str">
        <f>IFERROR(VLOOKUP(B144,'Факт продаж'!A:E,5,0),"нет продаж")</f>
        <v>нет продаж</v>
      </c>
      <c r="F144" s="25">
        <f>IFERROR(VLOOKUP(B144,'Факт продаж'!A:C,3,0)/SUM('План Антонова'!$C$11:$C$13),0)</f>
        <v>0</v>
      </c>
      <c r="G144" s="5">
        <f>IFERROR(VLOOKUP(B144,'Факт продаж'!J:K,2,0),"нет продаж")</f>
        <v>26</v>
      </c>
      <c r="H144" s="48">
        <f>IFERROR(VLOOKUP(B144,'Факт продаж'!J:L,3,0),"нет продаж")</f>
        <v>52932</v>
      </c>
      <c r="I144" s="48">
        <f>IFERROR(VLOOKUP(B144,'Факт продаж'!J:N,5,0),"нет продаж")</f>
        <v>24998.380078475166</v>
      </c>
      <c r="J144" s="7">
        <f>IFERROR(VLOOKUP(B144,'Факт продаж'!J:L,3,0)/SUM('План Антонова'!$C$14:$C$16),0)</f>
        <v>3.6548806173643624E-4</v>
      </c>
      <c r="K144" s="44">
        <f>IFERROR(VLOOKUP(B144,'Факт продаж'!J:O,6,0),"-")</f>
        <v>1</v>
      </c>
      <c r="L144" s="44">
        <f>IF(AND(F144=0,J144&gt;0),5,IF(J144/F144&gt;5,5,IF(J144/F144=0,0.0000001,J144/F144)))</f>
        <v>5</v>
      </c>
      <c r="M144" s="5">
        <f>IFERROR(VLOOKUP(B144,'Факт продаж'!S:T,2,0),"нет продаж")</f>
        <v>49</v>
      </c>
      <c r="N144" s="48">
        <f>IFERROR(VLOOKUP(B144,'Факт продаж'!S:U,3,0),"нет продаж")</f>
        <v>101634.8</v>
      </c>
      <c r="O144" s="48">
        <f>IFERROR(VLOOKUP(B144,'Факт продаж'!S:W,5,0),"нет продаж")</f>
        <v>42585.170795771584</v>
      </c>
      <c r="P144" s="7">
        <f>IFERROR(VLOOKUP(B144,'Факт продаж'!S:U,3,0)/SUM('План Антонова'!$C$17:$C$19),0)</f>
        <v>6.1906268588718166E-4</v>
      </c>
      <c r="Q144" s="44">
        <f>IFERROR(VLOOKUP(B144,'Факт продаж'!S:X,6,0),"-")</f>
        <v>0.7035172143990045</v>
      </c>
      <c r="R144" s="44">
        <f>IF(AND(J144=0,P144&gt;0),5,IF(P144/J144&gt;5,5,IF(P144/J144=0,0.0000001,P144/J144)))</f>
        <v>1.6937972828606513</v>
      </c>
      <c r="S144" s="16">
        <f>IFERROR(VLOOKUP(B144,'Факт продаж'!AB:AD,2,0),"нет продаж")</f>
        <v>75</v>
      </c>
      <c r="T144" s="16">
        <f>IFERROR(VLOOKUP(B144,'Факт продаж'!AB:AD,3,0),"нет продаж")</f>
        <v>157697</v>
      </c>
      <c r="U144" s="16">
        <f>IFERROR(VLOOKUP(B144,'Факт продаж'!AB:AF,5,0),"нет продаж")</f>
        <v>74227.253354594737</v>
      </c>
      <c r="V144" s="7">
        <f>IFERROR(VLOOKUP(B144,'Факт продаж'!AB:AD,3,0)/SUM('План Антонова'!$C$20:$C$22),0)</f>
        <v>1.0248250556293631E-3</v>
      </c>
      <c r="W144" s="44">
        <f>IFERROR(VLOOKUP(B144,'Факт продаж'!AB:AG,6,0),"-")</f>
        <v>0.74303054249966749</v>
      </c>
      <c r="X144" s="44">
        <f>IF(AND(P144=0,V144&gt;0),5,IF(V144/P144&gt;5,5,IF(V144/P144=0,0.0000001,V144/P144)))</f>
        <v>1.6554463368450023</v>
      </c>
      <c r="Y144" s="44">
        <f>IFERROR(VLOOKUP(B144,'Факт продаж'!AB:AH,7,0),"-")</f>
        <v>1</v>
      </c>
      <c r="Z144" s="44">
        <f>IF(AND(F144=0,V144&gt;0),5,IF(V144/F144&gt;5,5,IF(V144/F144=0,0.0000001,V144/F144)))</f>
        <v>5</v>
      </c>
      <c r="AB144" s="10" t="str">
        <f>IFERROR(VLOOKUP(VALUE(IF(L144&lt;1,1,0)&amp;IF(J144&lt;'Факт продаж'!$M$24,0,1)),$AB$1:$AC$4,2,FALSE),"НЕТ ПРОДАЖ")</f>
        <v>Темная лошадка</v>
      </c>
      <c r="AC144" s="10" t="str">
        <f>IFERROR(VLOOKUP(VALUE(IF(R144&lt;1,1,0)&amp;IF(P144&lt;'Факт продаж'!$V$24,0,1)),$AB$1:$AC$4,2,FALSE),"НЕТ ПРОДАЖ")</f>
        <v>Темная лошадка</v>
      </c>
      <c r="AD144" s="10" t="str">
        <f>IFERROR(VLOOKUP(VALUE(IF(X144&lt;1,1,0)&amp;IF(V144&lt;'Факт продаж'!$AE$24,0,1)),$AB$1:$AC$4,2,FALSE),"НЕТ ПРОДАЖ")</f>
        <v>Звезда</v>
      </c>
      <c r="AE144" s="18" t="str">
        <f>IFERROR(VLOOKUP(VALUE(IF(Z144&lt;1,1,0)&amp;IF(V144&lt;'Факт продаж'!$AE$24,0,1)),$AB$1:$AC$4,2,FALSE),"НЕТ ПРОДАЖ")</f>
        <v>Звезда</v>
      </c>
      <c r="AF144" s="74" t="str">
        <f>VLOOKUP(B144,'ABC расчет'!B:G,6,0)</f>
        <v>C</v>
      </c>
      <c r="AG144" s="74" t="str">
        <f>VLOOKUP(B144,'ABC расчет'!K:P,6,0)</f>
        <v>C</v>
      </c>
      <c r="AH144" s="74" t="str">
        <f>VLOOKUP(B144,'ABC расчет'!T:Y,6,0)</f>
        <v>C</v>
      </c>
      <c r="AI144" s="74" t="str">
        <f>VLOOKUP(B144,'ABC расчет'!AC:AH,6,0)</f>
        <v>C</v>
      </c>
      <c r="AJ144" s="74"/>
      <c r="AK144" s="74"/>
      <c r="AL144" s="19"/>
    </row>
    <row r="145" spans="1:38" x14ac:dyDescent="0.3">
      <c r="A145" s="51" t="s">
        <v>254</v>
      </c>
      <c r="B145" s="21" t="s">
        <v>216</v>
      </c>
      <c r="C145" s="20" t="str">
        <f>IFERROR(VLOOKUP(B145,'Факт продаж'!A:B,2,0),"нет продаж")</f>
        <v>нет продаж</v>
      </c>
      <c r="D145" s="47" t="str">
        <f>IFERROR(VLOOKUP(B145,'Факт продаж'!A:C,3,0),"нет продаж")</f>
        <v>нет продаж</v>
      </c>
      <c r="E145" s="47" t="str">
        <f>IFERROR(VLOOKUP(B145,'Факт продаж'!A:E,5,0),"нет продаж")</f>
        <v>нет продаж</v>
      </c>
      <c r="F145" s="25">
        <f>IFERROR(VLOOKUP(B145,'Факт продаж'!A:C,3,0)/SUM('План Антонова'!$C$11:$C$13),0)</f>
        <v>0</v>
      </c>
      <c r="G145" s="5">
        <f>IFERROR(VLOOKUP(B145,'Факт продаж'!J:K,2,0),"нет продаж")</f>
        <v>268</v>
      </c>
      <c r="H145" s="48">
        <f>IFERROR(VLOOKUP(B145,'Факт продаж'!J:L,3,0),"нет продаж")</f>
        <v>225578.40000000002</v>
      </c>
      <c r="I145" s="48">
        <f>IFERROR(VLOOKUP(B145,'Факт продаж'!J:N,5,0),"нет продаж")</f>
        <v>78272.372821664219</v>
      </c>
      <c r="J145" s="7">
        <f>IFERROR(VLOOKUP(B145,'Факт продаж'!J:L,3,0)/SUM('План Антонова'!$C$14:$C$16),0)</f>
        <v>1.557587323086347E-3</v>
      </c>
      <c r="K145" s="44">
        <f>IFERROR(VLOOKUP(B145,'Факт продаж'!J:O,6,0),"-")</f>
        <v>1</v>
      </c>
      <c r="L145" s="44">
        <f>IF(AND(F145=0,J145&gt;0),5,IF(J145/F145&gt;5,5,IF(J145/F145=0,0.0000001,J145/F145)))</f>
        <v>5</v>
      </c>
      <c r="M145" s="5">
        <f>IFERROR(VLOOKUP(B145,'Факт продаж'!S:T,2,0),"нет продаж")</f>
        <v>57</v>
      </c>
      <c r="N145" s="48">
        <f>IFERROR(VLOOKUP(B145,'Факт продаж'!S:U,3,0),"нет продаж")</f>
        <v>64202.3</v>
      </c>
      <c r="O145" s="48">
        <f>IFERROR(VLOOKUP(B145,'Факт продаж'!S:W,5,0),"нет продаж")</f>
        <v>27654.282557708928</v>
      </c>
      <c r="P145" s="7">
        <f>IFERROR(VLOOKUP(B145,'Факт продаж'!S:U,3,0)/SUM('План Антонова'!$C$17:$C$19),0)</f>
        <v>3.9105944300706649E-4</v>
      </c>
      <c r="Q145" s="44">
        <f>IFERROR(VLOOKUP(B145,'Факт продаж'!S:X,6,0),"-")</f>
        <v>-0.64669165427351427</v>
      </c>
      <c r="R145" s="44">
        <f>IF(AND(J145=0,P145&gt;0),5,IF(P145/J145&gt;5,5,IF(P145/J145=0,0.0000001,P145/J145)))</f>
        <v>0.25106742794502546</v>
      </c>
      <c r="S145" s="16">
        <f>IFERROR(VLOOKUP(B145,'Факт продаж'!AB:AD,2,0),"нет продаж")</f>
        <v>130</v>
      </c>
      <c r="T145" s="16">
        <f>IFERROR(VLOOKUP(B145,'Факт продаж'!AB:AD,3,0),"нет продаж")</f>
        <v>158522.09999999998</v>
      </c>
      <c r="U145" s="16">
        <f>IFERROR(VLOOKUP(B145,'Факт продаж'!AB:AF,5,0),"нет продаж")</f>
        <v>73929.719558440862</v>
      </c>
      <c r="V145" s="7">
        <f>IFERROR(VLOOKUP(B145,'Факт продаж'!AB:AD,3,0)/SUM('План Антонова'!$C$20:$C$22),0)</f>
        <v>1.0301871307062495E-3</v>
      </c>
      <c r="W145" s="44">
        <f>IFERROR(VLOOKUP(B145,'Факт продаж'!AB:AG,6,0),"-")</f>
        <v>1.6733551812152205</v>
      </c>
      <c r="X145" s="44">
        <f>IF(AND(P145=0,V145&gt;0),5,IF(V145/P145&gt;5,5,IF(V145/P145=0,0.0000001,V145/P145)))</f>
        <v>2.6343491996628092</v>
      </c>
      <c r="Y145" s="44">
        <f>IFERROR(VLOOKUP(B145,'Факт продаж'!AB:AH,7,0),"-")</f>
        <v>1</v>
      </c>
      <c r="Z145" s="44">
        <f>IF(AND(F145=0,V145&gt;0),5,IF(V145/F145&gt;5,5,IF(V145/F145=0,0.0000001,V145/F145)))</f>
        <v>5</v>
      </c>
      <c r="AB145" s="10" t="str">
        <f>IFERROR(VLOOKUP(VALUE(IF(L145&lt;1,1,0)&amp;IF(J145&lt;'Факт продаж'!$M$24,0,1)),$AB$1:$AC$4,2,FALSE),"НЕТ ПРОДАЖ")</f>
        <v>Звезда</v>
      </c>
      <c r="AC145" s="10" t="str">
        <f>IFERROR(VLOOKUP(VALUE(IF(R145&lt;1,1,0)&amp;IF(P145&lt;'Факт продаж'!$V$24,0,1)),$AB$1:$AC$4,2,FALSE),"НЕТ ПРОДАЖ")</f>
        <v>Собака</v>
      </c>
      <c r="AD145" s="10" t="str">
        <f>IFERROR(VLOOKUP(VALUE(IF(X145&lt;1,1,0)&amp;IF(V145&lt;'Факт продаж'!$AE$24,0,1)),$AB$1:$AC$4,2,FALSE),"НЕТ ПРОДАЖ")</f>
        <v>Звезда</v>
      </c>
      <c r="AE145" s="18" t="str">
        <f>IFERROR(VLOOKUP(VALUE(IF(Z145&lt;1,1,0)&amp;IF(V145&lt;'Факт продаж'!$AE$24,0,1)),$AB$1:$AC$4,2,FALSE),"НЕТ ПРОДАЖ")</f>
        <v>Звезда</v>
      </c>
      <c r="AF145" s="74" t="str">
        <f>VLOOKUP(B145,'ABC расчет'!B:G,6,0)</f>
        <v>C</v>
      </c>
      <c r="AG145" s="74" t="str">
        <f>VLOOKUP(B145,'ABC расчет'!K:P,6,0)</f>
        <v>A</v>
      </c>
      <c r="AH145" s="74" t="str">
        <f>VLOOKUP(B145,'ABC расчет'!T:Y,6,0)</f>
        <v>C</v>
      </c>
      <c r="AI145" s="74" t="str">
        <f>VLOOKUP(B145,'ABC расчет'!AC:AH,6,0)</f>
        <v>B</v>
      </c>
      <c r="AJ145" s="74"/>
      <c r="AK145" s="74"/>
      <c r="AL145" s="19"/>
    </row>
    <row r="146" spans="1:38" x14ac:dyDescent="0.3">
      <c r="A146" s="51" t="s">
        <v>251</v>
      </c>
      <c r="B146" s="21" t="s">
        <v>336</v>
      </c>
      <c r="C146" s="20">
        <f>IFERROR(VLOOKUP(B146,'Факт продаж'!A:B,2,0),"нет продаж")</f>
        <v>93</v>
      </c>
      <c r="D146" s="47">
        <f>IFERROR(VLOOKUP(B146,'Факт продаж'!A:C,3,0),"нет продаж")</f>
        <v>582867.73059999989</v>
      </c>
      <c r="E146" s="47">
        <f>IFERROR(VLOOKUP(B146,'Факт продаж'!A:E,5,0),"нет продаж")</f>
        <v>232010.1792164552</v>
      </c>
      <c r="F146" s="25">
        <f>IFERROR(VLOOKUP(B146,'Факт продаж'!A:C,3,0)/SUM('План Антонова'!$C$11:$C$13),0)</f>
        <v>4.4257764206811394E-3</v>
      </c>
      <c r="G146" s="5">
        <f>IFERROR(VLOOKUP(B146,'Факт продаж'!J:K,2,0),"нет продаж")</f>
        <v>14</v>
      </c>
      <c r="H146" s="48">
        <f>IFERROR(VLOOKUP(B146,'Факт продаж'!J:L,3,0),"нет продаж")</f>
        <v>87852.41</v>
      </c>
      <c r="I146" s="48">
        <f>IFERROR(VLOOKUP(B146,'Факт продаж'!J:N,5,0),"нет продаж")</f>
        <v>33605.634161899965</v>
      </c>
      <c r="J146" s="7">
        <f>IFERROR(VLOOKUP(B146,'Факт продаж'!J:L,3,0)/SUM('План Антонова'!$C$14:$C$16),0)</f>
        <v>6.066086119884892E-4</v>
      </c>
      <c r="K146" s="44">
        <f>IFERROR(VLOOKUP(B146,'Факт продаж'!J:O,6,0),"-")</f>
        <v>-0.85515448384466186</v>
      </c>
      <c r="L146" s="44">
        <f>IF(AND(F146=0,J146&gt;0),5,IF(J146/F146&gt;5,5,IF(J146/F146=0,0.0000001,J146/F146)))</f>
        <v>0.13706264264816395</v>
      </c>
      <c r="M146" s="5">
        <f>IFERROR(VLOOKUP(B146,'Факт продаж'!S:T,2,0),"нет продаж")</f>
        <v>8</v>
      </c>
      <c r="N146" s="48">
        <f>IFERROR(VLOOKUP(B146,'Факт продаж'!S:U,3,0),"нет продаж")</f>
        <v>58126.8</v>
      </c>
      <c r="O146" s="48">
        <f>IFERROR(VLOOKUP(B146,'Факт продаж'!S:W,5,0),"нет продаж")</f>
        <v>27301.69826891282</v>
      </c>
      <c r="P146" s="7">
        <f>IFERROR(VLOOKUP(B146,'Факт продаж'!S:U,3,0)/SUM('План Антонова'!$C$17:$C$19),0)</f>
        <v>3.5405326649953588E-4</v>
      </c>
      <c r="Q146" s="44">
        <f>IFERROR(VLOOKUP(B146,'Факт продаж'!S:X,6,0),"-")</f>
        <v>-0.18758568466873826</v>
      </c>
      <c r="R146" s="44">
        <f>IF(AND(J146=0,P146&gt;0),5,IF(P146/J146&gt;5,5,IF(P146/J146=0,0.0000001,P146/J146)))</f>
        <v>0.58366013851820209</v>
      </c>
      <c r="S146" s="16">
        <f>IFERROR(VLOOKUP(B146,'Факт продаж'!AB:AD,2,0),"нет продаж")</f>
        <v>24</v>
      </c>
      <c r="T146" s="16">
        <f>IFERROR(VLOOKUP(B146,'Факт продаж'!AB:AD,3,0),"нет продаж")</f>
        <v>157124.4</v>
      </c>
      <c r="U146" s="16">
        <f>IFERROR(VLOOKUP(B146,'Факт продаж'!AB:AF,5,0),"нет продаж")</f>
        <v>69505.885551140964</v>
      </c>
      <c r="V146" s="7">
        <f>IFERROR(VLOOKUP(B146,'Факт продаж'!AB:AD,3,0)/SUM('План Антонова'!$C$20:$C$22),0)</f>
        <v>1.0211039016007298E-3</v>
      </c>
      <c r="W146" s="44">
        <f>IFERROR(VLOOKUP(B146,'Факт продаж'!AB:AG,6,0),"-")</f>
        <v>1.5458447627151495</v>
      </c>
      <c r="X146" s="44">
        <f>IF(AND(P146=0,V146&gt;0),5,IF(V146/P146&gt;5,5,IF(V146/P146=0,0.0000001,V146/P146)))</f>
        <v>2.8840403357839612</v>
      </c>
      <c r="Y146" s="44">
        <f>IFERROR(VLOOKUP(B146,'Факт продаж'!AB:AH,7,0),"-")</f>
        <v>-0.70041881013205431</v>
      </c>
      <c r="Z146" s="44">
        <f>IF(AND(F146=0,V146&gt;0),5,IF(V146/F146&gt;5,5,IF(V146/F146=0,0.0000001,V146/F146)))</f>
        <v>0.23071746164791104</v>
      </c>
      <c r="AB146" s="10" t="str">
        <f>IFERROR(VLOOKUP(VALUE(IF(L146&lt;1,1,0)&amp;IF(J146&lt;'Факт продаж'!$M$24,0,1)),$AB$1:$AC$4,2,FALSE),"НЕТ ПРОДАЖ")</f>
        <v>Собака</v>
      </c>
      <c r="AC146" s="10" t="str">
        <f>IFERROR(VLOOKUP(VALUE(IF(R146&lt;1,1,0)&amp;IF(P146&lt;'Факт продаж'!$V$24,0,1)),$AB$1:$AC$4,2,FALSE),"НЕТ ПРОДАЖ")</f>
        <v>Собака</v>
      </c>
      <c r="AD146" s="10" t="str">
        <f>IFERROR(VLOOKUP(VALUE(IF(X146&lt;1,1,0)&amp;IF(V146&lt;'Факт продаж'!$AE$24,0,1)),$AB$1:$AC$4,2,FALSE),"НЕТ ПРОДАЖ")</f>
        <v>Звезда</v>
      </c>
      <c r="AE146" s="18" t="str">
        <f>IFERROR(VLOOKUP(VALUE(IF(Z146&lt;1,1,0)&amp;IF(V146&lt;'Факт продаж'!$AE$24,0,1)),$AB$1:$AC$4,2,FALSE),"НЕТ ПРОДАЖ")</f>
        <v>Корова</v>
      </c>
      <c r="AF146" s="74" t="str">
        <f>VLOOKUP(B146,'ABC расчет'!B:G,6,0)</f>
        <v>A</v>
      </c>
      <c r="AG146" s="74" t="str">
        <f>VLOOKUP(B146,'ABC расчет'!K:P,6,0)</f>
        <v>C</v>
      </c>
      <c r="AH146" s="74" t="str">
        <f>VLOOKUP(B146,'ABC расчет'!T:Y,6,0)</f>
        <v>C</v>
      </c>
      <c r="AI146" s="74" t="str">
        <f>VLOOKUP(B146,'ABC расчет'!AC:AH,6,0)</f>
        <v>C</v>
      </c>
      <c r="AJ146" s="74" t="s">
        <v>452</v>
      </c>
      <c r="AK146" s="74"/>
      <c r="AL146" s="19"/>
    </row>
    <row r="147" spans="1:38" x14ac:dyDescent="0.3">
      <c r="A147" s="51" t="s">
        <v>272</v>
      </c>
      <c r="B147" s="21" t="s">
        <v>101</v>
      </c>
      <c r="C147" s="20">
        <f>IFERROR(VLOOKUP(B147,'Факт продаж'!A:B,2,0),"нет продаж")</f>
        <v>4</v>
      </c>
      <c r="D147" s="47">
        <f>IFERROR(VLOOKUP(B147,'Факт продаж'!A:C,3,0),"нет продаж")</f>
        <v>11501.8012</v>
      </c>
      <c r="E147" s="47">
        <f>IFERROR(VLOOKUP(B147,'Факт продаж'!A:E,5,0),"нет продаж")</f>
        <v>5469.1201156043207</v>
      </c>
      <c r="F147" s="25">
        <f>IFERROR(VLOOKUP(B147,'Факт продаж'!A:C,3,0)/SUM('План Антонова'!$C$11:$C$13),0)</f>
        <v>8.7334394878785636E-5</v>
      </c>
      <c r="G147" s="5">
        <f>IFERROR(VLOOKUP(B147,'Факт продаж'!J:K,2,0),"нет продаж")</f>
        <v>45</v>
      </c>
      <c r="H147" s="48">
        <f>IFERROR(VLOOKUP(B147,'Факт продаж'!J:L,3,0),"нет продаж")</f>
        <v>123032.3</v>
      </c>
      <c r="I147" s="48">
        <f>IFERROR(VLOOKUP(B147,'Факт продаж'!J:N,5,0),"нет продаж")</f>
        <v>33334.217982819609</v>
      </c>
      <c r="J147" s="7">
        <f>IFERROR(VLOOKUP(B147,'Факт продаж'!J:L,3,0)/SUM('План Антонова'!$C$14:$C$16),0)</f>
        <v>8.495208353732288E-4</v>
      </c>
      <c r="K147" s="44">
        <f>IFERROR(VLOOKUP(B147,'Факт продаж'!J:O,6,0),"-")</f>
        <v>5.09498736144256</v>
      </c>
      <c r="L147" s="44">
        <f>IF(AND(F147=0,J147&gt;0),5,IF(J147/F147&gt;5,5,IF(J147/F147=0,0.0000001,J147/F147)))</f>
        <v>5</v>
      </c>
      <c r="M147" s="5">
        <f>IFERROR(VLOOKUP(B147,'Факт продаж'!S:T,2,0),"нет продаж")</f>
        <v>51</v>
      </c>
      <c r="N147" s="48">
        <f>IFERROR(VLOOKUP(B147,'Факт продаж'!S:U,3,0),"нет продаж")</f>
        <v>151012</v>
      </c>
      <c r="O147" s="48">
        <f>IFERROR(VLOOKUP(B147,'Факт продаж'!S:W,5,0),"нет продаж")</f>
        <v>32867.974650707358</v>
      </c>
      <c r="P147" s="7">
        <f>IFERROR(VLOOKUP(B147,'Факт продаж'!S:U,3,0)/SUM('План Антонова'!$C$17:$C$19),0)</f>
        <v>9.1982169809154998E-4</v>
      </c>
      <c r="Q147" s="44">
        <f>IFERROR(VLOOKUP(B147,'Факт продаж'!S:X,6,0),"-")</f>
        <v>-1.3986928757487305E-2</v>
      </c>
      <c r="R147" s="44">
        <f>IF(AND(J147=0,P147&gt;0),5,IF(P147/J147&gt;5,5,IF(P147/J147=0,0.0000001,P147/J147)))</f>
        <v>1.0827535474011478</v>
      </c>
      <c r="S147" s="16">
        <f>IFERROR(VLOOKUP(B147,'Факт продаж'!AB:AD,2,0),"нет продаж")</f>
        <v>90</v>
      </c>
      <c r="T147" s="16">
        <f>IFERROR(VLOOKUP(B147,'Факт продаж'!AB:AD,3,0),"нет продаж")</f>
        <v>272538.2</v>
      </c>
      <c r="U147" s="16">
        <f>IFERROR(VLOOKUP(B147,'Факт продаж'!AB:AF,5,0),"нет продаж")</f>
        <v>66813.424727849721</v>
      </c>
      <c r="V147" s="7">
        <f>IFERROR(VLOOKUP(B147,'Факт продаж'!AB:AD,3,0)/SUM('План Антонова'!$C$20:$C$22),0)</f>
        <v>1.7711432429033305E-3</v>
      </c>
      <c r="W147" s="44">
        <f>IFERROR(VLOOKUP(B147,'Факт продаж'!AB:AG,6,0),"-")</f>
        <v>1.0327819233732987</v>
      </c>
      <c r="X147" s="44">
        <f>IF(AND(P147=0,V147&gt;0),5,IF(V147/P147&gt;5,5,IF(V147/P147=0,0.0000001,V147/P147)))</f>
        <v>1.9255288786708402</v>
      </c>
      <c r="Y147" s="44">
        <f>IFERROR(VLOOKUP(B147,'Факт продаж'!AB:AH,7,0),"-")</f>
        <v>11.216485159508522</v>
      </c>
      <c r="Z147" s="44">
        <f>IF(AND(F147=0,V147&gt;0),5,IF(V147/F147&gt;5,5,IF(V147/F147=0,0.0000001,V147/F147)))</f>
        <v>5</v>
      </c>
      <c r="AB147" s="10" t="str">
        <f>IFERROR(VLOOKUP(VALUE(IF(L147&lt;1,1,0)&amp;IF(J147&lt;'Факт продаж'!$M$24,0,1)),$AB$1:$AC$4,2,FALSE),"НЕТ ПРОДАЖ")</f>
        <v>Звезда</v>
      </c>
      <c r="AC147" s="10" t="str">
        <f>IFERROR(VLOOKUP(VALUE(IF(R147&lt;1,1,0)&amp;IF(P147&lt;'Факт продаж'!$V$24,0,1)),$AB$1:$AC$4,2,FALSE),"НЕТ ПРОДАЖ")</f>
        <v>Темная лошадка</v>
      </c>
      <c r="AD147" s="10" t="str">
        <f>IFERROR(VLOOKUP(VALUE(IF(X147&lt;1,1,0)&amp;IF(V147&lt;'Факт продаж'!$AE$24,0,1)),$AB$1:$AC$4,2,FALSE),"НЕТ ПРОДАЖ")</f>
        <v>Звезда</v>
      </c>
      <c r="AE147" s="18" t="str">
        <f>IFERROR(VLOOKUP(VALUE(IF(Z147&lt;1,1,0)&amp;IF(V147&lt;'Факт продаж'!$AE$24,0,1)),$AB$1:$AC$4,2,FALSE),"НЕТ ПРОДАЖ")</f>
        <v>Звезда</v>
      </c>
      <c r="AF147" s="74" t="str">
        <f>VLOOKUP(B147,'ABC расчет'!B:G,6,0)</f>
        <v>A</v>
      </c>
      <c r="AG147" s="74" t="str">
        <f>VLOOKUP(B147,'ABC расчет'!K:P,6,0)</f>
        <v>A</v>
      </c>
      <c r="AH147" s="74" t="str">
        <f>VLOOKUP(B147,'ABC расчет'!T:Y,6,0)</f>
        <v>A</v>
      </c>
      <c r="AI147" s="74" t="str">
        <f>VLOOKUP(B147,'ABC расчет'!AC:AH,6,0)</f>
        <v>A</v>
      </c>
      <c r="AJ147" s="74"/>
      <c r="AK147" s="74"/>
      <c r="AL147" s="19"/>
    </row>
    <row r="148" spans="1:38" x14ac:dyDescent="0.3">
      <c r="A148" s="51" t="s">
        <v>116</v>
      </c>
      <c r="B148" s="21" t="s">
        <v>59</v>
      </c>
      <c r="C148" s="20" t="str">
        <f>IFERROR(VLOOKUP(B148,'Факт продаж'!A:B,2,0),"нет продаж")</f>
        <v>нет продаж</v>
      </c>
      <c r="D148" s="47" t="str">
        <f>IFERROR(VLOOKUP(B148,'Факт продаж'!A:C,3,0),"нет продаж")</f>
        <v>нет продаж</v>
      </c>
      <c r="E148" s="47" t="str">
        <f>IFERROR(VLOOKUP(B148,'Факт продаж'!A:E,5,0),"нет продаж")</f>
        <v>нет продаж</v>
      </c>
      <c r="F148" s="25">
        <f>IFERROR(VLOOKUP(B148,'Факт продаж'!A:C,3,0)/SUM('План Антонова'!$C$11:$C$13),0)</f>
        <v>0</v>
      </c>
      <c r="G148" s="5">
        <f>IFERROR(VLOOKUP(B148,'Факт продаж'!J:K,2,0),"нет продаж")</f>
        <v>114</v>
      </c>
      <c r="H148" s="48">
        <f>IFERROR(VLOOKUP(B148,'Факт продаж'!J:L,3,0),"нет продаж")</f>
        <v>129405.2</v>
      </c>
      <c r="I148" s="48">
        <f>IFERROR(VLOOKUP(B148,'Факт продаж'!J:N,5,0),"нет продаж")</f>
        <v>54099.040422300233</v>
      </c>
      <c r="J148" s="7">
        <f>IFERROR(VLOOKUP(B148,'Факт продаж'!J:L,3,0)/SUM('План Антонова'!$C$14:$C$16),0)</f>
        <v>8.9352481913806156E-4</v>
      </c>
      <c r="K148" s="44">
        <f>IFERROR(VLOOKUP(B148,'Факт продаж'!J:O,6,0),"-")</f>
        <v>1</v>
      </c>
      <c r="L148" s="44">
        <f>IF(AND(F148=0,J148&gt;0),5,IF(J148/F148&gt;5,5,IF(J148/F148=0,0.0000001,J148/F148)))</f>
        <v>5</v>
      </c>
      <c r="M148" s="5">
        <f>IFERROR(VLOOKUP(B148,'Факт продаж'!S:T,2,0),"нет продаж")</f>
        <v>78</v>
      </c>
      <c r="N148" s="48">
        <f>IFERROR(VLOOKUP(B148,'Факт продаж'!S:U,3,0),"нет продаж")</f>
        <v>100460.798</v>
      </c>
      <c r="O148" s="48">
        <f>IFERROR(VLOOKUP(B148,'Факт продаж'!S:W,5,0),"нет продаж")</f>
        <v>41705.85745039535</v>
      </c>
      <c r="P148" s="7">
        <f>IFERROR(VLOOKUP(B148,'Факт продаж'!S:U,3,0)/SUM('План Антонова'!$C$17:$C$19),0)</f>
        <v>6.1191178057367756E-4</v>
      </c>
      <c r="Q148" s="44">
        <f>IFERROR(VLOOKUP(B148,'Факт продаж'!S:X,6,0),"-")</f>
        <v>-0.22908323096237904</v>
      </c>
      <c r="R148" s="44">
        <f>IF(AND(J148=0,P148&gt;0),5,IF(P148/J148&gt;5,5,IF(P148/J148=0,0.0000001,P148/J148)))</f>
        <v>0.68482908081272775</v>
      </c>
      <c r="S148" s="16">
        <f>IFERROR(VLOOKUP(B148,'Факт продаж'!AB:AD,2,0),"нет продаж")</f>
        <v>129</v>
      </c>
      <c r="T148" s="16">
        <f>IFERROR(VLOOKUP(B148,'Факт продаж'!AB:AD,3,0),"нет продаж")</f>
        <v>161030.39999999999</v>
      </c>
      <c r="U148" s="16">
        <f>IFERROR(VLOOKUP(B148,'Факт продаж'!AB:AF,5,0),"нет продаж")</f>
        <v>66789.538939139835</v>
      </c>
      <c r="V148" s="7">
        <f>IFERROR(VLOOKUP(B148,'Факт продаж'!AB:AD,3,0)/SUM('План Антонова'!$C$20:$C$22),0)</f>
        <v>1.046487812945196E-3</v>
      </c>
      <c r="W148" s="44">
        <f>IFERROR(VLOOKUP(B148,'Факт продаж'!AB:AG,6,0),"-")</f>
        <v>0.6014426515167286</v>
      </c>
      <c r="X148" s="44">
        <f>IF(AND(P148=0,V148&gt;0),5,IF(V148/P148&gt;5,5,IF(V148/P148=0,0.0000001,V148/P148)))</f>
        <v>1.7101939301840146</v>
      </c>
      <c r="Y148" s="44">
        <f>IFERROR(VLOOKUP(B148,'Факт продаж'!AB:AH,7,0),"-")</f>
        <v>1</v>
      </c>
      <c r="Z148" s="44">
        <f>IF(AND(F148=0,V148&gt;0),5,IF(V148/F148&gt;5,5,IF(V148/F148=0,0.0000001,V148/F148)))</f>
        <v>5</v>
      </c>
      <c r="AB148" s="10" t="str">
        <f>IFERROR(VLOOKUP(VALUE(IF(L148&lt;1,1,0)&amp;IF(J148&lt;'Факт продаж'!$M$24,0,1)),$AB$1:$AC$4,2,FALSE),"НЕТ ПРОДАЖ")</f>
        <v>Звезда</v>
      </c>
      <c r="AC148" s="10" t="str">
        <f>IFERROR(VLOOKUP(VALUE(IF(R148&lt;1,1,0)&amp;IF(P148&lt;'Факт продаж'!$V$24,0,1)),$AB$1:$AC$4,2,FALSE),"НЕТ ПРОДАЖ")</f>
        <v>Собака</v>
      </c>
      <c r="AD148" s="10" t="str">
        <f>IFERROR(VLOOKUP(VALUE(IF(X148&lt;1,1,0)&amp;IF(V148&lt;'Факт продаж'!$AE$24,0,1)),$AB$1:$AC$4,2,FALSE),"НЕТ ПРОДАЖ")</f>
        <v>Звезда</v>
      </c>
      <c r="AE148" s="18" t="str">
        <f>IFERROR(VLOOKUP(VALUE(IF(Z148&lt;1,1,0)&amp;IF(V148&lt;'Факт продаж'!$AE$24,0,1)),$AB$1:$AC$4,2,FALSE),"НЕТ ПРОДАЖ")</f>
        <v>Звезда</v>
      </c>
      <c r="AF148" s="74" t="str">
        <f>VLOOKUP(B148,'ABC расчет'!B:G,6,0)</f>
        <v>C</v>
      </c>
      <c r="AG148" s="74" t="str">
        <f>VLOOKUP(B148,'ABC расчет'!K:P,6,0)</f>
        <v>C</v>
      </c>
      <c r="AH148" s="74" t="str">
        <f>VLOOKUP(B148,'ABC расчет'!T:Y,6,0)</f>
        <v>C</v>
      </c>
      <c r="AI148" s="74" t="str">
        <f>VLOOKUP(B148,'ABC расчет'!AC:AH,6,0)</f>
        <v>C</v>
      </c>
      <c r="AJ148" s="74"/>
      <c r="AK148" s="74"/>
      <c r="AL148" s="19"/>
    </row>
    <row r="149" spans="1:38" x14ac:dyDescent="0.3">
      <c r="A149" s="51" t="s">
        <v>247</v>
      </c>
      <c r="B149" s="21" t="s">
        <v>114</v>
      </c>
      <c r="C149" s="20" t="str">
        <f>IFERROR(VLOOKUP(B149,'Факт продаж'!A:B,2,0),"нет продаж")</f>
        <v>нет продаж</v>
      </c>
      <c r="D149" s="47" t="str">
        <f>IFERROR(VLOOKUP(B149,'Факт продаж'!A:C,3,0),"нет продаж")</f>
        <v>нет продаж</v>
      </c>
      <c r="E149" s="47" t="str">
        <f>IFERROR(VLOOKUP(B149,'Факт продаж'!A:E,5,0),"нет продаж")</f>
        <v>нет продаж</v>
      </c>
      <c r="F149" s="25">
        <f>IFERROR(VLOOKUP(B149,'Факт продаж'!A:C,3,0)/SUM('План Антонова'!$C$11:$C$13),0)</f>
        <v>0</v>
      </c>
      <c r="G149" s="5">
        <f>IFERROR(VLOOKUP(B149,'Факт продаж'!J:K,2,0),"нет продаж")</f>
        <v>56</v>
      </c>
      <c r="H149" s="48">
        <f>IFERROR(VLOOKUP(B149,'Факт продаж'!J:L,3,0),"нет продаж")</f>
        <v>65811.399999999994</v>
      </c>
      <c r="I149" s="48">
        <f>IFERROR(VLOOKUP(B149,'Факт продаж'!J:N,5,0),"нет продаж")</f>
        <v>23168.917292955273</v>
      </c>
      <c r="J149" s="7">
        <f>IFERROR(VLOOKUP(B149,'Факт продаж'!J:L,3,0)/SUM('План Антонова'!$C$14:$C$16),0)</f>
        <v>4.5441851859293617E-4</v>
      </c>
      <c r="K149" s="44">
        <f>IFERROR(VLOOKUP(B149,'Факт продаж'!J:O,6,0),"-")</f>
        <v>1</v>
      </c>
      <c r="L149" s="44">
        <f>IF(AND(F149=0,J149&gt;0),5,IF(J149/F149&gt;5,5,IF(J149/F149=0,0.0000001,J149/F149)))</f>
        <v>5</v>
      </c>
      <c r="M149" s="5">
        <f>IFERROR(VLOOKUP(B149,'Факт продаж'!S:T,2,0),"нет продаж")</f>
        <v>119</v>
      </c>
      <c r="N149" s="48">
        <f>IFERROR(VLOOKUP(B149,'Факт продаж'!S:U,3,0),"нет продаж")</f>
        <v>134196.32</v>
      </c>
      <c r="O149" s="48">
        <f>IFERROR(VLOOKUP(B149,'Факт продаж'!S:W,5,0),"нет продаж")</f>
        <v>62841.610125600804</v>
      </c>
      <c r="P149" s="7">
        <f>IFERROR(VLOOKUP(B149,'Факт продаж'!S:U,3,0)/SUM('План Антонова'!$C$17:$C$19),0)</f>
        <v>8.173965442483845E-4</v>
      </c>
      <c r="Q149" s="44">
        <f>IFERROR(VLOOKUP(B149,'Факт продаж'!S:X,6,0),"-")</f>
        <v>1.7123239869611164</v>
      </c>
      <c r="R149" s="44">
        <f>IF(AND(J149=0,P149&gt;0),5,IF(P149/J149&gt;5,5,IF(P149/J149=0,0.0000001,P149/J149)))</f>
        <v>1.7987747215482663</v>
      </c>
      <c r="S149" s="16">
        <f>IFERROR(VLOOKUP(B149,'Факт продаж'!AB:AD,2,0),"нет продаж")</f>
        <v>135</v>
      </c>
      <c r="T149" s="16">
        <f>IFERROR(VLOOKUP(B149,'Факт продаж'!AB:AD,3,0),"нет продаж")</f>
        <v>158441.72</v>
      </c>
      <c r="U149" s="16">
        <f>IFERROR(VLOOKUP(B149,'Факт продаж'!AB:AF,5,0),"нет продаж")</f>
        <v>64758.09171857786</v>
      </c>
      <c r="V149" s="7">
        <f>IFERROR(VLOOKUP(B149,'Факт продаж'!AB:AD,3,0)/SUM('План Антонова'!$C$20:$C$22),0)</f>
        <v>1.0296647654236414E-3</v>
      </c>
      <c r="W149" s="44">
        <f>IFERROR(VLOOKUP(B149,'Факт продаж'!AB:AG,6,0),"-")</f>
        <v>3.0497016055868187E-2</v>
      </c>
      <c r="X149" s="44">
        <f>IF(AND(P149=0,V149&gt;0),5,IF(V149/P149&gt;5,5,IF(V149/P149=0,0.0000001,V149/P149)))</f>
        <v>1.2596881803194342</v>
      </c>
      <c r="Y149" s="44">
        <f>IFERROR(VLOOKUP(B149,'Факт продаж'!AB:AH,7,0),"-")</f>
        <v>1</v>
      </c>
      <c r="Z149" s="44">
        <f>IF(AND(F149=0,V149&gt;0),5,IF(V149/F149&gt;5,5,IF(V149/F149=0,0.0000001,V149/F149)))</f>
        <v>5</v>
      </c>
      <c r="AB149" s="10" t="str">
        <f>IFERROR(VLOOKUP(VALUE(IF(L149&lt;1,1,0)&amp;IF(J149&lt;'Факт продаж'!$M$24,0,1)),$AB$1:$AC$4,2,FALSE),"НЕТ ПРОДАЖ")</f>
        <v>Темная лошадка</v>
      </c>
      <c r="AC149" s="10" t="str">
        <f>IFERROR(VLOOKUP(VALUE(IF(R149&lt;1,1,0)&amp;IF(P149&lt;'Факт продаж'!$V$24,0,1)),$AB$1:$AC$4,2,FALSE),"НЕТ ПРОДАЖ")</f>
        <v>Темная лошадка</v>
      </c>
      <c r="AD149" s="10" t="str">
        <f>IFERROR(VLOOKUP(VALUE(IF(X149&lt;1,1,0)&amp;IF(V149&lt;'Факт продаж'!$AE$24,0,1)),$AB$1:$AC$4,2,FALSE),"НЕТ ПРОДАЖ")</f>
        <v>Звезда</v>
      </c>
      <c r="AE149" s="18" t="str">
        <f>IFERROR(VLOOKUP(VALUE(IF(Z149&lt;1,1,0)&amp;IF(V149&lt;'Факт продаж'!$AE$24,0,1)),$AB$1:$AC$4,2,FALSE),"НЕТ ПРОДАЖ")</f>
        <v>Звезда</v>
      </c>
      <c r="AF149" s="74" t="str">
        <f>VLOOKUP(B149,'ABC расчет'!B:G,6,0)</f>
        <v>C</v>
      </c>
      <c r="AG149" s="74" t="str">
        <f>VLOOKUP(B149,'ABC расчет'!K:P,6,0)</f>
        <v>B</v>
      </c>
      <c r="AH149" s="74" t="str">
        <f>VLOOKUP(B149,'ABC расчет'!T:Y,6,0)</f>
        <v>A</v>
      </c>
      <c r="AI149" s="74" t="str">
        <f>VLOOKUP(B149,'ABC расчет'!AC:AH,6,0)</f>
        <v>A</v>
      </c>
      <c r="AJ149" s="74"/>
      <c r="AK149" s="74"/>
      <c r="AL149" s="19"/>
    </row>
    <row r="150" spans="1:38" x14ac:dyDescent="0.3">
      <c r="A150" s="5" t="s">
        <v>252</v>
      </c>
      <c r="B150" s="21" t="s">
        <v>95</v>
      </c>
      <c r="C150" s="20">
        <f>IFERROR(VLOOKUP(B150,'Факт продаж'!A:B,2,0),"нет продаж")</f>
        <v>656</v>
      </c>
      <c r="D150" s="47">
        <f>IFERROR(VLOOKUP(B150,'Факт продаж'!A:C,3,0),"нет продаж")</f>
        <v>260404.3762</v>
      </c>
      <c r="E150" s="47">
        <f>IFERROR(VLOOKUP(B150,'Факт продаж'!A:E,5,0),"нет продаж")</f>
        <v>119379.7965797995</v>
      </c>
      <c r="F150" s="25">
        <f>IFERROR(VLOOKUP(B150,'Факт продаж'!A:C,3,0)/SUM('План Антонова'!$C$11:$C$13),0)</f>
        <v>1.9772780127007106E-3</v>
      </c>
      <c r="G150" s="5">
        <f>IFERROR(VLOOKUP(B150,'Факт продаж'!J:K,2,0),"нет продаж")</f>
        <v>192</v>
      </c>
      <c r="H150" s="48">
        <f>IFERROR(VLOOKUP(B150,'Факт продаж'!J:L,3,0),"нет продаж")</f>
        <v>90297</v>
      </c>
      <c r="I150" s="48">
        <f>IFERROR(VLOOKUP(B150,'Факт продаж'!J:N,5,0),"нет продаж")</f>
        <v>46065.678644280248</v>
      </c>
      <c r="J150" s="7">
        <f>IFERROR(VLOOKUP(B150,'Факт продаж'!J:L,3,0)/SUM('План Антонова'!$C$14:$C$16),0)</f>
        <v>6.2348816426008812E-4</v>
      </c>
      <c r="K150" s="44">
        <f>IFERROR(VLOOKUP(B150,'Факт продаж'!J:O,6,0),"-")</f>
        <v>-0.61412500302354245</v>
      </c>
      <c r="L150" s="44">
        <f>IF(AND(F150=0,J150&gt;0),5,IF(J150/F150&gt;5,5,IF(J150/F150=0,0.0000001,J150/F150)))</f>
        <v>0.31532650454575301</v>
      </c>
      <c r="M150" s="5">
        <f>IFERROR(VLOOKUP(B150,'Факт продаж'!S:T,2,0),"нет продаж")</f>
        <v>154</v>
      </c>
      <c r="N150" s="48">
        <f>IFERROR(VLOOKUP(B150,'Факт продаж'!S:U,3,0),"нет продаж")</f>
        <v>76896.960000000021</v>
      </c>
      <c r="O150" s="48">
        <f>IFERROR(VLOOKUP(B150,'Факт продаж'!S:W,5,0),"нет продаж")</f>
        <v>39258.367184184921</v>
      </c>
      <c r="P150" s="7">
        <f>IFERROR(VLOOKUP(B150,'Факт продаж'!S:U,3,0)/SUM('План Антонова'!$C$17:$C$19),0)</f>
        <v>4.6838325646490357E-4</v>
      </c>
      <c r="Q150" s="44">
        <f>IFERROR(VLOOKUP(B150,'Факт продаж'!S:X,6,0),"-")</f>
        <v>-0.14777404046647113</v>
      </c>
      <c r="R150" s="44">
        <f>IF(AND(J150=0,P150&gt;0),5,IF(P150/J150&gt;5,5,IF(P150/J150=0,0.0000001,P150/J150)))</f>
        <v>0.75123038946657128</v>
      </c>
      <c r="S150" s="16">
        <f>IFERROR(VLOOKUP(B150,'Факт продаж'!AB:AD,2,0),"нет продаж")</f>
        <v>245</v>
      </c>
      <c r="T150" s="16">
        <f>IFERROR(VLOOKUP(B150,'Факт продаж'!AB:AD,3,0),"нет продаж")</f>
        <v>123783.6</v>
      </c>
      <c r="U150" s="16">
        <f>IFERROR(VLOOKUP(B150,'Факт продаж'!AB:AF,5,0),"нет продаж")</f>
        <v>63728.735798047535</v>
      </c>
      <c r="V150" s="7">
        <f>IFERROR(VLOOKUP(B150,'Факт продаж'!AB:AD,3,0)/SUM('План Антонова'!$C$20:$C$22),0)</f>
        <v>8.0443213730129826E-4</v>
      </c>
      <c r="W150" s="44">
        <f>IFERROR(VLOOKUP(B150,'Факт продаж'!AB:AG,6,0),"-")</f>
        <v>0.62331600545323762</v>
      </c>
      <c r="X150" s="44">
        <f>IF(AND(P150=0,V150&gt;0),5,IF(V150/P150&gt;5,5,IF(V150/P150=0,0.0000001,V150/P150)))</f>
        <v>1.7174656143191471</v>
      </c>
      <c r="Y150" s="44">
        <f>IFERROR(VLOOKUP(B150,'Факт продаж'!AB:AH,7,0),"-")</f>
        <v>-0.46616816560373331</v>
      </c>
      <c r="Z150" s="44">
        <f>IF(AND(F150=0,V150&gt;0),5,IF(V150/F150&gt;5,5,IF(V150/F150=0,0.0000001,V150/F150)))</f>
        <v>0.40683815433852227</v>
      </c>
      <c r="AB150" s="10" t="str">
        <f>IFERROR(VLOOKUP(VALUE(IF(L150&lt;1,1,0)&amp;IF(J150&lt;'Факт продаж'!$M$24,0,1)),$AB$1:$AC$4,2,FALSE),"НЕТ ПРОДАЖ")</f>
        <v>Собака</v>
      </c>
      <c r="AC150" s="10" t="str">
        <f>IFERROR(VLOOKUP(VALUE(IF(R150&lt;1,1,0)&amp;IF(P150&lt;'Факт продаж'!$V$24,0,1)),$AB$1:$AC$4,2,FALSE),"НЕТ ПРОДАЖ")</f>
        <v>Собака</v>
      </c>
      <c r="AD150" s="10" t="str">
        <f>IFERROR(VLOOKUP(VALUE(IF(X150&lt;1,1,0)&amp;IF(V150&lt;'Факт продаж'!$AE$24,0,1)),$AB$1:$AC$4,2,FALSE),"НЕТ ПРОДАЖ")</f>
        <v>Темная лошадка</v>
      </c>
      <c r="AE150" s="18" t="str">
        <f>IFERROR(VLOOKUP(VALUE(IF(Z150&lt;1,1,0)&amp;IF(V150&lt;'Факт продаж'!$AE$24,0,1)),$AB$1:$AC$4,2,FALSE),"НЕТ ПРОДАЖ")</f>
        <v>Собака</v>
      </c>
      <c r="AF150" s="74" t="str">
        <f>VLOOKUP(B150,'ABC расчет'!B:G,6,0)</f>
        <v>A</v>
      </c>
      <c r="AG150" s="74" t="str">
        <f>VLOOKUP(B150,'ABC расчет'!K:P,6,0)</f>
        <v>C</v>
      </c>
      <c r="AH150" s="74" t="str">
        <f>VLOOKUP(B150,'ABC расчет'!T:Y,6,0)</f>
        <v>C</v>
      </c>
      <c r="AI150" s="74" t="str">
        <f>VLOOKUP(B150,'ABC расчет'!AC:AH,6,0)</f>
        <v>C</v>
      </c>
      <c r="AJ150" s="74"/>
      <c r="AK150" s="74"/>
      <c r="AL150" s="19"/>
    </row>
    <row r="151" spans="1:38" x14ac:dyDescent="0.3">
      <c r="A151" s="51" t="s">
        <v>259</v>
      </c>
      <c r="B151" s="21" t="s">
        <v>30</v>
      </c>
      <c r="C151" s="20">
        <f>IFERROR(VLOOKUP(B151,'Факт продаж'!A:B,2,0),"нет продаж")</f>
        <v>7</v>
      </c>
      <c r="D151" s="47">
        <f>IFERROR(VLOOKUP(B151,'Факт продаж'!A:C,3,0),"нет продаж")</f>
        <v>17927.455999999998</v>
      </c>
      <c r="E151" s="47">
        <f>IFERROR(VLOOKUP(B151,'Факт продаж'!A:E,5,0),"нет продаж")</f>
        <v>7176.0850346846719</v>
      </c>
      <c r="F151" s="25">
        <f>IFERROR(VLOOKUP(B151,'Факт продаж'!A:C,3,0)/SUM('План Антонова'!$C$11:$C$13),0)</f>
        <v>1.3612507243439877E-4</v>
      </c>
      <c r="G151" s="5">
        <f>IFERROR(VLOOKUP(B151,'Факт продаж'!J:K,2,0),"нет продаж")</f>
        <v>210</v>
      </c>
      <c r="H151" s="48">
        <f>IFERROR(VLOOKUP(B151,'Факт продаж'!J:L,3,0),"нет продаж")</f>
        <v>428124</v>
      </c>
      <c r="I151" s="48">
        <f>IFERROR(VLOOKUP(B151,'Факт продаж'!J:N,5,0),"нет продаж")</f>
        <v>169350.27421908415</v>
      </c>
      <c r="J151" s="7">
        <f>IFERROR(VLOOKUP(B151,'Факт продаж'!J:L,3,0)/SUM('План Антонова'!$C$14:$C$16),0)</f>
        <v>2.9561363814488407E-3</v>
      </c>
      <c r="K151" s="44">
        <f>IFERROR(VLOOKUP(B151,'Факт продаж'!J:O,6,0),"-")</f>
        <v>22.599256892936982</v>
      </c>
      <c r="L151" s="44">
        <f>IF(AND(F151=0,J151&gt;0),5,IF(J151/F151&gt;5,5,IF(J151/F151=0,0.0000001,J151/F151)))</f>
        <v>5</v>
      </c>
      <c r="M151" s="5">
        <f>IFERROR(VLOOKUP(B151,'Факт продаж'!S:T,2,0),"нет продаж")</f>
        <v>23</v>
      </c>
      <c r="N151" s="48">
        <f>IFERROR(VLOOKUP(B151,'Факт продаж'!S:U,3,0),"нет продаж")</f>
        <v>59143</v>
      </c>
      <c r="O151" s="48">
        <f>IFERROR(VLOOKUP(B151,'Факт продаж'!S:W,5,0),"нет продаж")</f>
        <v>25046.825718394553</v>
      </c>
      <c r="P151" s="7">
        <f>IFERROR(VLOOKUP(B151,'Факт продаж'!S:U,3,0)/SUM('План Антонова'!$C$17:$C$19),0)</f>
        <v>3.6024299188295331E-4</v>
      </c>
      <c r="Q151" s="44">
        <f>IFERROR(VLOOKUP(B151,'Факт продаж'!S:X,6,0),"-")</f>
        <v>-0.85210047144067735</v>
      </c>
      <c r="R151" s="44">
        <f>IF(AND(J151=0,P151&gt;0),5,IF(P151/J151&gt;5,5,IF(P151/J151=0,0.0000001,P151/J151)))</f>
        <v>0.1218627780990245</v>
      </c>
      <c r="S151" s="16">
        <f>IFERROR(VLOOKUP(B151,'Факт продаж'!AB:AD,2,0),"нет продаж")</f>
        <v>56</v>
      </c>
      <c r="T151" s="16">
        <f>IFERROR(VLOOKUP(B151,'Факт продаж'!AB:AD,3,0),"нет продаж")</f>
        <v>146430</v>
      </c>
      <c r="U151" s="16">
        <f>IFERROR(VLOOKUP(B151,'Факт продаж'!AB:AF,5,0),"нет продаж")</f>
        <v>62949.997802906728</v>
      </c>
      <c r="V151" s="7">
        <f>IFERROR(VLOOKUP(B151,'Факт продаж'!AB:AD,3,0)/SUM('План Антонова'!$C$20:$C$22),0)</f>
        <v>9.516042340425476E-4</v>
      </c>
      <c r="W151" s="44">
        <f>IFERROR(VLOOKUP(B151,'Факт продаж'!AB:AG,6,0),"-")</f>
        <v>1.5132924431488273</v>
      </c>
      <c r="X151" s="44">
        <f>IF(AND(P151=0,V151&gt;0),5,IF(V151/P151&gt;5,5,IF(V151/P151=0,0.0000001,V151/P151)))</f>
        <v>2.6415620997055611</v>
      </c>
      <c r="Y151" s="44">
        <f>IFERROR(VLOOKUP(B151,'Факт продаж'!AB:AH,7,0),"-")</f>
        <v>7.7721922885035664</v>
      </c>
      <c r="Z151" s="44">
        <f>IF(AND(F151=0,V151&gt;0),5,IF(V151/F151&gt;5,5,IF(V151/F151=0,0.0000001,V151/F151)))</f>
        <v>5</v>
      </c>
      <c r="AB151" s="10" t="str">
        <f>IFERROR(VLOOKUP(VALUE(IF(L151&lt;1,1,0)&amp;IF(J151&lt;'Факт продаж'!$M$24,0,1)),$AB$1:$AC$4,2,FALSE),"НЕТ ПРОДАЖ")</f>
        <v>Звезда</v>
      </c>
      <c r="AC151" s="10" t="str">
        <f>IFERROR(VLOOKUP(VALUE(IF(R151&lt;1,1,0)&amp;IF(P151&lt;'Факт продаж'!$V$24,0,1)),$AB$1:$AC$4,2,FALSE),"НЕТ ПРОДАЖ")</f>
        <v>Собака</v>
      </c>
      <c r="AD151" s="10" t="str">
        <f>IFERROR(VLOOKUP(VALUE(IF(X151&lt;1,1,0)&amp;IF(V151&lt;'Факт продаж'!$AE$24,0,1)),$AB$1:$AC$4,2,FALSE),"НЕТ ПРОДАЖ")</f>
        <v>Звезда</v>
      </c>
      <c r="AE151" s="18" t="str">
        <f>IFERROR(VLOOKUP(VALUE(IF(Z151&lt;1,1,0)&amp;IF(V151&lt;'Факт продаж'!$AE$24,0,1)),$AB$1:$AC$4,2,FALSE),"НЕТ ПРОДАЖ")</f>
        <v>Звезда</v>
      </c>
      <c r="AF151" s="74" t="str">
        <f>VLOOKUP(B151,'ABC расчет'!B:G,6,0)</f>
        <v>C</v>
      </c>
      <c r="AG151" s="74" t="str">
        <f>VLOOKUP(B151,'ABC расчет'!K:P,6,0)</f>
        <v>C</v>
      </c>
      <c r="AH151" s="74" t="str">
        <f>VLOOKUP(B151,'ABC расчет'!T:Y,6,0)</f>
        <v>C</v>
      </c>
      <c r="AI151" s="74" t="str">
        <f>VLOOKUP(B151,'ABC расчет'!AC:AH,6,0)</f>
        <v>C</v>
      </c>
      <c r="AJ151" s="74"/>
      <c r="AK151" s="74"/>
      <c r="AL151" s="19"/>
    </row>
    <row r="152" spans="1:38" x14ac:dyDescent="0.3">
      <c r="A152" s="51" t="s">
        <v>258</v>
      </c>
      <c r="B152" s="21" t="s">
        <v>314</v>
      </c>
      <c r="C152" s="20">
        <f>IFERROR(VLOOKUP(B152,'Факт продаж'!A:B,2,0),"нет продаж")</f>
        <v>4</v>
      </c>
      <c r="D152" s="47">
        <f>IFERROR(VLOOKUP(B152,'Факт продаж'!A:C,3,0),"нет продаж")</f>
        <v>7552.0857999999998</v>
      </c>
      <c r="E152" s="47">
        <f>IFERROR(VLOOKUP(B152,'Факт продаж'!A:E,5,0),"нет продаж")</f>
        <v>3191.3071999284693</v>
      </c>
      <c r="F152" s="25">
        <f>IFERROR(VLOOKUP(B152,'Факт продаж'!A:C,3,0)/SUM('План Антонова'!$C$11:$C$13),0)</f>
        <v>5.7343787459625863E-5</v>
      </c>
      <c r="G152" s="5">
        <f>IFERROR(VLOOKUP(B152,'Факт продаж'!J:K,2,0),"нет продаж")</f>
        <v>87</v>
      </c>
      <c r="H152" s="48">
        <f>IFERROR(VLOOKUP(B152,'Факт продаж'!J:L,3,0),"нет продаж")</f>
        <v>181720.2</v>
      </c>
      <c r="I152" s="48">
        <f>IFERROR(VLOOKUP(B152,'Факт продаж'!J:N,5,0),"нет продаж")</f>
        <v>77982.970876488616</v>
      </c>
      <c r="J152" s="7">
        <f>IFERROR(VLOOKUP(B152,'Факт продаж'!J:L,3,0)/SUM('План Антонова'!$C$14:$C$16),0)</f>
        <v>1.2547525821120975E-3</v>
      </c>
      <c r="K152" s="44">
        <f>IFERROR(VLOOKUP(B152,'Факт продаж'!J:O,6,0),"-")</f>
        <v>23.436058953596365</v>
      </c>
      <c r="L152" s="44">
        <f>IF(AND(F152=0,J152&gt;0),5,IF(J152/F152&gt;5,5,IF(J152/F152=0,0.0000001,J152/F152)))</f>
        <v>5</v>
      </c>
      <c r="M152" s="5">
        <f>IFERROR(VLOOKUP(B152,'Факт продаж'!S:T,2,0),"нет продаж")</f>
        <v>109</v>
      </c>
      <c r="N152" s="48">
        <f>IFERROR(VLOOKUP(B152,'Факт продаж'!S:U,3,0),"нет продаж")</f>
        <v>236915.3</v>
      </c>
      <c r="O152" s="48">
        <f>IFERROR(VLOOKUP(B152,'Факт продаж'!S:W,5,0),"нет продаж")</f>
        <v>68288.938197122814</v>
      </c>
      <c r="P152" s="7">
        <f>IFERROR(VLOOKUP(B152,'Факт продаж'!S:U,3,0)/SUM('План Антонова'!$C$17:$C$19),0)</f>
        <v>1.4430630251229637E-3</v>
      </c>
      <c r="Q152" s="44">
        <f>IFERROR(VLOOKUP(B152,'Факт продаж'!S:X,6,0),"-")</f>
        <v>-0.12430960978287753</v>
      </c>
      <c r="R152" s="44">
        <f>IF(AND(J152=0,P152&gt;0),5,IF(P152/J152&gt;5,5,IF(P152/J152=0,0.0000001,P152/J152)))</f>
        <v>1.1500777489486314</v>
      </c>
      <c r="S152" s="16">
        <f>IFERROR(VLOOKUP(B152,'Факт продаж'!AB:AD,2,0),"нет продаж")</f>
        <v>82</v>
      </c>
      <c r="T152" s="16">
        <f>IFERROR(VLOOKUP(B152,'Факт продаж'!AB:AD,3,0),"нет продаж")</f>
        <v>180117</v>
      </c>
      <c r="U152" s="16">
        <f>IFERROR(VLOOKUP(B152,'Факт продаж'!AB:AF,5,0),"нет продаж")</f>
        <v>62520.392993185778</v>
      </c>
      <c r="V152" s="7">
        <f>IFERROR(VLOOKUP(B152,'Факт продаж'!AB:AD,3,0)/SUM('План Антонова'!$C$20:$C$22),0)</f>
        <v>1.1705258473198221E-3</v>
      </c>
      <c r="W152" s="44">
        <f>IFERROR(VLOOKUP(B152,'Факт продаж'!AB:AG,6,0),"-")</f>
        <v>-8.4472615276072305E-2</v>
      </c>
      <c r="X152" s="44">
        <f>IF(AND(P152=0,V152&gt;0),5,IF(V152/P152&gt;5,5,IF(V152/P152=0,0.0000001,V152/P152)))</f>
        <v>0.81113979565797645</v>
      </c>
      <c r="Y152" s="44">
        <f>IFERROR(VLOOKUP(B152,'Факт продаж'!AB:AH,7,0),"-")</f>
        <v>18.590841331284913</v>
      </c>
      <c r="Z152" s="44">
        <f>IF(AND(F152=0,V152&gt;0),5,IF(V152/F152&gt;5,5,IF(V152/F152=0,0.0000001,V152/F152)))</f>
        <v>5</v>
      </c>
      <c r="AB152" s="10" t="str">
        <f>IFERROR(VLOOKUP(VALUE(IF(L152&lt;1,1,0)&amp;IF(J152&lt;'Факт продаж'!$M$24,0,1)),$AB$1:$AC$4,2,FALSE),"НЕТ ПРОДАЖ")</f>
        <v>Звезда</v>
      </c>
      <c r="AC152" s="10" t="str">
        <f>IFERROR(VLOOKUP(VALUE(IF(R152&lt;1,1,0)&amp;IF(P152&lt;'Факт продаж'!$V$24,0,1)),$AB$1:$AC$4,2,FALSE),"НЕТ ПРОДАЖ")</f>
        <v>Звезда</v>
      </c>
      <c r="AD152" s="10" t="str">
        <f>IFERROR(VLOOKUP(VALUE(IF(X152&lt;1,1,0)&amp;IF(V152&lt;'Факт продаж'!$AE$24,0,1)),$AB$1:$AC$4,2,FALSE),"НЕТ ПРОДАЖ")</f>
        <v>Корова</v>
      </c>
      <c r="AE152" s="18" t="str">
        <f>IFERROR(VLOOKUP(VALUE(IF(Z152&lt;1,1,0)&amp;IF(V152&lt;'Факт продаж'!$AE$24,0,1)),$AB$1:$AC$4,2,FALSE),"НЕТ ПРОДАЖ")</f>
        <v>Звезда</v>
      </c>
      <c r="AF152" s="74" t="str">
        <f>VLOOKUP(B152,'ABC расчет'!B:G,6,0)</f>
        <v>B</v>
      </c>
      <c r="AG152" s="74" t="str">
        <f>VLOOKUP(B152,'ABC расчет'!K:P,6,0)</f>
        <v>A</v>
      </c>
      <c r="AH152" s="74" t="str">
        <f>VLOOKUP(B152,'ABC расчет'!T:Y,6,0)</f>
        <v>B</v>
      </c>
      <c r="AI152" s="74" t="str">
        <f>VLOOKUP(B152,'ABC расчет'!AC:AH,6,0)</f>
        <v>A</v>
      </c>
      <c r="AJ152" s="74"/>
      <c r="AK152" s="74"/>
      <c r="AL152" s="19"/>
    </row>
    <row r="153" spans="1:38" x14ac:dyDescent="0.3">
      <c r="A153" s="51" t="s">
        <v>252</v>
      </c>
      <c r="B153" s="21" t="s">
        <v>321</v>
      </c>
      <c r="C153" s="20">
        <f>IFERROR(VLOOKUP(B153,'Факт продаж'!A:B,2,0),"нет продаж")</f>
        <v>18</v>
      </c>
      <c r="D153" s="47">
        <f>IFERROR(VLOOKUP(B153,'Факт продаж'!A:C,3,0),"нет продаж")</f>
        <v>37346.008400000006</v>
      </c>
      <c r="E153" s="47">
        <f>IFERROR(VLOOKUP(B153,'Факт продаж'!A:E,5,0),"нет продаж")</f>
        <v>10926.746950894594</v>
      </c>
      <c r="F153" s="25">
        <f>IFERROR(VLOOKUP(B153,'Факт продаж'!A:C,3,0)/SUM('План Антонова'!$C$11:$C$13),0)</f>
        <v>2.8357219778342592E-4</v>
      </c>
      <c r="G153" s="5">
        <f>IFERROR(VLOOKUP(B153,'Факт продаж'!J:K,2,0),"нет продаж")</f>
        <v>49</v>
      </c>
      <c r="H153" s="48">
        <f>IFERROR(VLOOKUP(B153,'Факт продаж'!J:L,3,0),"нет продаж")</f>
        <v>122342.5</v>
      </c>
      <c r="I153" s="48">
        <f>IFERROR(VLOOKUP(B153,'Факт продаж'!J:N,5,0),"нет продаж")</f>
        <v>54977.655765790383</v>
      </c>
      <c r="J153" s="7">
        <f>IFERROR(VLOOKUP(B153,'Факт продаж'!J:L,3,0)/SUM('План Антонова'!$C$14:$C$16),0)</f>
        <v>8.4475786278602645E-4</v>
      </c>
      <c r="K153" s="44">
        <f>IFERROR(VLOOKUP(B153,'Факт продаж'!J:O,6,0),"-")</f>
        <v>4.0314751511005982</v>
      </c>
      <c r="L153" s="44">
        <f>IF(AND(F153=0,J153&gt;0),5,IF(J153/F153&gt;5,5,IF(J153/F153=0,0.0000001,J153/F153)))</f>
        <v>2.9789869013576493</v>
      </c>
      <c r="M153" s="5">
        <f>IFERROR(VLOOKUP(B153,'Факт продаж'!S:T,2,0),"нет продаж")</f>
        <v>255</v>
      </c>
      <c r="N153" s="48">
        <f>IFERROR(VLOOKUP(B153,'Факт продаж'!S:U,3,0),"нет продаж")</f>
        <v>735618</v>
      </c>
      <c r="O153" s="48">
        <f>IFERROR(VLOOKUP(B153,'Факт продаж'!S:W,5,0),"нет продаж")</f>
        <v>204772.86803665137</v>
      </c>
      <c r="P153" s="7">
        <f>IFERROR(VLOOKUP(B153,'Факт продаж'!S:U,3,0)/SUM('План Антонова'!$C$17:$C$19),0)</f>
        <v>4.4806862892135049E-3</v>
      </c>
      <c r="Q153" s="44">
        <f>IFERROR(VLOOKUP(B153,'Факт продаж'!S:X,6,0),"-")</f>
        <v>2.7246562295962868</v>
      </c>
      <c r="R153" s="44">
        <f>IF(AND(J153=0,P153&gt;0),5,IF(P153/J153&gt;5,5,IF(P153/J153=0,0.0000001,P153/J153)))</f>
        <v>5</v>
      </c>
      <c r="S153" s="16">
        <f>IFERROR(VLOOKUP(B153,'Факт продаж'!AB:AD,2,0),"нет продаж")</f>
        <v>55</v>
      </c>
      <c r="T153" s="16">
        <f>IFERROR(VLOOKUP(B153,'Факт продаж'!AB:AD,3,0),"нет продаж")</f>
        <v>172508.29</v>
      </c>
      <c r="U153" s="16">
        <f>IFERROR(VLOOKUP(B153,'Факт продаж'!AB:AF,5,0),"нет продаж")</f>
        <v>62331.906409465388</v>
      </c>
      <c r="V153" s="7">
        <f>IFERROR(VLOOKUP(B153,'Факт продаж'!AB:AD,3,0)/SUM('План Антонова'!$C$20:$C$22),0)</f>
        <v>1.1210791447889073E-3</v>
      </c>
      <c r="W153" s="44">
        <f>IFERROR(VLOOKUP(B153,'Факт продаж'!AB:AG,6,0),"-")</f>
        <v>-0.69560466185242431</v>
      </c>
      <c r="X153" s="44">
        <f>IF(AND(P153=0,V153&gt;0),5,IF(V153/P153&gt;5,5,IF(V153/P153=0,0.0000001,V153/P153)))</f>
        <v>0.25020255211522302</v>
      </c>
      <c r="Y153" s="44">
        <f>IFERROR(VLOOKUP(B153,'Факт продаж'!AB:AH,7,0),"-")</f>
        <v>4.7045254813338708</v>
      </c>
      <c r="Z153" s="44">
        <f>IF(AND(F153=0,V153&gt;0),5,IF(V153/F153&gt;5,5,IF(V153/F153=0,0.0000001,V153/F153)))</f>
        <v>3.9534169906357142</v>
      </c>
      <c r="AB153" s="10" t="str">
        <f>IFERROR(VLOOKUP(VALUE(IF(L153&lt;1,1,0)&amp;IF(J153&lt;'Факт продаж'!$M$24,0,1)),$AB$1:$AC$4,2,FALSE),"НЕТ ПРОДАЖ")</f>
        <v>Звезда</v>
      </c>
      <c r="AC153" s="10" t="str">
        <f>IFERROR(VLOOKUP(VALUE(IF(R153&lt;1,1,0)&amp;IF(P153&lt;'Факт продаж'!$V$24,0,1)),$AB$1:$AC$4,2,FALSE),"НЕТ ПРОДАЖ")</f>
        <v>Звезда</v>
      </c>
      <c r="AD153" s="10" t="str">
        <f>IFERROR(VLOOKUP(VALUE(IF(X153&lt;1,1,0)&amp;IF(V153&lt;'Факт продаж'!$AE$24,0,1)),$AB$1:$AC$4,2,FALSE),"НЕТ ПРОДАЖ")</f>
        <v>Корова</v>
      </c>
      <c r="AE153" s="18" t="str">
        <f>IFERROR(VLOOKUP(VALUE(IF(Z153&lt;1,1,0)&amp;IF(V153&lt;'Факт продаж'!$AE$24,0,1)),$AB$1:$AC$4,2,FALSE),"НЕТ ПРОДАЖ")</f>
        <v>Звезда</v>
      </c>
      <c r="AF153" s="74" t="str">
        <f>VLOOKUP(B153,'ABC расчет'!B:G,6,0)</f>
        <v>C</v>
      </c>
      <c r="AG153" s="74" t="str">
        <f>VLOOKUP(B153,'ABC расчет'!K:P,6,0)</f>
        <v>C</v>
      </c>
      <c r="AH153" s="74" t="str">
        <f>VLOOKUP(B153,'ABC расчет'!T:Y,6,0)</f>
        <v>A</v>
      </c>
      <c r="AI153" s="74" t="str">
        <f>VLOOKUP(B153,'ABC расчет'!AC:AH,6,0)</f>
        <v>B</v>
      </c>
      <c r="AJ153" s="74" t="s">
        <v>452</v>
      </c>
      <c r="AK153" s="74"/>
      <c r="AL153" s="19"/>
    </row>
    <row r="154" spans="1:38" x14ac:dyDescent="0.3">
      <c r="A154" s="51" t="s">
        <v>247</v>
      </c>
      <c r="B154" s="21" t="s">
        <v>112</v>
      </c>
      <c r="C154" s="20">
        <f>IFERROR(VLOOKUP(B154,'Факт продаж'!A:B,2,0),"нет продаж")</f>
        <v>4</v>
      </c>
      <c r="D154" s="47">
        <f>IFERROR(VLOOKUP(B154,'Факт продаж'!A:C,3,0),"нет продаж")</f>
        <v>3656.6316999999999</v>
      </c>
      <c r="E154" s="47">
        <f>IFERROR(VLOOKUP(B154,'Факт продаж'!A:E,5,0),"нет продаж")</f>
        <v>1783.507149936002</v>
      </c>
      <c r="F154" s="25">
        <f>IFERROR(VLOOKUP(B154,'Факт продаж'!A:C,3,0)/SUM('План Антонова'!$C$11:$C$13),0)</f>
        <v>2.7765191839177779E-5</v>
      </c>
      <c r="G154" s="5">
        <f>IFERROR(VLOOKUP(B154,'Факт продаж'!J:K,2,0),"нет продаж")</f>
        <v>72</v>
      </c>
      <c r="H154" s="48">
        <f>IFERROR(VLOOKUP(B154,'Факт продаж'!J:L,3,0),"нет продаж")</f>
        <v>75949.399999999994</v>
      </c>
      <c r="I154" s="48">
        <f>IFERROR(VLOOKUP(B154,'Факт продаж'!J:N,5,0),"нет продаж")</f>
        <v>40864.652959365289</v>
      </c>
      <c r="J154" s="7">
        <f>IFERROR(VLOOKUP(B154,'Факт продаж'!J:L,3,0)/SUM('План Антонова'!$C$14:$C$16),0)</f>
        <v>5.2441999161273499E-4</v>
      </c>
      <c r="K154" s="44">
        <f>IFERROR(VLOOKUP(B154,'Факт продаж'!J:O,6,0),"-")</f>
        <v>21.912525447869186</v>
      </c>
      <c r="L154" s="44">
        <f>IF(AND(F154=0,J154&gt;0),5,IF(J154/F154&gt;5,5,IF(J154/F154=0,0.0000001,J154/F154)))</f>
        <v>5</v>
      </c>
      <c r="M154" s="5">
        <f>IFERROR(VLOOKUP(B154,'Факт продаж'!S:T,2,0),"нет продаж")</f>
        <v>152</v>
      </c>
      <c r="N154" s="48">
        <f>IFERROR(VLOOKUP(B154,'Факт продаж'!S:U,3,0),"нет продаж")</f>
        <v>156674.30000000002</v>
      </c>
      <c r="O154" s="48">
        <f>IFERROR(VLOOKUP(B154,'Факт продаж'!S:W,5,0),"нет продаж")</f>
        <v>80260.012506946325</v>
      </c>
      <c r="P154" s="7">
        <f>IFERROR(VLOOKUP(B154,'Факт продаж'!S:U,3,0)/SUM('План Антонова'!$C$17:$C$19),0)</f>
        <v>9.5431105258724446E-4</v>
      </c>
      <c r="Q154" s="44">
        <f>IFERROR(VLOOKUP(B154,'Факт продаж'!S:X,6,0),"-")</f>
        <v>0.96404488218105566</v>
      </c>
      <c r="R154" s="44">
        <f>IF(AND(J154=0,P154&gt;0),5,IF(P154/J154&gt;5,5,IF(P154/J154=0,0.0000001,P154/J154)))</f>
        <v>1.8197457531176049</v>
      </c>
      <c r="S154" s="16">
        <f>IFERROR(VLOOKUP(B154,'Факт продаж'!AB:AD,2,0),"нет продаж")</f>
        <v>106</v>
      </c>
      <c r="T154" s="16">
        <f>IFERROR(VLOOKUP(B154,'Факт продаж'!AB:AD,3,0),"нет продаж")</f>
        <v>113704.14</v>
      </c>
      <c r="U154" s="16">
        <f>IFERROR(VLOOKUP(B154,'Факт продаж'!AB:AF,5,0),"нет продаж")</f>
        <v>59908.333856810685</v>
      </c>
      <c r="V154" s="7">
        <f>IFERROR(VLOOKUP(B154,'Факт продаж'!AB:AD,3,0)/SUM('План Антонова'!$C$20:$C$22),0)</f>
        <v>7.3892877861207816E-4</v>
      </c>
      <c r="W154" s="44">
        <f>IFERROR(VLOOKUP(B154,'Факт продаж'!AB:AG,6,0),"-")</f>
        <v>-0.25357183502026304</v>
      </c>
      <c r="X154" s="44">
        <f>IF(AND(P154=0,V154&gt;0),5,IF(V154/P154&gt;5,5,IF(V154/P154=0,0.0000001,V154/P154)))</f>
        <v>0.77430600495379287</v>
      </c>
      <c r="Y154" s="44">
        <f>IFERROR(VLOOKUP(B154,'Факт продаж'!AB:AH,7,0),"-")</f>
        <v>32.590184294445017</v>
      </c>
      <c r="Z154" s="44">
        <f>IF(AND(F154=0,V154&gt;0),5,IF(V154/F154&gt;5,5,IF(V154/F154=0,0.0000001,V154/F154)))</f>
        <v>5</v>
      </c>
      <c r="AB154" s="10" t="str">
        <f>IFERROR(VLOOKUP(VALUE(IF(L154&lt;1,1,0)&amp;IF(J154&lt;'Факт продаж'!$M$24,0,1)),$AB$1:$AC$4,2,FALSE),"НЕТ ПРОДАЖ")</f>
        <v>Темная лошадка</v>
      </c>
      <c r="AC154" s="10" t="str">
        <f>IFERROR(VLOOKUP(VALUE(IF(R154&lt;1,1,0)&amp;IF(P154&lt;'Факт продаж'!$V$24,0,1)),$AB$1:$AC$4,2,FALSE),"НЕТ ПРОДАЖ")</f>
        <v>Звезда</v>
      </c>
      <c r="AD154" s="10" t="str">
        <f>IFERROR(VLOOKUP(VALUE(IF(X154&lt;1,1,0)&amp;IF(V154&lt;'Факт продаж'!$AE$24,0,1)),$AB$1:$AC$4,2,FALSE),"НЕТ ПРОДАЖ")</f>
        <v>Собака</v>
      </c>
      <c r="AE154" s="18" t="str">
        <f>IFERROR(VLOOKUP(VALUE(IF(Z154&lt;1,1,0)&amp;IF(V154&lt;'Факт продаж'!$AE$24,0,1)),$AB$1:$AC$4,2,FALSE),"НЕТ ПРОДАЖ")</f>
        <v>Темная лошадка</v>
      </c>
      <c r="AF154" s="74" t="str">
        <f>VLOOKUP(B154,'ABC расчет'!B:G,6,0)</f>
        <v>C</v>
      </c>
      <c r="AG154" s="74" t="str">
        <f>VLOOKUP(B154,'ABC расчет'!K:P,6,0)</f>
        <v>A</v>
      </c>
      <c r="AH154" s="74" t="str">
        <f>VLOOKUP(B154,'ABC расчет'!T:Y,6,0)</f>
        <v>A</v>
      </c>
      <c r="AI154" s="74" t="str">
        <f>VLOOKUP(B154,'ABC расчет'!AC:AH,6,0)</f>
        <v>A</v>
      </c>
      <c r="AJ154" s="74"/>
      <c r="AK154" s="74"/>
      <c r="AL154" s="19"/>
    </row>
    <row r="155" spans="1:38" x14ac:dyDescent="0.3">
      <c r="A155" s="5" t="s">
        <v>252</v>
      </c>
      <c r="B155" s="21" t="s">
        <v>98</v>
      </c>
      <c r="C155" s="20" t="str">
        <f>IFERROR(VLOOKUP(B155,'Факт продаж'!A:B,2,0),"нет продаж")</f>
        <v>нет продаж</v>
      </c>
      <c r="D155" s="47" t="str">
        <f>IFERROR(VLOOKUP(B155,'Факт продаж'!A:C,3,0),"нет продаж")</f>
        <v>нет продаж</v>
      </c>
      <c r="E155" s="47" t="str">
        <f>IFERROR(VLOOKUP(B155,'Факт продаж'!A:E,5,0),"нет продаж")</f>
        <v>нет продаж</v>
      </c>
      <c r="F155" s="25">
        <f>IFERROR(VLOOKUP(B155,'Факт продаж'!A:C,3,0)/SUM('План Антонова'!$C$11:$C$13),0)</f>
        <v>0</v>
      </c>
      <c r="G155" s="5">
        <f>IFERROR(VLOOKUP(B155,'Факт продаж'!J:K,2,0),"нет продаж")</f>
        <v>40</v>
      </c>
      <c r="H155" s="48">
        <f>IFERROR(VLOOKUP(B155,'Факт продаж'!J:L,3,0),"нет продаж")</f>
        <v>38728.6</v>
      </c>
      <c r="I155" s="48">
        <f>IFERROR(VLOOKUP(B155,'Факт продаж'!J:N,5,0),"нет продаж")</f>
        <v>18354.907123237052</v>
      </c>
      <c r="J155" s="7">
        <f>IFERROR(VLOOKUP(B155,'Факт продаж'!J:L,3,0)/SUM('План Антонова'!$C$14:$C$16),0)</f>
        <v>2.6741556993436377E-4</v>
      </c>
      <c r="K155" s="44">
        <f>IFERROR(VLOOKUP(B155,'Факт продаж'!J:O,6,0),"-")</f>
        <v>1</v>
      </c>
      <c r="L155" s="44">
        <f>IF(AND(F155=0,J155&gt;0),5,IF(J155/F155&gt;5,5,IF(J155/F155=0,0.0000001,J155/F155)))</f>
        <v>5</v>
      </c>
      <c r="M155" s="5">
        <f>IFERROR(VLOOKUP(B155,'Факт продаж'!S:T,2,0),"нет продаж")</f>
        <v>157</v>
      </c>
      <c r="N155" s="48">
        <f>IFERROR(VLOOKUP(B155,'Факт продаж'!S:U,3,0),"нет продаж")</f>
        <v>150177.99999999997</v>
      </c>
      <c r="O155" s="48">
        <f>IFERROR(VLOOKUP(B155,'Факт продаж'!S:W,5,0),"нет продаж")</f>
        <v>71962.134185102303</v>
      </c>
      <c r="P155" s="7">
        <f>IFERROR(VLOOKUP(B155,'Факт продаж'!S:U,3,0)/SUM('План Антонова'!$C$17:$C$19),0)</f>
        <v>9.1474176208508444E-4</v>
      </c>
      <c r="Q155" s="44">
        <f>IFERROR(VLOOKUP(B155,'Факт продаж'!S:X,6,0),"-")</f>
        <v>2.9205937519563507</v>
      </c>
      <c r="R155" s="44">
        <f>IF(AND(J155=0,P155&gt;0),5,IF(P155/J155&gt;5,5,IF(P155/J155=0,0.0000001,P155/J155)))</f>
        <v>3.4206750276717419</v>
      </c>
      <c r="S155" s="16">
        <f>IFERROR(VLOOKUP(B155,'Факт продаж'!AB:AD,2,0),"нет продаж")</f>
        <v>118</v>
      </c>
      <c r="T155" s="16">
        <f>IFERROR(VLOOKUP(B155,'Факт продаж'!AB:AD,3,0),"нет продаж")</f>
        <v>116390.39999999999</v>
      </c>
      <c r="U155" s="16">
        <f>IFERROR(VLOOKUP(B155,'Факт продаж'!AB:AF,5,0),"нет продаж")</f>
        <v>57425.700599701522</v>
      </c>
      <c r="V155" s="7">
        <f>IFERROR(VLOOKUP(B155,'Факт продаж'!AB:AD,3,0)/SUM('План Антонова'!$C$20:$C$22),0)</f>
        <v>7.5638596900843907E-4</v>
      </c>
      <c r="W155" s="44">
        <f>IFERROR(VLOOKUP(B155,'Факт продаж'!AB:AG,6,0),"-")</f>
        <v>-0.20200114615847697</v>
      </c>
      <c r="X155" s="44">
        <f>IF(AND(P155=0,V155&gt;0),5,IF(V155/P155&gt;5,5,IF(V155/P155=0,0.0000001,V155/P155)))</f>
        <v>0.82688470162804706</v>
      </c>
      <c r="Y155" s="44">
        <f>IFERROR(VLOOKUP(B155,'Факт продаж'!AB:AH,7,0),"-")</f>
        <v>1</v>
      </c>
      <c r="Z155" s="44">
        <f>IF(AND(F155=0,V155&gt;0),5,IF(V155/F155&gt;5,5,IF(V155/F155=0,0.0000001,V155/F155)))</f>
        <v>5</v>
      </c>
      <c r="AB155" s="10" t="str">
        <f>IFERROR(VLOOKUP(VALUE(IF(L155&lt;1,1,0)&amp;IF(J155&lt;'Факт продаж'!$M$24,0,1)),$AB$1:$AC$4,2,FALSE),"НЕТ ПРОДАЖ")</f>
        <v>Темная лошадка</v>
      </c>
      <c r="AC155" s="10" t="str">
        <f>IFERROR(VLOOKUP(VALUE(IF(R155&lt;1,1,0)&amp;IF(P155&lt;'Факт продаж'!$V$24,0,1)),$AB$1:$AC$4,2,FALSE),"НЕТ ПРОДАЖ")</f>
        <v>Темная лошадка</v>
      </c>
      <c r="AD155" s="10" t="str">
        <f>IFERROR(VLOOKUP(VALUE(IF(X155&lt;1,1,0)&amp;IF(V155&lt;'Факт продаж'!$AE$24,0,1)),$AB$1:$AC$4,2,FALSE),"НЕТ ПРОДАЖ")</f>
        <v>Собака</v>
      </c>
      <c r="AE155" s="18" t="str">
        <f>IFERROR(VLOOKUP(VALUE(IF(Z155&lt;1,1,0)&amp;IF(V155&lt;'Факт продаж'!$AE$24,0,1)),$AB$1:$AC$4,2,FALSE),"НЕТ ПРОДАЖ")</f>
        <v>Темная лошадка</v>
      </c>
      <c r="AF155" s="74" t="str">
        <f>VLOOKUP(B155,'ABC расчет'!B:G,6,0)</f>
        <v>C</v>
      </c>
      <c r="AG155" s="74" t="str">
        <f>VLOOKUP(B155,'ABC расчет'!K:P,6,0)</f>
        <v>C</v>
      </c>
      <c r="AH155" s="74" t="str">
        <f>VLOOKUP(B155,'ABC расчет'!T:Y,6,0)</f>
        <v>C</v>
      </c>
      <c r="AI155" s="74" t="str">
        <f>VLOOKUP(B155,'ABC расчет'!AC:AH,6,0)</f>
        <v>C</v>
      </c>
      <c r="AJ155" s="74"/>
      <c r="AK155" s="74"/>
      <c r="AL155" s="19"/>
    </row>
    <row r="156" spans="1:38" x14ac:dyDescent="0.3">
      <c r="A156" s="51" t="s">
        <v>116</v>
      </c>
      <c r="B156" s="21" t="s">
        <v>15</v>
      </c>
      <c r="C156" s="20">
        <f>IFERROR(VLOOKUP(B156,'Факт продаж'!A:B,2,0),"нет продаж")</f>
        <v>20</v>
      </c>
      <c r="D156" s="47">
        <f>IFERROR(VLOOKUP(B156,'Факт продаж'!A:C,3,0),"нет продаж")</f>
        <v>38116.551900000006</v>
      </c>
      <c r="E156" s="47">
        <f>IFERROR(VLOOKUP(B156,'Факт продаж'!A:E,5,0),"нет продаж")</f>
        <v>14105.618493817587</v>
      </c>
      <c r="F156" s="25">
        <f>IFERROR(VLOOKUP(B156,'Факт продаж'!A:C,3,0)/SUM('План Антонова'!$C$11:$C$13),0)</f>
        <v>2.8942301620135181E-4</v>
      </c>
      <c r="G156" s="5">
        <f>IFERROR(VLOOKUP(B156,'Факт продаж'!J:K,2,0),"нет продаж")</f>
        <v>65</v>
      </c>
      <c r="H156" s="48">
        <f>IFERROR(VLOOKUP(B156,'Факт продаж'!J:L,3,0),"нет продаж")</f>
        <v>171344.2</v>
      </c>
      <c r="I156" s="48">
        <f>IFERROR(VLOOKUP(B156,'Факт продаж'!J:N,5,0),"нет продаж")</f>
        <v>78583.811669099945</v>
      </c>
      <c r="J156" s="7">
        <f>IFERROR(VLOOKUP(B156,'Факт продаж'!J:L,3,0)/SUM('План Антонова'!$C$14:$C$16),0)</f>
        <v>1.1831077523573694E-3</v>
      </c>
      <c r="K156" s="44">
        <f>IFERROR(VLOOKUP(B156,'Факт продаж'!J:O,6,0),"-")</f>
        <v>4.5711000339008736</v>
      </c>
      <c r="L156" s="44">
        <f>IF(AND(F156=0,J156&gt;0),5,IF(J156/F156&gt;5,5,IF(J156/F156=0,0.0000001,J156/F156)))</f>
        <v>4.0878150186033597</v>
      </c>
      <c r="M156" s="5">
        <f>IFERROR(VLOOKUP(B156,'Факт продаж'!S:T,2,0),"нет продаж")</f>
        <v>208</v>
      </c>
      <c r="N156" s="48">
        <f>IFERROR(VLOOKUP(B156,'Факт продаж'!S:U,3,0),"нет продаж")</f>
        <v>577671.4</v>
      </c>
      <c r="O156" s="48">
        <f>IFERROR(VLOOKUP(B156,'Факт продаж'!S:W,5,0),"нет продаж")</f>
        <v>240345.22506782861</v>
      </c>
      <c r="P156" s="7">
        <f>IFERROR(VLOOKUP(B156,'Факт продаж'!S:U,3,0)/SUM('План Антонова'!$C$17:$C$19),0)</f>
        <v>3.5186255932437359E-3</v>
      </c>
      <c r="Q156" s="44">
        <f>IFERROR(VLOOKUP(B156,'Факт продаж'!S:X,6,0),"-")</f>
        <v>2.0584572059175783</v>
      </c>
      <c r="R156" s="44">
        <f>IF(AND(J156=0,P156&gt;0),5,IF(P156/J156&gt;5,5,IF(P156/J156=0,0.0000001,P156/J156)))</f>
        <v>2.9740533660038939</v>
      </c>
      <c r="S156" s="16">
        <f>IFERROR(VLOOKUP(B156,'Факт продаж'!AB:AD,2,0),"нет продаж")</f>
        <v>52</v>
      </c>
      <c r="T156" s="16">
        <f>IFERROR(VLOOKUP(B156,'Факт продаж'!AB:AD,3,0),"нет продаж")</f>
        <v>129488.9</v>
      </c>
      <c r="U156" s="16">
        <f>IFERROR(VLOOKUP(B156,'Факт продаж'!AB:AF,5,0),"нет продаж")</f>
        <v>56340.348525926529</v>
      </c>
      <c r="V156" s="7">
        <f>IFERROR(VLOOKUP(B156,'Факт продаж'!AB:AD,3,0)/SUM('План Антонова'!$C$20:$C$22),0)</f>
        <v>8.4150915455515974E-4</v>
      </c>
      <c r="W156" s="44">
        <f>IFERROR(VLOOKUP(B156,'Факт продаж'!AB:AG,6,0),"-")</f>
        <v>-0.76558573813968411</v>
      </c>
      <c r="X156" s="44">
        <f>IF(AND(P156=0,V156&gt;0),5,IF(V156/P156&gt;5,5,IF(V156/P156=0,0.0000001,V156/P156)))</f>
        <v>0.23915848170120108</v>
      </c>
      <c r="Y156" s="44">
        <f>IFERROR(VLOOKUP(B156,'Факт продаж'!AB:AH,7,0),"-")</f>
        <v>2.9941778200381775</v>
      </c>
      <c r="Z156" s="44">
        <f>IF(AND(F156=0,V156&gt;0),5,IF(V156/F156&gt;5,5,IF(V156/F156=0,0.0000001,V156/F156)))</f>
        <v>2.9075405460142161</v>
      </c>
      <c r="AB156" s="10" t="str">
        <f>IFERROR(VLOOKUP(VALUE(IF(L156&lt;1,1,0)&amp;IF(J156&lt;'Факт продаж'!$M$24,0,1)),$AB$1:$AC$4,2,FALSE),"НЕТ ПРОДАЖ")</f>
        <v>Звезда</v>
      </c>
      <c r="AC156" s="10" t="str">
        <f>IFERROR(VLOOKUP(VALUE(IF(R156&lt;1,1,0)&amp;IF(P156&lt;'Факт продаж'!$V$24,0,1)),$AB$1:$AC$4,2,FALSE),"НЕТ ПРОДАЖ")</f>
        <v>Звезда</v>
      </c>
      <c r="AD156" s="10" t="str">
        <f>IFERROR(VLOOKUP(VALUE(IF(X156&lt;1,1,0)&amp;IF(V156&lt;'Факт продаж'!$AE$24,0,1)),$AB$1:$AC$4,2,FALSE),"НЕТ ПРОДАЖ")</f>
        <v>Корова</v>
      </c>
      <c r="AE156" s="18" t="str">
        <f>IFERROR(VLOOKUP(VALUE(IF(Z156&lt;1,1,0)&amp;IF(V156&lt;'Факт продаж'!$AE$24,0,1)),$AB$1:$AC$4,2,FALSE),"НЕТ ПРОДАЖ")</f>
        <v>Звезда</v>
      </c>
      <c r="AF156" s="74" t="str">
        <f>VLOOKUP(B156,'ABC расчет'!B:G,6,0)</f>
        <v>C</v>
      </c>
      <c r="AG156" s="74" t="str">
        <f>VLOOKUP(B156,'ABC расчет'!K:P,6,0)</f>
        <v>C</v>
      </c>
      <c r="AH156" s="74" t="str">
        <f>VLOOKUP(B156,'ABC расчет'!T:Y,6,0)</f>
        <v>B</v>
      </c>
      <c r="AI156" s="74" t="str">
        <f>VLOOKUP(B156,'ABC расчет'!AC:AH,6,0)</f>
        <v>C</v>
      </c>
      <c r="AJ156" s="74"/>
      <c r="AK156" s="74"/>
      <c r="AL156" s="19"/>
    </row>
    <row r="157" spans="1:38" x14ac:dyDescent="0.3">
      <c r="A157" s="51" t="s">
        <v>247</v>
      </c>
      <c r="B157" s="21" t="s">
        <v>113</v>
      </c>
      <c r="C157" s="20" t="str">
        <f>IFERROR(VLOOKUP(B157,'Факт продаж'!A:B,2,0),"нет продаж")</f>
        <v>нет продаж</v>
      </c>
      <c r="D157" s="47" t="str">
        <f>IFERROR(VLOOKUP(B157,'Факт продаж'!A:C,3,0),"нет продаж")</f>
        <v>нет продаж</v>
      </c>
      <c r="E157" s="47" t="str">
        <f>IFERROR(VLOOKUP(B157,'Факт продаж'!A:E,5,0),"нет продаж")</f>
        <v>нет продаж</v>
      </c>
      <c r="F157" s="25">
        <f>IFERROR(VLOOKUP(B157,'Факт продаж'!A:C,3,0)/SUM('План Антонова'!$C$11:$C$13),0)</f>
        <v>0</v>
      </c>
      <c r="G157" s="5">
        <f>IFERROR(VLOOKUP(B157,'Факт продаж'!J:K,2,0),"нет продаж")</f>
        <v>23</v>
      </c>
      <c r="H157" s="48">
        <f>IFERROR(VLOOKUP(B157,'Факт продаж'!J:L,3,0),"нет продаж")</f>
        <v>28429.5</v>
      </c>
      <c r="I157" s="48">
        <f>IFERROR(VLOOKUP(B157,'Факт продаж'!J:N,5,0),"нет продаж")</f>
        <v>16772.62645507128</v>
      </c>
      <c r="J157" s="7">
        <f>IFERROR(VLOOKUP(B157,'Факт продаж'!J:L,3,0)/SUM('План Антонова'!$C$14:$C$16),0)</f>
        <v>1.9630172393138393E-4</v>
      </c>
      <c r="K157" s="44">
        <f>IFERROR(VLOOKUP(B157,'Факт продаж'!J:O,6,0),"-")</f>
        <v>1</v>
      </c>
      <c r="L157" s="44">
        <f>IF(AND(F157=0,J157&gt;0),5,IF(J157/F157&gt;5,5,IF(J157/F157=0,0.0000001,J157/F157)))</f>
        <v>5</v>
      </c>
      <c r="M157" s="5">
        <f>IFERROR(VLOOKUP(B157,'Факт продаж'!S:T,2,0),"нет продаж")</f>
        <v>47</v>
      </c>
      <c r="N157" s="48">
        <f>IFERROR(VLOOKUP(B157,'Факт продаж'!S:U,3,0),"нет продаж")</f>
        <v>64539.299999999996</v>
      </c>
      <c r="O157" s="48">
        <f>IFERROR(VLOOKUP(B157,'Факт продаж'!S:W,5,0),"нет продаж")</f>
        <v>31976.13528834737</v>
      </c>
      <c r="P157" s="7">
        <f>IFERROR(VLOOKUP(B157,'Факт продаж'!S:U,3,0)/SUM('План Антонова'!$C$17:$C$19),0)</f>
        <v>3.9311212698090196E-4</v>
      </c>
      <c r="Q157" s="44">
        <f>IFERROR(VLOOKUP(B157,'Факт продаж'!S:X,6,0),"-")</f>
        <v>0.90644770954636256</v>
      </c>
      <c r="R157" s="44">
        <f>IF(AND(J157=0,P157&gt;0),5,IF(P157/J157&gt;5,5,IF(P157/J157=0,0.0000001,P157/J157)))</f>
        <v>2.0025913125363681</v>
      </c>
      <c r="S157" s="16">
        <f>IFERROR(VLOOKUP(B157,'Факт продаж'!AB:AD,2,0),"нет продаж")</f>
        <v>87</v>
      </c>
      <c r="T157" s="16">
        <f>IFERROR(VLOOKUP(B157,'Факт продаж'!AB:AD,3,0),"нет продаж")</f>
        <v>118296.16</v>
      </c>
      <c r="U157" s="16">
        <f>IFERROR(VLOOKUP(B157,'Факт продаж'!AB:AF,5,0),"нет продаж")</f>
        <v>55516.684763951023</v>
      </c>
      <c r="V157" s="7">
        <f>IFERROR(VLOOKUP(B157,'Факт продаж'!AB:AD,3,0)/SUM('План Антонова'!$C$20:$C$22),0)</f>
        <v>7.6877092622396135E-4</v>
      </c>
      <c r="W157" s="44">
        <f>IFERROR(VLOOKUP(B157,'Факт продаж'!AB:AG,6,0),"-")</f>
        <v>0.73619120207382327</v>
      </c>
      <c r="X157" s="44">
        <f>IF(AND(P157=0,V157&gt;0),5,IF(V157/P157&gt;5,5,IF(V157/P157=0,0.0000001,V157/P157)))</f>
        <v>1.9556021640139061</v>
      </c>
      <c r="Y157" s="44">
        <f>IFERROR(VLOOKUP(B157,'Факт продаж'!AB:AH,7,0),"-")</f>
        <v>1</v>
      </c>
      <c r="Z157" s="44">
        <f>IF(AND(F157=0,V157&gt;0),5,IF(V157/F157&gt;5,5,IF(V157/F157=0,0.0000001,V157/F157)))</f>
        <v>5</v>
      </c>
      <c r="AB157" s="10" t="str">
        <f>IFERROR(VLOOKUP(VALUE(IF(L157&lt;1,1,0)&amp;IF(J157&lt;'Факт продаж'!$M$24,0,1)),$AB$1:$AC$4,2,FALSE),"НЕТ ПРОДАЖ")</f>
        <v>Темная лошадка</v>
      </c>
      <c r="AC157" s="10" t="str">
        <f>IFERROR(VLOOKUP(VALUE(IF(R157&lt;1,1,0)&amp;IF(P157&lt;'Факт продаж'!$V$24,0,1)),$AB$1:$AC$4,2,FALSE),"НЕТ ПРОДАЖ")</f>
        <v>Темная лошадка</v>
      </c>
      <c r="AD157" s="10" t="str">
        <f>IFERROR(VLOOKUP(VALUE(IF(X157&lt;1,1,0)&amp;IF(V157&lt;'Факт продаж'!$AE$24,0,1)),$AB$1:$AC$4,2,FALSE),"НЕТ ПРОДАЖ")</f>
        <v>Темная лошадка</v>
      </c>
      <c r="AE157" s="18" t="str">
        <f>IFERROR(VLOOKUP(VALUE(IF(Z157&lt;1,1,0)&amp;IF(V157&lt;'Факт продаж'!$AE$24,0,1)),$AB$1:$AC$4,2,FALSE),"НЕТ ПРОДАЖ")</f>
        <v>Темная лошадка</v>
      </c>
      <c r="AF157" s="74" t="str">
        <f>VLOOKUP(B157,'ABC расчет'!B:G,6,0)</f>
        <v>C</v>
      </c>
      <c r="AG157" s="74" t="str">
        <f>VLOOKUP(B157,'ABC расчет'!K:P,6,0)</f>
        <v>B</v>
      </c>
      <c r="AH157" s="74" t="str">
        <f>VLOOKUP(B157,'ABC расчет'!T:Y,6,0)</f>
        <v>B</v>
      </c>
      <c r="AI157" s="74" t="str">
        <f>VLOOKUP(B157,'ABC расчет'!AC:AH,6,0)</f>
        <v>A</v>
      </c>
      <c r="AJ157" s="74" t="s">
        <v>452</v>
      </c>
      <c r="AK157" s="74"/>
      <c r="AL157" s="19"/>
    </row>
    <row r="158" spans="1:38" x14ac:dyDescent="0.3">
      <c r="A158" s="51" t="s">
        <v>252</v>
      </c>
      <c r="B158" s="21" t="s">
        <v>286</v>
      </c>
      <c r="C158" s="20">
        <f>IFERROR(VLOOKUP(B158,'Факт продаж'!A:B,2,0),"нет продаж")</f>
        <v>10</v>
      </c>
      <c r="D158" s="47">
        <f>IFERROR(VLOOKUP(B158,'Факт продаж'!A:C,3,0),"нет продаж")</f>
        <v>5825.1278999999995</v>
      </c>
      <c r="E158" s="47">
        <f>IFERROR(VLOOKUP(B158,'Факт продаж'!A:E,5,0),"нет продаж")</f>
        <v>2594.5485738496018</v>
      </c>
      <c r="F158" s="25">
        <f>IFERROR(VLOOKUP(B158,'Факт продаж'!A:C,3,0)/SUM('План Антонова'!$C$11:$C$13),0)</f>
        <v>4.4230813191070567E-5</v>
      </c>
      <c r="G158" s="5">
        <f>IFERROR(VLOOKUP(B158,'Факт продаж'!J:K,2,0),"нет продаж")</f>
        <v>209</v>
      </c>
      <c r="H158" s="48">
        <f>IFERROR(VLOOKUP(B158,'Факт продаж'!J:L,3,0),"нет продаж")</f>
        <v>146596.65</v>
      </c>
      <c r="I158" s="48">
        <f>IFERROR(VLOOKUP(B158,'Факт продаж'!J:N,5,0),"нет продаж")</f>
        <v>55585.082913753591</v>
      </c>
      <c r="J158" s="7">
        <f>IFERROR(VLOOKUP(B158,'Факт продаж'!J:L,3,0)/SUM('План Антонова'!$C$14:$C$16),0)</f>
        <v>1.0122293785527607E-3</v>
      </c>
      <c r="K158" s="44">
        <f>IFERROR(VLOOKUP(B158,'Факт продаж'!J:O,6,0),"-")</f>
        <v>20.423797370376651</v>
      </c>
      <c r="L158" s="44">
        <f>IF(AND(F158=0,J158&gt;0),5,IF(J158/F158&gt;5,5,IF(J158/F158=0,0.0000001,J158/F158)))</f>
        <v>5</v>
      </c>
      <c r="M158" s="5">
        <f>IFERROR(VLOOKUP(B158,'Факт продаж'!S:T,2,0),"нет продаж")</f>
        <v>333</v>
      </c>
      <c r="N158" s="48">
        <f>IFERROR(VLOOKUP(B158,'Факт продаж'!S:U,3,0),"нет продаж")</f>
        <v>390475</v>
      </c>
      <c r="O158" s="48">
        <f>IFERROR(VLOOKUP(B158,'Факт продаж'!S:W,5,0),"нет продаж")</f>
        <v>143890.21810378821</v>
      </c>
      <c r="P158" s="7">
        <f>IFERROR(VLOOKUP(B158,'Факт продаж'!S:U,3,0)/SUM('План Антонова'!$C$17:$C$19),0)</f>
        <v>2.3784028922357032E-3</v>
      </c>
      <c r="Q158" s="44">
        <f>IFERROR(VLOOKUP(B158,'Факт продаж'!S:X,6,0),"-")</f>
        <v>1.5886480789648152</v>
      </c>
      <c r="R158" s="44">
        <f>IF(AND(J158=0,P158&gt;0),5,IF(P158/J158&gt;5,5,IF(P158/J158=0,0.0000001,P158/J158)))</f>
        <v>2.3496679138440291</v>
      </c>
      <c r="S158" s="16">
        <f>IFERROR(VLOOKUP(B158,'Факт продаж'!AB:AD,2,0),"нет продаж")</f>
        <v>189</v>
      </c>
      <c r="T158" s="16">
        <f>IFERROR(VLOOKUP(B158,'Факт продаж'!AB:AD,3,0),"нет продаж")</f>
        <v>142766.70000000001</v>
      </c>
      <c r="U158" s="16">
        <f>IFERROR(VLOOKUP(B158,'Факт продаж'!AB:AF,5,0),"нет продаж")</f>
        <v>54344.567371770871</v>
      </c>
      <c r="V158" s="7">
        <f>IFERROR(VLOOKUP(B158,'Факт продаж'!AB:AD,3,0)/SUM('План Антонова'!$C$20:$C$22),0)</f>
        <v>9.2779755651357097E-4</v>
      </c>
      <c r="W158" s="44">
        <f>IFERROR(VLOOKUP(B158,'Факт продаж'!AB:AG,6,0),"-")</f>
        <v>-0.62231923692983737</v>
      </c>
      <c r="X158" s="44">
        <f>IF(AND(P158=0,V158&gt;0),5,IF(V158/P158&gt;5,5,IF(V158/P158=0,0.0000001,V158/P158)))</f>
        <v>0.39009267922704194</v>
      </c>
      <c r="Y158" s="44">
        <f>IFERROR(VLOOKUP(B158,'Факт продаж'!AB:AH,7,0),"-")</f>
        <v>19.945673524677307</v>
      </c>
      <c r="Z158" s="44">
        <f>IF(AND(F158=0,V158&gt;0),5,IF(V158/F158&gt;5,5,IF(V158/F158=0,0.0000001,V158/F158)))</f>
        <v>5</v>
      </c>
      <c r="AB158" s="10" t="str">
        <f>IFERROR(VLOOKUP(VALUE(IF(L158&lt;1,1,0)&amp;IF(J158&lt;'Факт продаж'!$M$24,0,1)),$AB$1:$AC$4,2,FALSE),"НЕТ ПРОДАЖ")</f>
        <v>Звезда</v>
      </c>
      <c r="AC158" s="10" t="str">
        <f>IFERROR(VLOOKUP(VALUE(IF(R158&lt;1,1,0)&amp;IF(P158&lt;'Факт продаж'!$V$24,0,1)),$AB$1:$AC$4,2,FALSE),"НЕТ ПРОДАЖ")</f>
        <v>Звезда</v>
      </c>
      <c r="AD158" s="10" t="str">
        <f>IFERROR(VLOOKUP(VALUE(IF(X158&lt;1,1,0)&amp;IF(V158&lt;'Факт продаж'!$AE$24,0,1)),$AB$1:$AC$4,2,FALSE),"НЕТ ПРОДАЖ")</f>
        <v>Корова</v>
      </c>
      <c r="AE158" s="18" t="str">
        <f>IFERROR(VLOOKUP(VALUE(IF(Z158&lt;1,1,0)&amp;IF(V158&lt;'Факт продаж'!$AE$24,0,1)),$AB$1:$AC$4,2,FALSE),"НЕТ ПРОДАЖ")</f>
        <v>Звезда</v>
      </c>
      <c r="AF158" s="74" t="str">
        <f>VLOOKUP(B158,'ABC расчет'!B:G,6,0)</f>
        <v>C</v>
      </c>
      <c r="AG158" s="74" t="str">
        <f>VLOOKUP(B158,'ABC расчет'!K:P,6,0)</f>
        <v>B</v>
      </c>
      <c r="AH158" s="74" t="str">
        <f>VLOOKUP(B158,'ABC расчет'!T:Y,6,0)</f>
        <v>B</v>
      </c>
      <c r="AI158" s="74" t="str">
        <f>VLOOKUP(B158,'ABC расчет'!AC:AH,6,0)</f>
        <v>B</v>
      </c>
      <c r="AJ158" s="74" t="s">
        <v>452</v>
      </c>
      <c r="AK158" s="74"/>
      <c r="AL158" s="19"/>
    </row>
    <row r="159" spans="1:38" x14ac:dyDescent="0.3">
      <c r="A159" s="51" t="s">
        <v>252</v>
      </c>
      <c r="B159" s="21" t="s">
        <v>266</v>
      </c>
      <c r="C159" s="20">
        <f>IFERROR(VLOOKUP(B159,'Факт продаж'!A:B,2,0),"нет продаж")</f>
        <v>8</v>
      </c>
      <c r="D159" s="47">
        <f>IFERROR(VLOOKUP(B159,'Факт продаж'!A:C,3,0),"нет продаж")</f>
        <v>13163.704600000001</v>
      </c>
      <c r="E159" s="47">
        <f>IFERROR(VLOOKUP(B159,'Факт продаж'!A:E,5,0),"нет продаж")</f>
        <v>5606.2530812857312</v>
      </c>
      <c r="F159" s="25">
        <f>IFERROR(VLOOKUP(B159,'Факт продаж'!A:C,3,0)/SUM('План Антонова'!$C$11:$C$13),0)</f>
        <v>9.9953403437723045E-5</v>
      </c>
      <c r="G159" s="5">
        <f>IFERROR(VLOOKUP(B159,'Факт продаж'!J:K,2,0),"нет продаж")</f>
        <v>25</v>
      </c>
      <c r="H159" s="48">
        <f>IFERROR(VLOOKUP(B159,'Факт продаж'!J:L,3,0),"нет продаж")</f>
        <v>42036.800000000003</v>
      </c>
      <c r="I159" s="48">
        <f>IFERROR(VLOOKUP(B159,'Факт продаж'!J:N,5,0),"нет продаж")</f>
        <v>16216.619934914466</v>
      </c>
      <c r="J159" s="7">
        <f>IFERROR(VLOOKUP(B159,'Факт продаж'!J:L,3,0)/SUM('План Антонова'!$C$14:$C$16),0)</f>
        <v>2.9025822854987954E-4</v>
      </c>
      <c r="K159" s="44">
        <f>IFERROR(VLOOKUP(B159,'Факт продаж'!J:O,6,0),"-")</f>
        <v>1.8925950540918794</v>
      </c>
      <c r="L159" s="44">
        <f>IF(AND(F159=0,J159&gt;0),5,IF(J159/F159&gt;5,5,IF(J159/F159=0,0.0000001,J159/F159)))</f>
        <v>2.9039354195750602</v>
      </c>
      <c r="M159" s="5">
        <f>IFERROR(VLOOKUP(B159,'Факт продаж'!S:T,2,0),"нет продаж")</f>
        <v>46</v>
      </c>
      <c r="N159" s="48">
        <f>IFERROR(VLOOKUP(B159,'Факт продаж'!S:U,3,0),"нет продаж")</f>
        <v>81278.399999999994</v>
      </c>
      <c r="O159" s="48">
        <f>IFERROR(VLOOKUP(B159,'Факт продаж'!S:W,5,0),"нет продаж")</f>
        <v>27988.621452630101</v>
      </c>
      <c r="P159" s="7">
        <f>IFERROR(VLOOKUP(B159,'Факт продаж'!S:U,3,0)/SUM('План Антонова'!$C$17:$C$19),0)</f>
        <v>4.9507082818692715E-4</v>
      </c>
      <c r="Q159" s="44">
        <f>IFERROR(VLOOKUP(B159,'Факт продаж'!S:X,6,0),"-")</f>
        <v>0.72592202104770642</v>
      </c>
      <c r="R159" s="44">
        <f>IF(AND(J159=0,P159&gt;0),5,IF(P159/J159&gt;5,5,IF(P159/J159=0,0.0000001,P159/J159)))</f>
        <v>1.7056220271869105</v>
      </c>
      <c r="S159" s="16">
        <f>IFERROR(VLOOKUP(B159,'Факт продаж'!AB:AD,2,0),"нет продаж")</f>
        <v>75</v>
      </c>
      <c r="T159" s="16">
        <f>IFERROR(VLOOKUP(B159,'Факт продаж'!AB:AD,3,0),"нет продаж")</f>
        <v>133312.1</v>
      </c>
      <c r="U159" s="16">
        <f>IFERROR(VLOOKUP(B159,'Факт продаж'!AB:AF,5,0),"нет продаж")</f>
        <v>52705.758311831873</v>
      </c>
      <c r="V159" s="7">
        <f>IFERROR(VLOOKUP(B159,'Факт продаж'!AB:AD,3,0)/SUM('План Антонова'!$C$20:$C$22),0)</f>
        <v>8.6635497376974339E-4</v>
      </c>
      <c r="W159" s="44">
        <f>IFERROR(VLOOKUP(B159,'Факт продаж'!AB:AG,6,0),"-")</f>
        <v>0.8831137646787921</v>
      </c>
      <c r="X159" s="44">
        <f>IF(AND(P159=0,V159&gt;0),5,IF(V159/P159&gt;5,5,IF(V159/P159=0,0.0000001,V159/P159)))</f>
        <v>1.7499616710250356</v>
      </c>
      <c r="Y159" s="44">
        <f>IFERROR(VLOOKUP(B159,'Факт продаж'!AB:AH,7,0),"-")</f>
        <v>8.4012449219906422</v>
      </c>
      <c r="Z159" s="44">
        <f>IF(AND(F159=0,V159&gt;0),5,IF(V159/F159&gt;5,5,IF(V159/F159=0,0.0000001,V159/F159)))</f>
        <v>5</v>
      </c>
      <c r="AB159" s="10" t="str">
        <f>IFERROR(VLOOKUP(VALUE(IF(L159&lt;1,1,0)&amp;IF(J159&lt;'Факт продаж'!$M$24,0,1)),$AB$1:$AC$4,2,FALSE),"НЕТ ПРОДАЖ")</f>
        <v>Темная лошадка</v>
      </c>
      <c r="AC159" s="10" t="str">
        <f>IFERROR(VLOOKUP(VALUE(IF(R159&lt;1,1,0)&amp;IF(P159&lt;'Факт продаж'!$V$24,0,1)),$AB$1:$AC$4,2,FALSE),"НЕТ ПРОДАЖ")</f>
        <v>Темная лошадка</v>
      </c>
      <c r="AD159" s="10" t="str">
        <f>IFERROR(VLOOKUP(VALUE(IF(X159&lt;1,1,0)&amp;IF(V159&lt;'Факт продаж'!$AE$24,0,1)),$AB$1:$AC$4,2,FALSE),"НЕТ ПРОДАЖ")</f>
        <v>Звезда</v>
      </c>
      <c r="AE159" s="18" t="str">
        <f>IFERROR(VLOOKUP(VALUE(IF(Z159&lt;1,1,0)&amp;IF(V159&lt;'Факт продаж'!$AE$24,0,1)),$AB$1:$AC$4,2,FALSE),"НЕТ ПРОДАЖ")</f>
        <v>Звезда</v>
      </c>
      <c r="AF159" s="74" t="str">
        <f>VLOOKUP(B159,'ABC расчет'!B:G,6,0)</f>
        <v>C</v>
      </c>
      <c r="AG159" s="74" t="str">
        <f>VLOOKUP(B159,'ABC расчет'!K:P,6,0)</f>
        <v>C</v>
      </c>
      <c r="AH159" s="74" t="str">
        <f>VLOOKUP(B159,'ABC расчет'!T:Y,6,0)</f>
        <v>C</v>
      </c>
      <c r="AI159" s="74" t="str">
        <f>VLOOKUP(B159,'ABC расчет'!AC:AH,6,0)</f>
        <v>C</v>
      </c>
      <c r="AJ159" s="74" t="s">
        <v>452</v>
      </c>
      <c r="AK159" s="74"/>
      <c r="AL159" s="19"/>
    </row>
    <row r="160" spans="1:38" x14ac:dyDescent="0.3">
      <c r="A160" s="51" t="s">
        <v>116</v>
      </c>
      <c r="B160" s="21" t="s">
        <v>43</v>
      </c>
      <c r="C160" s="20">
        <f>IFERROR(VLOOKUP(B160,'Факт продаж'!A:B,2,0),"нет продаж")</f>
        <v>1001</v>
      </c>
      <c r="D160" s="47">
        <f>IFERROR(VLOOKUP(B160,'Факт продаж'!A:C,3,0),"нет продаж")</f>
        <v>2748966.3221</v>
      </c>
      <c r="E160" s="47">
        <f>IFERROR(VLOOKUP(B160,'Факт продаж'!A:E,5,0),"нет продаж")</f>
        <v>595016.09369794803</v>
      </c>
      <c r="F160" s="25">
        <f>IFERROR(VLOOKUP(B160,'Факт продаж'!A:C,3,0)/SUM('План Антонова'!$C$11:$C$13),0)</f>
        <v>2.0873192477258641E-2</v>
      </c>
      <c r="G160" s="5">
        <f>IFERROR(VLOOKUP(B160,'Факт продаж'!J:K,2,0),"нет продаж")</f>
        <v>80</v>
      </c>
      <c r="H160" s="48">
        <f>IFERROR(VLOOKUP(B160,'Факт продаж'!J:L,3,0),"нет продаж")</f>
        <v>172847.15</v>
      </c>
      <c r="I160" s="48">
        <f>IFERROR(VLOOKUP(B160,'Факт продаж'!J:N,5,0),"нет продаж")</f>
        <v>65390.19836283155</v>
      </c>
      <c r="J160" s="7">
        <f>IFERROR(VLOOKUP(B160,'Факт продаж'!J:L,3,0)/SUM('План Антонова'!$C$14:$C$16),0)</f>
        <v>1.1934854120412425E-3</v>
      </c>
      <c r="K160" s="44">
        <f>IFERROR(VLOOKUP(B160,'Факт продаж'!J:O,6,0),"-")</f>
        <v>-0.89010347945979085</v>
      </c>
      <c r="L160" s="44">
        <f>IF(AND(F160=0,J160&gt;0),5,IF(J160/F160&gt;5,5,IF(J160/F160=0,0.0000001,J160/F160)))</f>
        <v>5.7177904785841734E-2</v>
      </c>
      <c r="M160" s="5">
        <f>IFERROR(VLOOKUP(B160,'Факт продаж'!S:T,2,0),"нет продаж")</f>
        <v>30</v>
      </c>
      <c r="N160" s="48">
        <f>IFERROR(VLOOKUP(B160,'Факт продаж'!S:U,3,0),"нет продаж")</f>
        <v>58911.8</v>
      </c>
      <c r="O160" s="48">
        <f>IFERROR(VLOOKUP(B160,'Факт продаж'!S:W,5,0),"нет продаж")</f>
        <v>26904.654530282976</v>
      </c>
      <c r="P160" s="7">
        <f>IFERROR(VLOOKUP(B160,'Факт продаж'!S:U,3,0)/SUM('План Антонова'!$C$17:$C$19),0)</f>
        <v>3.5883474103799555E-4</v>
      </c>
      <c r="Q160" s="44">
        <f>IFERROR(VLOOKUP(B160,'Факт продаж'!S:X,6,0),"-")</f>
        <v>-0.58855218054246095</v>
      </c>
      <c r="R160" s="44">
        <f>IF(AND(J160=0,P160&gt;0),5,IF(P160/J160&gt;5,5,IF(P160/J160=0,0.0000001,P160/J160)))</f>
        <v>0.30066118732383429</v>
      </c>
      <c r="S160" s="16">
        <f>IFERROR(VLOOKUP(B160,'Факт продаж'!AB:AD,2,0),"нет продаж")</f>
        <v>51</v>
      </c>
      <c r="T160" s="16">
        <f>IFERROR(VLOOKUP(B160,'Факт продаж'!AB:AD,3,0),"нет продаж")</f>
        <v>119205.40000000001</v>
      </c>
      <c r="U160" s="16">
        <f>IFERROR(VLOOKUP(B160,'Факт продаж'!AB:AF,5,0),"нет продаж")</f>
        <v>51124.628991710546</v>
      </c>
      <c r="V160" s="7">
        <f>IFERROR(VLOOKUP(B160,'Факт продаж'!AB:AD,3,0)/SUM('План Антонова'!$C$20:$C$22),0)</f>
        <v>7.7467980168500659E-4</v>
      </c>
      <c r="W160" s="44">
        <f>IFERROR(VLOOKUP(B160,'Факт продаж'!AB:AG,6,0),"-")</f>
        <v>0.90021503283628412</v>
      </c>
      <c r="X160" s="44">
        <f>IF(AND(P160=0,V160&gt;0),5,IF(V160/P160&gt;5,5,IF(V160/P160=0,0.0000001,V160/P160)))</f>
        <v>2.1588762544119966</v>
      </c>
      <c r="Y160" s="44">
        <f>IFERROR(VLOOKUP(B160,'Факт продаж'!AB:AH,7,0),"-")</f>
        <v>-0.91407857781799218</v>
      </c>
      <c r="Z160" s="44">
        <f>IF(AND(F160=0,V160&gt;0),5,IF(V160/F160&gt;5,5,IF(V160/F160=0,0.0000001,V160/F160)))</f>
        <v>3.7113623252840733E-2</v>
      </c>
      <c r="AB160" s="10" t="str">
        <f>IFERROR(VLOOKUP(VALUE(IF(L160&lt;1,1,0)&amp;IF(J160&lt;'Факт продаж'!$M$24,0,1)),$AB$1:$AC$4,2,FALSE),"НЕТ ПРОДАЖ")</f>
        <v>Корова</v>
      </c>
      <c r="AC160" s="10" t="str">
        <f>IFERROR(VLOOKUP(VALUE(IF(R160&lt;1,1,0)&amp;IF(P160&lt;'Факт продаж'!$V$24,0,1)),$AB$1:$AC$4,2,FALSE),"НЕТ ПРОДАЖ")</f>
        <v>Собака</v>
      </c>
      <c r="AD160" s="10" t="str">
        <f>IFERROR(VLOOKUP(VALUE(IF(X160&lt;1,1,0)&amp;IF(V160&lt;'Факт продаж'!$AE$24,0,1)),$AB$1:$AC$4,2,FALSE),"НЕТ ПРОДАЖ")</f>
        <v>Темная лошадка</v>
      </c>
      <c r="AE160" s="18" t="str">
        <f>IFERROR(VLOOKUP(VALUE(IF(Z160&lt;1,1,0)&amp;IF(V160&lt;'Факт продаж'!$AE$24,0,1)),$AB$1:$AC$4,2,FALSE),"НЕТ ПРОДАЖ")</f>
        <v>Собака</v>
      </c>
      <c r="AF160" s="74" t="str">
        <f>VLOOKUP(B160,'ABC расчет'!B:G,6,0)</f>
        <v>A</v>
      </c>
      <c r="AG160" s="74" t="str">
        <f>VLOOKUP(B160,'ABC расчет'!K:P,6,0)</f>
        <v>C</v>
      </c>
      <c r="AH160" s="74" t="str">
        <f>VLOOKUP(B160,'ABC расчет'!T:Y,6,0)</f>
        <v>C</v>
      </c>
      <c r="AI160" s="74" t="str">
        <f>VLOOKUP(B160,'ABC расчет'!AC:AH,6,0)</f>
        <v>C</v>
      </c>
      <c r="AJ160" s="74"/>
      <c r="AK160" s="74"/>
      <c r="AL160" s="19"/>
    </row>
    <row r="161" spans="1:38" x14ac:dyDescent="0.3">
      <c r="A161" s="51" t="s">
        <v>256</v>
      </c>
      <c r="B161" s="21" t="s">
        <v>147</v>
      </c>
      <c r="C161" s="20">
        <f>IFERROR(VLOOKUP(B161,'Факт продаж'!A:B,2,0),"нет продаж")</f>
        <v>2</v>
      </c>
      <c r="D161" s="47">
        <f>IFERROR(VLOOKUP(B161,'Факт продаж'!A:C,3,0),"нет продаж")</f>
        <v>8888.3222999999998</v>
      </c>
      <c r="E161" s="47">
        <f>IFERROR(VLOOKUP(B161,'Факт продаж'!A:E,5,0),"нет продаж")</f>
        <v>4499.221437669692</v>
      </c>
      <c r="F161" s="25">
        <f>IFERROR(VLOOKUP(B161,'Факт продаж'!A:C,3,0)/SUM('План Антонова'!$C$11:$C$13),0)</f>
        <v>6.7489972749495636E-5</v>
      </c>
      <c r="G161" s="5">
        <f>IFERROR(VLOOKUP(B161,'Факт продаж'!J:K,2,0),"нет продаж")</f>
        <v>71</v>
      </c>
      <c r="H161" s="48">
        <f>IFERROR(VLOOKUP(B161,'Факт продаж'!J:L,3,0),"нет продаж")</f>
        <v>309980.15000000002</v>
      </c>
      <c r="I161" s="48">
        <f>IFERROR(VLOOKUP(B161,'Факт продаж'!J:N,5,0),"нет продаж")</f>
        <v>125553.71693486115</v>
      </c>
      <c r="J161" s="7">
        <f>IFERROR(VLOOKUP(B161,'Факт продаж'!J:L,3,0)/SUM('План Антонова'!$C$14:$C$16),0)</f>
        <v>2.1403696100708411E-3</v>
      </c>
      <c r="K161" s="44">
        <f>IFERROR(VLOOKUP(B161,'Факт продаж'!J:O,6,0),"-")</f>
        <v>26.905654050201608</v>
      </c>
      <c r="L161" s="44">
        <f>IF(AND(F161=0,J161&gt;0),5,IF(J161/F161&gt;5,5,IF(J161/F161=0,0.0000001,J161/F161)))</f>
        <v>5</v>
      </c>
      <c r="M161" s="5">
        <f>IFERROR(VLOOKUP(B161,'Факт продаж'!S:T,2,0),"нет продаж")</f>
        <v>57</v>
      </c>
      <c r="N161" s="48">
        <f>IFERROR(VLOOKUP(B161,'Факт продаж'!S:U,3,0),"нет продаж")</f>
        <v>263085.34999999998</v>
      </c>
      <c r="O161" s="48">
        <f>IFERROR(VLOOKUP(B161,'Факт продаж'!S:W,5,0),"нет продаж")</f>
        <v>72269.850967115723</v>
      </c>
      <c r="P161" s="7">
        <f>IFERROR(VLOOKUP(B161,'Факт продаж'!S:U,3,0)/SUM('План Антонова'!$C$17:$C$19),0)</f>
        <v>1.6024661177920282E-3</v>
      </c>
      <c r="Q161" s="44">
        <f>IFERROR(VLOOKUP(B161,'Факт продаж'!S:X,6,0),"-")</f>
        <v>-0.42439098792582752</v>
      </c>
      <c r="R161" s="44">
        <f>IF(AND(J161=0,P161&gt;0),5,IF(P161/J161&gt;5,5,IF(P161/J161=0,0.0000001,P161/J161)))</f>
        <v>0.74868663349176889</v>
      </c>
      <c r="S161" s="16">
        <f>IFERROR(VLOOKUP(B161,'Факт продаж'!AB:AD,2,0),"нет продаж")</f>
        <v>34</v>
      </c>
      <c r="T161" s="16">
        <f>IFERROR(VLOOKUP(B161,'Факт продаж'!AB:AD,3,0),"нет продаж")</f>
        <v>164743.95000000001</v>
      </c>
      <c r="U161" s="16">
        <f>IFERROR(VLOOKUP(B161,'Факт продаж'!AB:AF,5,0),"нет продаж")</f>
        <v>50888.398370391267</v>
      </c>
      <c r="V161" s="7">
        <f>IFERROR(VLOOKUP(B161,'Факт продаж'!AB:AD,3,0)/SUM('План Антонова'!$C$20:$C$22),0)</f>
        <v>1.0706210500095183E-3</v>
      </c>
      <c r="W161" s="44">
        <f>IFERROR(VLOOKUP(B161,'Факт продаж'!AB:AG,6,0),"-")</f>
        <v>-0.29585577264374685</v>
      </c>
      <c r="X161" s="44">
        <f>IF(AND(P161=0,V161&gt;0),5,IF(V161/P161&gt;5,5,IF(V161/P161=0,0.0000001,V161/P161)))</f>
        <v>0.6681083850213837</v>
      </c>
      <c r="Y161" s="44">
        <f>IFERROR(VLOOKUP(B161,'Факт продаж'!AB:AH,7,0),"-")</f>
        <v>10.310489842604456</v>
      </c>
      <c r="Z161" s="44">
        <f>IF(AND(F161=0,V161&gt;0),5,IF(V161/F161&gt;5,5,IF(V161/F161=0,0.0000001,V161/F161)))</f>
        <v>5</v>
      </c>
      <c r="AB161" s="10" t="str">
        <f>IFERROR(VLOOKUP(VALUE(IF(L161&lt;1,1,0)&amp;IF(J161&lt;'Факт продаж'!$M$24,0,1)),$AB$1:$AC$4,2,FALSE),"НЕТ ПРОДАЖ")</f>
        <v>Звезда</v>
      </c>
      <c r="AC161" s="10" t="str">
        <f>IFERROR(VLOOKUP(VALUE(IF(R161&lt;1,1,0)&amp;IF(P161&lt;'Факт продаж'!$V$24,0,1)),$AB$1:$AC$4,2,FALSE),"НЕТ ПРОДАЖ")</f>
        <v>Корова</v>
      </c>
      <c r="AD161" s="10" t="str">
        <f>IFERROR(VLOOKUP(VALUE(IF(X161&lt;1,1,0)&amp;IF(V161&lt;'Факт продаж'!$AE$24,0,1)),$AB$1:$AC$4,2,FALSE),"НЕТ ПРОДАЖ")</f>
        <v>Корова</v>
      </c>
      <c r="AE161" s="18" t="str">
        <f>IFERROR(VLOOKUP(VALUE(IF(Z161&lt;1,1,0)&amp;IF(V161&lt;'Факт продаж'!$AE$24,0,1)),$AB$1:$AC$4,2,FALSE),"НЕТ ПРОДАЖ")</f>
        <v>Звезда</v>
      </c>
      <c r="AF161" s="74" t="str">
        <f>VLOOKUP(B161,'ABC расчет'!B:G,6,0)</f>
        <v>C</v>
      </c>
      <c r="AG161" s="74" t="str">
        <f>VLOOKUP(B161,'ABC расчет'!K:P,6,0)</f>
        <v>B</v>
      </c>
      <c r="AH161" s="74" t="str">
        <f>VLOOKUP(B161,'ABC расчет'!T:Y,6,0)</f>
        <v>B</v>
      </c>
      <c r="AI161" s="74" t="str">
        <f>VLOOKUP(B161,'ABC расчет'!AC:AH,6,0)</f>
        <v>B</v>
      </c>
      <c r="AJ161" s="74"/>
      <c r="AK161" s="74"/>
      <c r="AL161" s="19"/>
    </row>
    <row r="162" spans="1:38" x14ac:dyDescent="0.3">
      <c r="A162" s="51" t="s">
        <v>251</v>
      </c>
      <c r="B162" s="21" t="s">
        <v>41</v>
      </c>
      <c r="C162" s="20" t="str">
        <f>IFERROR(VLOOKUP(B162,'Факт продаж'!A:B,2,0),"нет продаж")</f>
        <v>нет продаж</v>
      </c>
      <c r="D162" s="47" t="str">
        <f>IFERROR(VLOOKUP(B162,'Факт продаж'!A:C,3,0),"нет продаж")</f>
        <v>нет продаж</v>
      </c>
      <c r="E162" s="47" t="str">
        <f>IFERROR(VLOOKUP(B162,'Факт продаж'!A:E,5,0),"нет продаж")</f>
        <v>нет продаж</v>
      </c>
      <c r="F162" s="25">
        <f>IFERROR(VLOOKUP(B162,'Факт продаж'!A:C,3,0)/SUM('План Антонова'!$C$11:$C$13),0)</f>
        <v>0</v>
      </c>
      <c r="G162" s="5">
        <f>IFERROR(VLOOKUP(B162,'Факт продаж'!J:K,2,0),"нет продаж")</f>
        <v>19</v>
      </c>
      <c r="H162" s="48">
        <f>IFERROR(VLOOKUP(B162,'Факт продаж'!J:L,3,0),"нет продаж")</f>
        <v>116435.90000000001</v>
      </c>
      <c r="I162" s="48">
        <f>IFERROR(VLOOKUP(B162,'Факт продаж'!J:N,5,0),"нет продаж")</f>
        <v>46624.114545014345</v>
      </c>
      <c r="J162" s="7">
        <f>IFERROR(VLOOKUP(B162,'Факт продаж'!J:L,3,0)/SUM('План Антонова'!$C$14:$C$16),0)</f>
        <v>8.0397361534681325E-4</v>
      </c>
      <c r="K162" s="44">
        <f>IFERROR(VLOOKUP(B162,'Факт продаж'!J:O,6,0),"-")</f>
        <v>1</v>
      </c>
      <c r="L162" s="44">
        <f>IF(AND(F162=0,J162&gt;0),5,IF(J162/F162&gt;5,5,IF(J162/F162=0,0.0000001,J162/F162)))</f>
        <v>5</v>
      </c>
      <c r="M162" s="5">
        <f>IFERROR(VLOOKUP(B162,'Факт продаж'!S:T,2,0),"нет продаж")</f>
        <v>1</v>
      </c>
      <c r="N162" s="48">
        <f>IFERROR(VLOOKUP(B162,'Факт продаж'!S:U,3,0),"нет продаж")</f>
        <v>7605</v>
      </c>
      <c r="O162" s="48">
        <f>IFERROR(VLOOKUP(B162,'Факт продаж'!S:W,5,0),"нет продаж")</f>
        <v>-43.327570261842311</v>
      </c>
      <c r="P162" s="7">
        <f>IFERROR(VLOOKUP(B162,'Факт продаж'!S:U,3,0)/SUM('План Антонова'!$C$17:$C$19),0)</f>
        <v>4.6322438044567573E-5</v>
      </c>
      <c r="Q162" s="44">
        <f>IFERROR(VLOOKUP(B162,'Факт продаж'!S:X,6,0),"-")</f>
        <v>-1.0009292952946058</v>
      </c>
      <c r="R162" s="44">
        <f>IF(AND(J162=0,P162&gt;0),5,IF(P162/J162&gt;5,5,IF(P162/J162=0,0.0000001,P162/J162)))</f>
        <v>5.7616863489463245E-2</v>
      </c>
      <c r="S162" s="16">
        <f>IFERROR(VLOOKUP(B162,'Факт продаж'!AB:AD,2,0),"нет продаж")</f>
        <v>22</v>
      </c>
      <c r="T162" s="16">
        <f>IFERROR(VLOOKUP(B162,'Факт продаж'!AB:AD,3,0),"нет продаж")</f>
        <v>133456.5</v>
      </c>
      <c r="U162" s="16">
        <f>IFERROR(VLOOKUP(B162,'Факт продаж'!AB:AF,5,0),"нет продаж")</f>
        <v>50411.907442107804</v>
      </c>
      <c r="V162" s="7">
        <f>IFERROR(VLOOKUP(B162,'Факт продаж'!AB:AD,3,0)/SUM('План Антонова'!$C$20:$C$22),0)</f>
        <v>8.6729338564842768E-4</v>
      </c>
      <c r="W162" s="44">
        <f>IFERROR(VLOOKUP(B162,'Факт продаж'!AB:AG,6,0),"-")</f>
        <v>-1164.5064495297702</v>
      </c>
      <c r="X162" s="44">
        <f>IF(AND(P162=0,V162&gt;0),5,IF(V162/P162&gt;5,5,IF(V162/P162=0,0.0000001,V162/P162)))</f>
        <v>5</v>
      </c>
      <c r="Y162" s="44">
        <f>IFERROR(VLOOKUP(B162,'Факт продаж'!AB:AH,7,0),"-")</f>
        <v>1</v>
      </c>
      <c r="Z162" s="44">
        <f>IF(AND(F162=0,V162&gt;0),5,IF(V162/F162&gt;5,5,IF(V162/F162=0,0.0000001,V162/F162)))</f>
        <v>5</v>
      </c>
      <c r="AB162" s="10" t="str">
        <f>IFERROR(VLOOKUP(VALUE(IF(L162&lt;1,1,0)&amp;IF(J162&lt;'Факт продаж'!$M$24,0,1)),$AB$1:$AC$4,2,FALSE),"НЕТ ПРОДАЖ")</f>
        <v>Темная лошадка</v>
      </c>
      <c r="AC162" s="10" t="str">
        <f>IFERROR(VLOOKUP(VALUE(IF(R162&lt;1,1,0)&amp;IF(P162&lt;'Факт продаж'!$V$24,0,1)),$AB$1:$AC$4,2,FALSE),"НЕТ ПРОДАЖ")</f>
        <v>Собака</v>
      </c>
      <c r="AD162" s="10" t="str">
        <f>IFERROR(VLOOKUP(VALUE(IF(X162&lt;1,1,0)&amp;IF(V162&lt;'Факт продаж'!$AE$24,0,1)),$AB$1:$AC$4,2,FALSE),"НЕТ ПРОДАЖ")</f>
        <v>Звезда</v>
      </c>
      <c r="AE162" s="18" t="str">
        <f>IFERROR(VLOOKUP(VALUE(IF(Z162&lt;1,1,0)&amp;IF(V162&lt;'Факт продаж'!$AE$24,0,1)),$AB$1:$AC$4,2,FALSE),"НЕТ ПРОДАЖ")</f>
        <v>Звезда</v>
      </c>
      <c r="AF162" s="74" t="str">
        <f>VLOOKUP(B162,'ABC расчет'!B:G,6,0)</f>
        <v>C</v>
      </c>
      <c r="AG162" s="74" t="str">
        <f>VLOOKUP(B162,'ABC расчет'!K:P,6,0)</f>
        <v>C</v>
      </c>
      <c r="AH162" s="74" t="str">
        <f>VLOOKUP(B162,'ABC расчет'!T:Y,6,0)</f>
        <v>C</v>
      </c>
      <c r="AI162" s="74" t="str">
        <f>VLOOKUP(B162,'ABC расчет'!AC:AH,6,0)</f>
        <v>C</v>
      </c>
      <c r="AJ162" s="74"/>
      <c r="AK162" s="74"/>
      <c r="AL162" s="19"/>
    </row>
    <row r="163" spans="1:38" x14ac:dyDescent="0.3">
      <c r="A163" s="51" t="s">
        <v>388</v>
      </c>
      <c r="B163" s="21" t="s">
        <v>300</v>
      </c>
      <c r="C163" s="20" t="str">
        <f>IFERROR(VLOOKUP(B163,'Факт продаж'!A:B,2,0),"нет продаж")</f>
        <v>нет продаж</v>
      </c>
      <c r="D163" s="47" t="str">
        <f>IFERROR(VLOOKUP(B163,'Факт продаж'!A:C,3,0),"нет продаж")</f>
        <v>нет продаж</v>
      </c>
      <c r="E163" s="47" t="str">
        <f>IFERROR(VLOOKUP(B163,'Факт продаж'!A:E,5,0),"нет продаж")</f>
        <v>нет продаж</v>
      </c>
      <c r="F163" s="25">
        <f>IFERROR(VLOOKUP(B163,'Факт продаж'!A:C,3,0)/SUM('План Антонова'!$C$11:$C$13),0)</f>
        <v>0</v>
      </c>
      <c r="G163" s="5">
        <f>IFERROR(VLOOKUP(B163,'Факт продаж'!J:K,2,0),"нет продаж")</f>
        <v>1</v>
      </c>
      <c r="H163" s="48">
        <f>IFERROR(VLOOKUP(B163,'Факт продаж'!J:L,3,0),"нет продаж")</f>
        <v>9965</v>
      </c>
      <c r="I163" s="48">
        <f>IFERROR(VLOOKUP(B163,'Факт продаж'!J:N,5,0),"нет продаж")</f>
        <v>5072.2354173179838</v>
      </c>
      <c r="J163" s="7">
        <f>IFERROR(VLOOKUP(B163,'Факт продаж'!J:L,3,0)/SUM('План Антонова'!$C$14:$C$16),0)</f>
        <v>6.8806932199871282E-5</v>
      </c>
      <c r="K163" s="44">
        <f>IFERROR(VLOOKUP(B163,'Факт продаж'!J:O,6,0),"-")</f>
        <v>1</v>
      </c>
      <c r="L163" s="44">
        <f>IF(AND(F163=0,J163&gt;0),5,IF(J163/F163&gt;5,5,IF(J163/F163=0,0.0000001,J163/F163)))</f>
        <v>5</v>
      </c>
      <c r="M163" s="5">
        <f>IFERROR(VLOOKUP(B163,'Факт продаж'!S:T,2,0),"нет продаж")</f>
        <v>15</v>
      </c>
      <c r="N163" s="48">
        <f>IFERROR(VLOOKUP(B163,'Факт продаж'!S:U,3,0),"нет продаж")</f>
        <v>78209.98000000001</v>
      </c>
      <c r="O163" s="48">
        <f>IFERROR(VLOOKUP(B163,'Факт продаж'!S:W,5,0),"нет продаж")</f>
        <v>52950.315095640399</v>
      </c>
      <c r="P163" s="7">
        <f>IFERROR(VLOOKUP(B163,'Факт продаж'!S:U,3,0)/SUM('План Антонова'!$C$17:$C$19),0)</f>
        <v>4.7638092741839175E-4</v>
      </c>
      <c r="Q163" s="44">
        <f>IFERROR(VLOOKUP(B163,'Факт продаж'!S:X,6,0),"-")</f>
        <v>9.4392463557298036</v>
      </c>
      <c r="R163" s="44">
        <f>IF(AND(J163=0,P163&gt;0),5,IF(P163/J163&gt;5,5,IF(P163/J163=0,0.0000001,P163/J163)))</f>
        <v>5</v>
      </c>
      <c r="S163" s="16">
        <f>IFERROR(VLOOKUP(B163,'Факт продаж'!AB:AD,2,0),"нет продаж")</f>
        <v>17</v>
      </c>
      <c r="T163" s="16">
        <f>IFERROR(VLOOKUP(B163,'Факт продаж'!AB:AD,3,0),"нет продаж")</f>
        <v>91475</v>
      </c>
      <c r="U163" s="16">
        <f>IFERROR(VLOOKUP(B163,'Факт продаж'!AB:AF,5,0),"нет продаж")</f>
        <v>48135.521748463878</v>
      </c>
      <c r="V163" s="7">
        <f>IFERROR(VLOOKUP(B163,'Факт продаж'!AB:AD,3,0)/SUM('План Антонова'!$C$20:$C$22),0)</f>
        <v>5.9446832827318198E-4</v>
      </c>
      <c r="W163" s="44">
        <f>IFERROR(VLOOKUP(B163,'Факт продаж'!AB:AG,6,0),"-")</f>
        <v>-9.0930400290912372E-2</v>
      </c>
      <c r="X163" s="44">
        <f>IF(AND(P163=0,V163&gt;0),5,IF(V163/P163&gt;5,5,IF(V163/P163=0,0.0000001,V163/P163)))</f>
        <v>1.2478844010290895</v>
      </c>
      <c r="Y163" s="44">
        <f>IFERROR(VLOOKUP(B163,'Факт продаж'!AB:AH,7,0),"-")</f>
        <v>1</v>
      </c>
      <c r="Z163" s="44">
        <f>IF(AND(F163=0,V163&gt;0),5,IF(V163/F163&gt;5,5,IF(V163/F163=0,0.0000001,V163/F163)))</f>
        <v>5</v>
      </c>
      <c r="AB163" s="10" t="str">
        <f>IFERROR(VLOOKUP(VALUE(IF(L163&lt;1,1,0)&amp;IF(J163&lt;'Факт продаж'!$M$24,0,1)),$AB$1:$AC$4,2,FALSE),"НЕТ ПРОДАЖ")</f>
        <v>Темная лошадка</v>
      </c>
      <c r="AC163" s="10" t="str">
        <f>IFERROR(VLOOKUP(VALUE(IF(R163&lt;1,1,0)&amp;IF(P163&lt;'Факт продаж'!$V$24,0,1)),$AB$1:$AC$4,2,FALSE),"НЕТ ПРОДАЖ")</f>
        <v>Темная лошадка</v>
      </c>
      <c r="AD163" s="10" t="str">
        <f>IFERROR(VLOOKUP(VALUE(IF(X163&lt;1,1,0)&amp;IF(V163&lt;'Факт продаж'!$AE$24,0,1)),$AB$1:$AC$4,2,FALSE),"НЕТ ПРОДАЖ")</f>
        <v>Темная лошадка</v>
      </c>
      <c r="AE163" s="18" t="str">
        <f>IFERROR(VLOOKUP(VALUE(IF(Z163&lt;1,1,0)&amp;IF(V163&lt;'Факт продаж'!$AE$24,0,1)),$AB$1:$AC$4,2,FALSE),"НЕТ ПРОДАЖ")</f>
        <v>Темная лошадка</v>
      </c>
      <c r="AF163" s="74" t="str">
        <f>VLOOKUP(B163,'ABC расчет'!B:G,6,0)</f>
        <v>C</v>
      </c>
      <c r="AG163" s="74" t="str">
        <f>VLOOKUP(B163,'ABC расчет'!K:P,6,0)</f>
        <v>C</v>
      </c>
      <c r="AH163" s="74" t="str">
        <f>VLOOKUP(B163,'ABC расчет'!T:Y,6,0)</f>
        <v>B</v>
      </c>
      <c r="AI163" s="74" t="str">
        <f>VLOOKUP(B163,'ABC расчет'!AC:AH,6,0)</f>
        <v>C</v>
      </c>
      <c r="AJ163" s="74"/>
      <c r="AK163" s="74"/>
      <c r="AL163" s="19"/>
    </row>
    <row r="164" spans="1:38" x14ac:dyDescent="0.3">
      <c r="A164" s="51" t="s">
        <v>252</v>
      </c>
      <c r="B164" s="20" t="s">
        <v>100</v>
      </c>
      <c r="C164" s="20">
        <f>IFERROR(VLOOKUP(B164,'Факт продаж'!A:B,2,0),"нет продаж")</f>
        <v>2</v>
      </c>
      <c r="D164" s="47">
        <f>IFERROR(VLOOKUP(B164,'Факт продаж'!A:C,3,0),"нет продаж")</f>
        <v>2175.1091999999999</v>
      </c>
      <c r="E164" s="47">
        <f>IFERROR(VLOOKUP(B164,'Факт продаж'!A:E,5,0),"нет продаж")</f>
        <v>895.24313040625589</v>
      </c>
      <c r="F164" s="25">
        <f>IFERROR(VLOOKUP(B164,'Факт продаж'!A:C,3,0)/SUM('План Антонова'!$C$11:$C$13),0)</f>
        <v>1.6515834561397176E-5</v>
      </c>
      <c r="G164" s="5">
        <f>IFERROR(VLOOKUP(B164,'Факт продаж'!J:K,2,0),"нет продаж")</f>
        <v>54</v>
      </c>
      <c r="H164" s="48">
        <f>IFERROR(VLOOKUP(B164,'Факт продаж'!J:L,3,0),"нет продаж")</f>
        <v>63748.800000000003</v>
      </c>
      <c r="I164" s="48">
        <f>IFERROR(VLOOKUP(B164,'Факт продаж'!J:N,5,0),"нет продаж")</f>
        <v>27710.846549203514</v>
      </c>
      <c r="J164" s="7">
        <f>IFERROR(VLOOKUP(B164,'Факт продаж'!J:L,3,0)/SUM('План Антонова'!$C$14:$C$16),0)</f>
        <v>4.4017655388089863E-4</v>
      </c>
      <c r="K164" s="44">
        <f>IFERROR(VLOOKUP(B164,'Факт продаж'!J:O,6,0),"-")</f>
        <v>29.953431093772817</v>
      </c>
      <c r="L164" s="44">
        <f>IF(AND(F164=0,J164&gt;0),5,IF(J164/F164&gt;5,5,IF(J164/F164=0,0.0000001,J164/F164)))</f>
        <v>5</v>
      </c>
      <c r="M164" s="5">
        <f>IFERROR(VLOOKUP(B164,'Факт продаж'!S:T,2,0),"нет продаж")</f>
        <v>52</v>
      </c>
      <c r="N164" s="48">
        <f>IFERROR(VLOOKUP(B164,'Факт продаж'!S:U,3,0),"нет продаж")</f>
        <v>62459.3</v>
      </c>
      <c r="O164" s="48">
        <f>IFERROR(VLOOKUP(B164,'Факт продаж'!S:W,5,0),"нет продаж")</f>
        <v>29720.488617067655</v>
      </c>
      <c r="P164" s="7">
        <f>IFERROR(VLOOKUP(B164,'Факт продаж'!S:U,3,0)/SUM('План Антонова'!$C$17:$C$19),0)</f>
        <v>3.8044274221657584E-4</v>
      </c>
      <c r="Q164" s="44">
        <f>IFERROR(VLOOKUP(B164,'Факт продаж'!S:X,6,0),"-")</f>
        <v>7.2521857616143492E-2</v>
      </c>
      <c r="R164" s="44">
        <f>IF(AND(J164=0,P164&gt;0),5,IF(P164/J164&gt;5,5,IF(P164/J164=0,0.0000001,P164/J164)))</f>
        <v>0.86429578963788845</v>
      </c>
      <c r="S164" s="16">
        <f>IFERROR(VLOOKUP(B164,'Факт продаж'!AB:AD,2,0),"нет продаж")</f>
        <v>114</v>
      </c>
      <c r="T164" s="16">
        <f>IFERROR(VLOOKUP(B164,'Факт продаж'!AB:AD,3,0),"нет продаж")</f>
        <v>124854.40000000001</v>
      </c>
      <c r="U164" s="16">
        <f>IFERROR(VLOOKUP(B164,'Факт продаж'!AB:AF,5,0),"нет продаж")</f>
        <v>47377.625657908764</v>
      </c>
      <c r="V164" s="7">
        <f>IFERROR(VLOOKUP(B164,'Факт продаж'!AB:AD,3,0)/SUM('План Антонова'!$C$20:$C$22),0)</f>
        <v>8.1139094228533683E-4</v>
      </c>
      <c r="W164" s="44">
        <f>IFERROR(VLOOKUP(B164,'Факт продаж'!AB:AG,6,0),"-")</f>
        <v>0.59410655283443425</v>
      </c>
      <c r="X164" s="44">
        <f>IF(AND(P164=0,V164&gt;0),5,IF(V164/P164&gt;5,5,IF(V164/P164=0,0.0000001,V164/P164)))</f>
        <v>2.1327544259562554</v>
      </c>
      <c r="Y164" s="44">
        <f>IFERROR(VLOOKUP(B164,'Факт продаж'!AB:AH,7,0),"-")</f>
        <v>51.921518243216326</v>
      </c>
      <c r="Z164" s="44">
        <f>IF(AND(F164=0,V164&gt;0),5,IF(V164/F164&gt;5,5,IF(V164/F164=0,0.0000001,V164/F164)))</f>
        <v>5</v>
      </c>
      <c r="AB164" s="10" t="str">
        <f>IFERROR(VLOOKUP(VALUE(IF(L164&lt;1,1,0)&amp;IF(J164&lt;'Факт продаж'!$M$24,0,1)),$AB$1:$AC$4,2,FALSE),"НЕТ ПРОДАЖ")</f>
        <v>Темная лошадка</v>
      </c>
      <c r="AC164" s="10" t="str">
        <f>IFERROR(VLOOKUP(VALUE(IF(R164&lt;1,1,0)&amp;IF(P164&lt;'Факт продаж'!$V$24,0,1)),$AB$1:$AC$4,2,FALSE),"НЕТ ПРОДАЖ")</f>
        <v>Собака</v>
      </c>
      <c r="AD164" s="10" t="str">
        <f>IFERROR(VLOOKUP(VALUE(IF(X164&lt;1,1,0)&amp;IF(V164&lt;'Факт продаж'!$AE$24,0,1)),$AB$1:$AC$4,2,FALSE),"НЕТ ПРОДАЖ")</f>
        <v>Темная лошадка</v>
      </c>
      <c r="AE164" s="18" t="str">
        <f>IFERROR(VLOOKUP(VALUE(IF(Z164&lt;1,1,0)&amp;IF(V164&lt;'Факт продаж'!$AE$24,0,1)),$AB$1:$AC$4,2,FALSE),"НЕТ ПРОДАЖ")</f>
        <v>Темная лошадка</v>
      </c>
      <c r="AF164" s="74" t="str">
        <f>VLOOKUP(B164,'ABC расчет'!B:G,6,0)</f>
        <v>C</v>
      </c>
      <c r="AG164" s="74" t="str">
        <f>VLOOKUP(B164,'ABC расчет'!K:P,6,0)</f>
        <v>C</v>
      </c>
      <c r="AH164" s="74" t="str">
        <f>VLOOKUP(B164,'ABC расчет'!T:Y,6,0)</f>
        <v>C</v>
      </c>
      <c r="AI164" s="74" t="str">
        <f>VLOOKUP(B164,'ABC расчет'!AC:AH,6,0)</f>
        <v>C</v>
      </c>
      <c r="AJ164" s="74"/>
      <c r="AK164" s="74"/>
      <c r="AL164" s="19"/>
    </row>
    <row r="165" spans="1:38" x14ac:dyDescent="0.3">
      <c r="A165" s="51" t="s">
        <v>329</v>
      </c>
      <c r="B165" s="21" t="s">
        <v>200</v>
      </c>
      <c r="C165" s="20" t="str">
        <f>IFERROR(VLOOKUP(B165,'Факт продаж'!A:B,2,0),"нет продаж")</f>
        <v>нет продаж</v>
      </c>
      <c r="D165" s="47" t="str">
        <f>IFERROR(VLOOKUP(B165,'Факт продаж'!A:C,3,0),"нет продаж")</f>
        <v>нет продаж</v>
      </c>
      <c r="E165" s="47" t="str">
        <f>IFERROR(VLOOKUP(B165,'Факт продаж'!A:E,5,0),"нет продаж")</f>
        <v>нет продаж</v>
      </c>
      <c r="F165" s="25">
        <f>IFERROR(VLOOKUP(B165,'Факт продаж'!A:C,3,0)/SUM('План Антонова'!$C$11:$C$13),0)</f>
        <v>0</v>
      </c>
      <c r="G165" s="5" t="str">
        <f>IFERROR(VLOOKUP(B165,'Факт продаж'!J:K,2,0),"нет продаж")</f>
        <v>нет продаж</v>
      </c>
      <c r="H165" s="48" t="str">
        <f>IFERROR(VLOOKUP(B165,'Факт продаж'!J:L,3,0),"нет продаж")</f>
        <v>нет продаж</v>
      </c>
      <c r="I165" s="48" t="str">
        <f>IFERROR(VLOOKUP(B165,'Факт продаж'!J:N,5,0),"нет продаж")</f>
        <v>нет продаж</v>
      </c>
      <c r="J165" s="7">
        <f>IFERROR(VLOOKUP(B165,'Факт продаж'!J:L,3,0)/SUM('План Антонова'!$C$14:$C$16),0)</f>
        <v>0</v>
      </c>
      <c r="K165" s="44" t="str">
        <f>IFERROR(VLOOKUP(B165,'Факт продаж'!J:O,6,0),"-")</f>
        <v>-</v>
      </c>
      <c r="L165" s="44" t="e">
        <f>IF(AND(F165=0,J165&gt;0),5,IF(J165/F165&gt;5,5,IF(J165/F165=0,0.0000001,J165/F165)))</f>
        <v>#DIV/0!</v>
      </c>
      <c r="M165" s="5">
        <f>IFERROR(VLOOKUP(B165,'Факт продаж'!S:T,2,0),"нет продаж")</f>
        <v>8</v>
      </c>
      <c r="N165" s="48">
        <f>IFERROR(VLOOKUP(B165,'Факт продаж'!S:U,3,0),"нет продаж")</f>
        <v>29964.54</v>
      </c>
      <c r="O165" s="48">
        <f>IFERROR(VLOOKUP(B165,'Факт продаж'!S:W,5,0),"нет продаж")</f>
        <v>13624.016906043367</v>
      </c>
      <c r="P165" s="7">
        <f>IFERROR(VLOOKUP(B165,'Факт продаж'!S:U,3,0)/SUM('План Антонова'!$C$17:$C$19),0)</f>
        <v>1.8251552237790491E-4</v>
      </c>
      <c r="Q165" s="44">
        <f>IFERROR(VLOOKUP(B165,'Факт продаж'!S:X,6,0),"-")</f>
        <v>1</v>
      </c>
      <c r="R165" s="44">
        <f>IF(AND(J165=0,P165&gt;0),5,IF(P165/J165&gt;5,5,IF(P165/J165=0,0.0000001,P165/J165)))</f>
        <v>5</v>
      </c>
      <c r="S165" s="16">
        <f>IFERROR(VLOOKUP(B165,'Факт продаж'!AB:AD,2,0),"нет продаж")</f>
        <v>23</v>
      </c>
      <c r="T165" s="16">
        <f>IFERROR(VLOOKUP(B165,'Факт продаж'!AB:AD,3,0),"нет продаж")</f>
        <v>99155.199999999997</v>
      </c>
      <c r="U165" s="16">
        <f>IFERROR(VLOOKUP(B165,'Факт продаж'!AB:AF,5,0),"нет продаж")</f>
        <v>47216.751275029645</v>
      </c>
      <c r="V165" s="7">
        <f>IFERROR(VLOOKUP(B165,'Факт продаж'!AB:AD,3,0)/SUM('План Антонова'!$C$20:$C$22),0)</f>
        <v>6.4437962266841232E-4</v>
      </c>
      <c r="W165" s="44">
        <f>IFERROR(VLOOKUP(B165,'Факт продаж'!AB:AG,6,0),"-")</f>
        <v>2.465699697868486</v>
      </c>
      <c r="X165" s="44">
        <f>IF(AND(P165=0,V165&gt;0),5,IF(V165/P165&gt;5,5,IF(V165/P165=0,0.0000001,V165/P165)))</f>
        <v>3.5305469599139152</v>
      </c>
      <c r="Y165" s="44">
        <f>IFERROR(VLOOKUP(B165,'Факт продаж'!AB:AH,7,0),"-")</f>
        <v>1</v>
      </c>
      <c r="Z165" s="44">
        <f>IF(AND(F165=0,V165&gt;0),5,IF(V165/F165&gt;5,5,IF(V165/F165=0,0.0000001,V165/F165)))</f>
        <v>5</v>
      </c>
      <c r="AB165" s="10" t="str">
        <f>IFERROR(VLOOKUP(VALUE(IF(L165&lt;1,1,0)&amp;IF(J165&lt;'Факт продаж'!$M$24,0,1)),$AB$1:$AC$4,2,FALSE),"НЕТ ПРОДАЖ")</f>
        <v>НЕТ ПРОДАЖ</v>
      </c>
      <c r="AC165" s="10" t="str">
        <f>IFERROR(VLOOKUP(VALUE(IF(R165&lt;1,1,0)&amp;IF(P165&lt;'Факт продаж'!$V$24,0,1)),$AB$1:$AC$4,2,FALSE),"НЕТ ПРОДАЖ")</f>
        <v>Темная лошадка</v>
      </c>
      <c r="AD165" s="10" t="str">
        <f>IFERROR(VLOOKUP(VALUE(IF(X165&lt;1,1,0)&amp;IF(V165&lt;'Факт продаж'!$AE$24,0,1)),$AB$1:$AC$4,2,FALSE),"НЕТ ПРОДАЖ")</f>
        <v>Темная лошадка</v>
      </c>
      <c r="AE165" s="18" t="str">
        <f>IFERROR(VLOOKUP(VALUE(IF(Z165&lt;1,1,0)&amp;IF(V165&lt;'Факт продаж'!$AE$24,0,1)),$AB$1:$AC$4,2,FALSE),"НЕТ ПРОДАЖ")</f>
        <v>Темная лошадка</v>
      </c>
      <c r="AF165" s="74" t="str">
        <f>VLOOKUP(B165,'ABC расчет'!B:G,6,0)</f>
        <v>C</v>
      </c>
      <c r="AG165" s="74" t="str">
        <f>VLOOKUP(B165,'ABC расчет'!K:P,6,0)</f>
        <v>C</v>
      </c>
      <c r="AH165" s="74" t="str">
        <f>VLOOKUP(B165,'ABC расчет'!T:Y,6,0)</f>
        <v>C</v>
      </c>
      <c r="AI165" s="74" t="str">
        <f>VLOOKUP(B165,'ABC расчет'!AC:AH,6,0)</f>
        <v>B</v>
      </c>
      <c r="AJ165" s="74"/>
      <c r="AK165" s="74"/>
      <c r="AL165" s="19"/>
    </row>
    <row r="166" spans="1:38" x14ac:dyDescent="0.3">
      <c r="A166" s="51" t="s">
        <v>246</v>
      </c>
      <c r="B166" s="21" t="s">
        <v>104</v>
      </c>
      <c r="C166" s="20">
        <f>IFERROR(VLOOKUP(B166,'Факт продаж'!A:B,2,0),"нет продаж")</f>
        <v>67</v>
      </c>
      <c r="D166" s="47">
        <f>IFERROR(VLOOKUP(B166,'Факт продаж'!A:C,3,0),"нет продаж")</f>
        <v>66495.336800000005</v>
      </c>
      <c r="E166" s="47">
        <f>IFERROR(VLOOKUP(B166,'Факт продаж'!A:E,5,0),"нет продаж")</f>
        <v>31938.002422878693</v>
      </c>
      <c r="F166" s="25">
        <f>IFERROR(VLOOKUP(B166,'Факт продаж'!A:C,3,0)/SUM('План Антонова'!$C$11:$C$13),0)</f>
        <v>5.049061360658056E-4</v>
      </c>
      <c r="G166" s="5">
        <f>IFERROR(VLOOKUP(B166,'Факт продаж'!J:K,2,0),"нет продаж")</f>
        <v>93</v>
      </c>
      <c r="H166" s="48">
        <f>IFERROR(VLOOKUP(B166,'Факт продаж'!J:L,3,0),"нет продаж")</f>
        <v>95640.8</v>
      </c>
      <c r="I166" s="48">
        <f>IFERROR(VLOOKUP(B166,'Факт продаж'!J:N,5,0),"нет продаж")</f>
        <v>43414.933823281797</v>
      </c>
      <c r="J166" s="7">
        <f>IFERROR(VLOOKUP(B166,'Факт продаж'!J:L,3,0)/SUM('План Антонова'!$C$14:$C$16),0)</f>
        <v>6.6038635636141E-4</v>
      </c>
      <c r="K166" s="44">
        <f>IFERROR(VLOOKUP(B166,'Факт продаж'!J:O,6,0),"-")</f>
        <v>0.35935032029998348</v>
      </c>
      <c r="L166" s="44">
        <f>IF(AND(F166=0,J166&gt;0),5,IF(J166/F166&gt;5,5,IF(J166/F166=0,0.0000001,J166/F166)))</f>
        <v>1.307938860690218</v>
      </c>
      <c r="M166" s="5">
        <f>IFERROR(VLOOKUP(B166,'Факт продаж'!S:T,2,0),"нет продаж")</f>
        <v>39</v>
      </c>
      <c r="N166" s="48">
        <f>IFERROR(VLOOKUP(B166,'Факт продаж'!S:U,3,0),"нет продаж")</f>
        <v>44627.999999999993</v>
      </c>
      <c r="O166" s="48">
        <f>IFERROR(VLOOKUP(B166,'Факт продаж'!S:W,5,0),"нет продаж")</f>
        <v>21526.988940900061</v>
      </c>
      <c r="P166" s="7">
        <f>IFERROR(VLOOKUP(B166,'Факт продаж'!S:U,3,0)/SUM('План Антонова'!$C$17:$C$19),0)</f>
        <v>2.7183139579920596E-4</v>
      </c>
      <c r="Q166" s="44">
        <f>IFERROR(VLOOKUP(B166,'Факт продаж'!S:X,6,0),"-")</f>
        <v>-0.50415704815940665</v>
      </c>
      <c r="R166" s="44">
        <f>IF(AND(J166=0,P166&gt;0),5,IF(P166/J166&gt;5,5,IF(P166/J166=0,0.0000001,P166/J166)))</f>
        <v>0.41162479082236014</v>
      </c>
      <c r="S166" s="16">
        <f>IFERROR(VLOOKUP(B166,'Факт продаж'!AB:AD,2,0),"нет продаж")</f>
        <v>73</v>
      </c>
      <c r="T166" s="16">
        <f>IFERROR(VLOOKUP(B166,'Факт продаж'!AB:AD,3,0),"нет продаж")</f>
        <v>91649.66</v>
      </c>
      <c r="U166" s="16">
        <f>IFERROR(VLOOKUP(B166,'Факт продаж'!AB:AF,5,0),"нет продаж")</f>
        <v>45086.066050853151</v>
      </c>
      <c r="V166" s="7">
        <f>IFERROR(VLOOKUP(B166,'Факт продаж'!AB:AD,3,0)/SUM('План Антонова'!$C$20:$C$22),0)</f>
        <v>5.9560339072976798E-4</v>
      </c>
      <c r="W166" s="44">
        <f>IFERROR(VLOOKUP(B166,'Факт продаж'!AB:AG,6,0),"-")</f>
        <v>1.0943972319878039</v>
      </c>
      <c r="X166" s="44">
        <f>IF(AND(P166=0,V166&gt;0),5,IF(V166/P166&gt;5,5,IF(V166/P166=0,0.0000001,V166/P166)))</f>
        <v>2.1910765273402162</v>
      </c>
      <c r="Y166" s="44">
        <f>IFERROR(VLOOKUP(B166,'Факт продаж'!AB:AH,7,0),"-")</f>
        <v>0.41167457669662766</v>
      </c>
      <c r="Z166" s="44">
        <f>IF(AND(F166=0,V166&gt;0),5,IF(V166/F166&gt;5,5,IF(V166/F166=0,0.0000001,V166/F166)))</f>
        <v>1.1796319121226555</v>
      </c>
      <c r="AB166" s="10" t="str">
        <f>IFERROR(VLOOKUP(VALUE(IF(L166&lt;1,1,0)&amp;IF(J166&lt;'Факт продаж'!$M$24,0,1)),$AB$1:$AC$4,2,FALSE),"НЕТ ПРОДАЖ")</f>
        <v>Темная лошадка</v>
      </c>
      <c r="AC166" s="10" t="str">
        <f>IFERROR(VLOOKUP(VALUE(IF(R166&lt;1,1,0)&amp;IF(P166&lt;'Факт продаж'!$V$24,0,1)),$AB$1:$AC$4,2,FALSE),"НЕТ ПРОДАЖ")</f>
        <v>Собака</v>
      </c>
      <c r="AD166" s="10" t="str">
        <f>IFERROR(VLOOKUP(VALUE(IF(X166&lt;1,1,0)&amp;IF(V166&lt;'Факт продаж'!$AE$24,0,1)),$AB$1:$AC$4,2,FALSE),"НЕТ ПРОДАЖ")</f>
        <v>Темная лошадка</v>
      </c>
      <c r="AE166" s="18" t="str">
        <f>IFERROR(VLOOKUP(VALUE(IF(Z166&lt;1,1,0)&amp;IF(V166&lt;'Факт продаж'!$AE$24,0,1)),$AB$1:$AC$4,2,FALSE),"НЕТ ПРОДАЖ")</f>
        <v>Темная лошадка</v>
      </c>
      <c r="AF166" s="74" t="str">
        <f>VLOOKUP(B166,'ABC расчет'!B:G,6,0)</f>
        <v>B</v>
      </c>
      <c r="AG166" s="74" t="str">
        <f>VLOOKUP(B166,'ABC расчет'!K:P,6,0)</f>
        <v>C</v>
      </c>
      <c r="AH166" s="74" t="str">
        <f>VLOOKUP(B166,'ABC расчет'!T:Y,6,0)</f>
        <v>C</v>
      </c>
      <c r="AI166" s="74" t="str">
        <f>VLOOKUP(B166,'ABC расчет'!AC:AH,6,0)</f>
        <v>C</v>
      </c>
      <c r="AJ166" s="74"/>
      <c r="AK166" s="74"/>
      <c r="AL166" s="19"/>
    </row>
    <row r="167" spans="1:38" x14ac:dyDescent="0.3">
      <c r="A167" s="51" t="s">
        <v>252</v>
      </c>
      <c r="B167" s="21" t="s">
        <v>171</v>
      </c>
      <c r="C167" s="20">
        <f>IFERROR(VLOOKUP(B167,'Факт продаж'!A:B,2,0),"нет продаж")</f>
        <v>106</v>
      </c>
      <c r="D167" s="47">
        <f>IFERROR(VLOOKUP(B167,'Факт продаж'!A:C,3,0),"нет продаж")</f>
        <v>169571.06200000001</v>
      </c>
      <c r="E167" s="47">
        <f>IFERROR(VLOOKUP(B167,'Факт продаж'!A:E,5,0),"нет продаж")</f>
        <v>80806.747085755545</v>
      </c>
      <c r="F167" s="25">
        <f>IFERROR(VLOOKUP(B167,'Факт продаж'!A:C,3,0)/SUM('План Антонова'!$C$11:$C$13),0)</f>
        <v>1.2875710361541497E-3</v>
      </c>
      <c r="G167" s="5">
        <f>IFERROR(VLOOKUP(B167,'Факт продаж'!J:K,2,0),"нет продаж")</f>
        <v>73</v>
      </c>
      <c r="H167" s="48">
        <f>IFERROR(VLOOKUP(B167,'Факт продаж'!J:L,3,0),"нет продаж")</f>
        <v>119849.80000000002</v>
      </c>
      <c r="I167" s="48">
        <f>IFERROR(VLOOKUP(B167,'Факт продаж'!J:N,5,0),"нет продаж")</f>
        <v>44547.266375900872</v>
      </c>
      <c r="J167" s="7">
        <f>IFERROR(VLOOKUP(B167,'Факт продаж'!J:L,3,0)/SUM('План Антонова'!$C$14:$C$16),0)</f>
        <v>8.2754611768872408E-4</v>
      </c>
      <c r="K167" s="44">
        <f>IFERROR(VLOOKUP(B167,'Факт продаж'!J:O,6,0),"-")</f>
        <v>-0.44871847979939816</v>
      </c>
      <c r="L167" s="44">
        <f>IF(AND(F167=0,J167&gt;0),5,IF(J167/F167&gt;5,5,IF(J167/F167=0,0.0000001,J167/F167)))</f>
        <v>0.6427188049837812</v>
      </c>
      <c r="M167" s="5">
        <f>IFERROR(VLOOKUP(B167,'Факт продаж'!S:T,2,0),"нет продаж")</f>
        <v>115</v>
      </c>
      <c r="N167" s="48">
        <f>IFERROR(VLOOKUP(B167,'Факт продаж'!S:U,3,0),"нет продаж")</f>
        <v>185795.5</v>
      </c>
      <c r="O167" s="48">
        <f>IFERROR(VLOOKUP(B167,'Факт продаж'!S:W,5,0),"нет продаж")</f>
        <v>60608.12887627141</v>
      </c>
      <c r="P167" s="7">
        <f>IFERROR(VLOOKUP(B167,'Факт продаж'!S:U,3,0)/SUM('План Антонова'!$C$17:$C$19),0)</f>
        <v>1.1316897485482518E-3</v>
      </c>
      <c r="Q167" s="44">
        <f>IFERROR(VLOOKUP(B167,'Факт продаж'!S:X,6,0),"-")</f>
        <v>0.36053531017694773</v>
      </c>
      <c r="R167" s="44">
        <f>IF(AND(J167=0,P167&gt;0),5,IF(P167/J167&gt;5,5,IF(P167/J167=0,0.0000001,P167/J167)))</f>
        <v>1.3675246905984872</v>
      </c>
      <c r="S167" s="16">
        <f>IFERROR(VLOOKUP(B167,'Факт продаж'!AB:AD,2,0),"нет продаж")</f>
        <v>55</v>
      </c>
      <c r="T167" s="16">
        <f>IFERROR(VLOOKUP(B167,'Факт продаж'!AB:AD,3,0),"нет продаж")</f>
        <v>103892</v>
      </c>
      <c r="U167" s="16">
        <f>IFERROR(VLOOKUP(B167,'Факт продаж'!AB:AF,5,0),"нет продаж")</f>
        <v>42266.734026730956</v>
      </c>
      <c r="V167" s="7">
        <f>IFERROR(VLOOKUP(B167,'Факт продаж'!AB:AD,3,0)/SUM('План Антонова'!$C$20:$C$22),0)</f>
        <v>6.7516265166392376E-4</v>
      </c>
      <c r="W167" s="44">
        <f>IFERROR(VLOOKUP(B167,'Факт продаж'!AB:AG,6,0),"-")</f>
        <v>-0.3026226875768353</v>
      </c>
      <c r="X167" s="44">
        <f>IF(AND(P167=0,V167&gt;0),5,IF(V167/P167&gt;5,5,IF(V167/P167=0,0.0000001,V167/P167)))</f>
        <v>0.59659694941129615</v>
      </c>
      <c r="Y167" s="44">
        <f>IFERROR(VLOOKUP(B167,'Факт продаж'!AB:AH,7,0),"-")</f>
        <v>-0.47694053342011522</v>
      </c>
      <c r="Z167" s="44">
        <f>IF(AND(F167=0,V167&gt;0),5,IF(V167/F167&gt;5,5,IF(V167/F167=0,0.0000001,V167/F167)))</f>
        <v>0.52436924465198387</v>
      </c>
      <c r="AB167" s="10" t="str">
        <f>IFERROR(VLOOKUP(VALUE(IF(L167&lt;1,1,0)&amp;IF(J167&lt;'Факт продаж'!$M$24,0,1)),$AB$1:$AC$4,2,FALSE),"НЕТ ПРОДАЖ")</f>
        <v>Собака</v>
      </c>
      <c r="AC167" s="10" t="str">
        <f>IFERROR(VLOOKUP(VALUE(IF(R167&lt;1,1,0)&amp;IF(P167&lt;'Факт продаж'!$V$24,0,1)),$AB$1:$AC$4,2,FALSE),"НЕТ ПРОДАЖ")</f>
        <v>Звезда</v>
      </c>
      <c r="AD167" s="10" t="str">
        <f>IFERROR(VLOOKUP(VALUE(IF(X167&lt;1,1,0)&amp;IF(V167&lt;'Факт продаж'!$AE$24,0,1)),$AB$1:$AC$4,2,FALSE),"НЕТ ПРОДАЖ")</f>
        <v>Собака</v>
      </c>
      <c r="AE167" s="18" t="str">
        <f>IFERROR(VLOOKUP(VALUE(IF(Z167&lt;1,1,0)&amp;IF(V167&lt;'Факт продаж'!$AE$24,0,1)),$AB$1:$AC$4,2,FALSE),"НЕТ ПРОДАЖ")</f>
        <v>Собака</v>
      </c>
      <c r="AF167" s="74" t="str">
        <f>VLOOKUP(B167,'ABC расчет'!B:G,6,0)</f>
        <v>A</v>
      </c>
      <c r="AG167" s="74" t="str">
        <f>VLOOKUP(B167,'ABC расчет'!K:P,6,0)</f>
        <v>C</v>
      </c>
      <c r="AH167" s="74" t="str">
        <f>VLOOKUP(B167,'ABC расчет'!T:Y,6,0)</f>
        <v>C</v>
      </c>
      <c r="AI167" s="74" t="str">
        <f>VLOOKUP(B167,'ABC расчет'!AC:AH,6,0)</f>
        <v>C</v>
      </c>
      <c r="AJ167" s="74"/>
      <c r="AK167" s="74"/>
      <c r="AL167" s="19"/>
    </row>
    <row r="168" spans="1:38" x14ac:dyDescent="0.3">
      <c r="A168" s="51" t="s">
        <v>256</v>
      </c>
      <c r="B168" s="21" t="s">
        <v>239</v>
      </c>
      <c r="C168" s="20" t="str">
        <f>IFERROR(VLOOKUP(B168,'Факт продаж'!A:B,2,0),"нет продаж")</f>
        <v>нет продаж</v>
      </c>
      <c r="D168" s="47" t="str">
        <f>IFERROR(VLOOKUP(B168,'Факт продаж'!A:C,3,0),"нет продаж")</f>
        <v>нет продаж</v>
      </c>
      <c r="E168" s="47" t="str">
        <f>IFERROR(VLOOKUP(B168,'Факт продаж'!A:E,5,0),"нет продаж")</f>
        <v>нет продаж</v>
      </c>
      <c r="F168" s="25">
        <f>IFERROR(VLOOKUP(B168,'Факт продаж'!A:C,3,0)/SUM('План Антонова'!$C$11:$C$13),0)</f>
        <v>0</v>
      </c>
      <c r="G168" s="5">
        <f>IFERROR(VLOOKUP(B168,'Факт продаж'!J:K,2,0),"нет продаж")</f>
        <v>119</v>
      </c>
      <c r="H168" s="48">
        <f>IFERROR(VLOOKUP(B168,'Факт продаж'!J:L,3,0),"нет продаж")</f>
        <v>217052</v>
      </c>
      <c r="I168" s="48">
        <f>IFERROR(VLOOKUP(B168,'Факт продаж'!J:N,5,0),"нет продаж")</f>
        <v>80185.160892418673</v>
      </c>
      <c r="J168" s="7">
        <f>IFERROR(VLOOKUP(B168,'Факт продаж'!J:L,3,0)/SUM('План Антонова'!$C$14:$C$16),0)</f>
        <v>1.4987137228144971E-3</v>
      </c>
      <c r="K168" s="44">
        <f>IFERROR(VLOOKUP(B168,'Факт продаж'!J:O,6,0),"-")</f>
        <v>1</v>
      </c>
      <c r="L168" s="44">
        <f>IF(AND(F168=0,J168&gt;0),5,IF(J168/F168&gt;5,5,IF(J168/F168=0,0.0000001,J168/F168)))</f>
        <v>5</v>
      </c>
      <c r="M168" s="5">
        <f>IFERROR(VLOOKUP(B168,'Факт продаж'!S:T,2,0),"нет продаж")</f>
        <v>128</v>
      </c>
      <c r="N168" s="48">
        <f>IFERROR(VLOOKUP(B168,'Факт продаж'!S:U,3,0),"нет продаж")</f>
        <v>242114</v>
      </c>
      <c r="O168" s="48">
        <f>IFERROR(VLOOKUP(B168,'Факт продаж'!S:W,5,0),"нет продаж")</f>
        <v>68426.479390865366</v>
      </c>
      <c r="P168" s="7">
        <f>IFERROR(VLOOKUP(B168,'Факт продаж'!S:U,3,0)/SUM('План Антонова'!$C$17:$C$19),0)</f>
        <v>1.4747285686683015E-3</v>
      </c>
      <c r="Q168" s="44">
        <f>IFERROR(VLOOKUP(B168,'Факт продаж'!S:X,6,0),"-")</f>
        <v>-0.14664410934249383</v>
      </c>
      <c r="R168" s="44">
        <f>IF(AND(J168=0,P168&gt;0),5,IF(P168/J168&gt;5,5,IF(P168/J168=0,0.0000001,P168/J168)))</f>
        <v>0.98399617366473902</v>
      </c>
      <c r="S168" s="16">
        <f>IFERROR(VLOOKUP(B168,'Факт продаж'!AB:AD,2,0),"нет продаж")</f>
        <v>74</v>
      </c>
      <c r="T168" s="16">
        <f>IFERROR(VLOOKUP(B168,'Факт продаж'!AB:AD,3,0),"нет продаж")</f>
        <v>143128.85</v>
      </c>
      <c r="U168" s="16">
        <f>IFERROR(VLOOKUP(B168,'Факт продаж'!AB:AF,5,0),"нет продаж")</f>
        <v>41269.955668914132</v>
      </c>
      <c r="V168" s="7">
        <f>IFERROR(VLOOKUP(B168,'Факт продаж'!AB:AD,3,0)/SUM('План Антонова'!$C$20:$C$22),0)</f>
        <v>9.3015105971208558E-4</v>
      </c>
      <c r="W168" s="44">
        <f>IFERROR(VLOOKUP(B168,'Факт продаж'!AB:AG,6,0),"-")</f>
        <v>-0.3968715614729772</v>
      </c>
      <c r="X168" s="44">
        <f>IF(AND(P168=0,V168&gt;0),5,IF(V168/P168&gt;5,5,IF(V168/P168=0,0.0000001,V168/P168)))</f>
        <v>0.63072695509792942</v>
      </c>
      <c r="Y168" s="44">
        <f>IFERROR(VLOOKUP(B168,'Факт продаж'!AB:AH,7,0),"-")</f>
        <v>1</v>
      </c>
      <c r="Z168" s="44">
        <f>IF(AND(F168=0,V168&gt;0),5,IF(V168/F168&gt;5,5,IF(V168/F168=0,0.0000001,V168/F168)))</f>
        <v>5</v>
      </c>
      <c r="AB168" s="10" t="str">
        <f>IFERROR(VLOOKUP(VALUE(IF(L168&lt;1,1,0)&amp;IF(J168&lt;'Факт продаж'!$M$24,0,1)),$AB$1:$AC$4,2,FALSE),"НЕТ ПРОДАЖ")</f>
        <v>Звезда</v>
      </c>
      <c r="AC168" s="10" t="str">
        <f>IFERROR(VLOOKUP(VALUE(IF(R168&lt;1,1,0)&amp;IF(P168&lt;'Факт продаж'!$V$24,0,1)),$AB$1:$AC$4,2,FALSE),"НЕТ ПРОДАЖ")</f>
        <v>Корова</v>
      </c>
      <c r="AD168" s="10" t="str">
        <f>IFERROR(VLOOKUP(VALUE(IF(X168&lt;1,1,0)&amp;IF(V168&lt;'Факт продаж'!$AE$24,0,1)),$AB$1:$AC$4,2,FALSE),"НЕТ ПРОДАЖ")</f>
        <v>Корова</v>
      </c>
      <c r="AE168" s="18" t="str">
        <f>IFERROR(VLOOKUP(VALUE(IF(Z168&lt;1,1,0)&amp;IF(V168&lt;'Факт продаж'!$AE$24,0,1)),$AB$1:$AC$4,2,FALSE),"НЕТ ПРОДАЖ")</f>
        <v>Звезда</v>
      </c>
      <c r="AF168" s="74" t="str">
        <f>VLOOKUP(B168,'ABC расчет'!B:G,6,0)</f>
        <v>C</v>
      </c>
      <c r="AG168" s="74" t="str">
        <f>VLOOKUP(B168,'ABC расчет'!K:P,6,0)</f>
        <v>B</v>
      </c>
      <c r="AH168" s="74" t="str">
        <f>VLOOKUP(B168,'ABC расчет'!T:Y,6,0)</f>
        <v>B</v>
      </c>
      <c r="AI168" s="74" t="str">
        <f>VLOOKUP(B168,'ABC расчет'!AC:AH,6,0)</f>
        <v>B</v>
      </c>
      <c r="AJ168" s="74"/>
      <c r="AK168" s="74"/>
      <c r="AL168" s="19"/>
    </row>
    <row r="169" spans="1:38" x14ac:dyDescent="0.3">
      <c r="A169" s="51" t="s">
        <v>251</v>
      </c>
      <c r="B169" s="21" t="s">
        <v>27</v>
      </c>
      <c r="C169" s="20">
        <f>IFERROR(VLOOKUP(B169,'Факт продаж'!A:B,2,0),"нет продаж")</f>
        <v>6</v>
      </c>
      <c r="D169" s="47">
        <f>IFERROR(VLOOKUP(B169,'Факт продаж'!A:C,3,0),"нет продаж")</f>
        <v>39785.443400000004</v>
      </c>
      <c r="E169" s="47">
        <f>IFERROR(VLOOKUP(B169,'Факт продаж'!A:E,5,0),"нет продаж")</f>
        <v>15983.696212380555</v>
      </c>
      <c r="F169" s="25">
        <f>IFERROR(VLOOKUP(B169,'Факт продаж'!A:C,3,0)/SUM('План Антонова'!$C$11:$C$13),0)</f>
        <v>3.0209508614382726E-4</v>
      </c>
      <c r="G169" s="5">
        <f>IFERROR(VLOOKUP(B169,'Факт продаж'!J:K,2,0),"нет продаж")</f>
        <v>4</v>
      </c>
      <c r="H169" s="48">
        <f>IFERROR(VLOOKUP(B169,'Факт продаж'!J:L,3,0),"нет продаж")</f>
        <v>35714</v>
      </c>
      <c r="I169" s="48">
        <f>IFERROR(VLOOKUP(B169,'Факт продаж'!J:N,5,0),"нет продаж")</f>
        <v>17859.497989613763</v>
      </c>
      <c r="J169" s="7">
        <f>IFERROR(VLOOKUP(B169,'Факт продаж'!J:L,3,0)/SUM('План Антонова'!$C$14:$C$16),0)</f>
        <v>2.4660017828260946E-4</v>
      </c>
      <c r="K169" s="44">
        <f>IFERROR(VLOOKUP(B169,'Факт продаж'!J:O,6,0),"-")</f>
        <v>0.11735719650253751</v>
      </c>
      <c r="L169" s="44">
        <f>IF(AND(F169=0,J169&gt;0),5,IF(J169/F169&gt;5,5,IF(J169/F169=0,0.0000001,J169/F169)))</f>
        <v>0.81629986581510727</v>
      </c>
      <c r="M169" s="5">
        <f>IFERROR(VLOOKUP(B169,'Факт продаж'!S:T,2,0),"нет продаж")</f>
        <v>7</v>
      </c>
      <c r="N169" s="48">
        <f>IFERROR(VLOOKUP(B169,'Факт продаж'!S:U,3,0),"нет продаж")</f>
        <v>58491</v>
      </c>
      <c r="O169" s="48">
        <f>IFERROR(VLOOKUP(B169,'Факт продаж'!S:W,5,0),"нет продаж")</f>
        <v>27578.822260362176</v>
      </c>
      <c r="P169" s="7">
        <f>IFERROR(VLOOKUP(B169,'Факт продаж'!S:U,3,0)/SUM('План Антонова'!$C$17:$C$19),0)</f>
        <v>3.5627162704336647E-4</v>
      </c>
      <c r="Q169" s="44">
        <f>IFERROR(VLOOKUP(B169,'Факт продаж'!S:X,6,0),"-")</f>
        <v>0.54421038465922789</v>
      </c>
      <c r="R169" s="44">
        <f>IF(AND(J169=0,P169&gt;0),5,IF(P169/J169&gt;5,5,IF(P169/J169=0,0.0000001,P169/J169)))</f>
        <v>1.4447338583635208</v>
      </c>
      <c r="S169" s="16">
        <f>IFERROR(VLOOKUP(B169,'Факт продаж'!AB:AD,2,0),"нет продаж")</f>
        <v>13</v>
      </c>
      <c r="T169" s="16">
        <f>IFERROR(VLOOKUP(B169,'Факт продаж'!AB:AD,3,0),"нет продаж")</f>
        <v>96794.8</v>
      </c>
      <c r="U169" s="16">
        <f>IFERROR(VLOOKUP(B169,'Факт продаж'!AB:AF,5,0),"нет продаж")</f>
        <v>40596.317359731212</v>
      </c>
      <c r="V169" s="7">
        <f>IFERROR(VLOOKUP(B169,'Факт продаж'!AB:AD,3,0)/SUM('План Антонова'!$C$20:$C$22),0)</f>
        <v>6.2904009774842305E-4</v>
      </c>
      <c r="W169" s="44">
        <f>IFERROR(VLOOKUP(B169,'Факт продаж'!AB:AG,6,0),"-")</f>
        <v>0.47201055130184111</v>
      </c>
      <c r="X169" s="44">
        <f>IF(AND(P169=0,V169&gt;0),5,IF(V169/P169&gt;5,5,IF(V169/P169=0,0.0000001,V169/P169)))</f>
        <v>1.7656194038484416</v>
      </c>
      <c r="Y169" s="44">
        <f>IFERROR(VLOOKUP(B169,'Факт продаж'!AB:AH,7,0),"-")</f>
        <v>1.5398579164865733</v>
      </c>
      <c r="Z169" s="44">
        <f>IF(AND(F169=0,V169&gt;0),5,IF(V169/F169&gt;5,5,IF(V169/F169=0,0.0000001,V169/F169)))</f>
        <v>2.0822586218729078</v>
      </c>
      <c r="AB169" s="10" t="str">
        <f>IFERROR(VLOOKUP(VALUE(IF(L169&lt;1,1,0)&amp;IF(J169&lt;'Факт продаж'!$M$24,0,1)),$AB$1:$AC$4,2,FALSE),"НЕТ ПРОДАЖ")</f>
        <v>Собака</v>
      </c>
      <c r="AC169" s="10" t="str">
        <f>IFERROR(VLOOKUP(VALUE(IF(R169&lt;1,1,0)&amp;IF(P169&lt;'Факт продаж'!$V$24,0,1)),$AB$1:$AC$4,2,FALSE),"НЕТ ПРОДАЖ")</f>
        <v>Темная лошадка</v>
      </c>
      <c r="AD169" s="10" t="str">
        <f>IFERROR(VLOOKUP(VALUE(IF(X169&lt;1,1,0)&amp;IF(V169&lt;'Факт продаж'!$AE$24,0,1)),$AB$1:$AC$4,2,FALSE),"НЕТ ПРОДАЖ")</f>
        <v>Темная лошадка</v>
      </c>
      <c r="AE169" s="18" t="str">
        <f>IFERROR(VLOOKUP(VALUE(IF(Z169&lt;1,1,0)&amp;IF(V169&lt;'Факт продаж'!$AE$24,0,1)),$AB$1:$AC$4,2,FALSE),"НЕТ ПРОДАЖ")</f>
        <v>Темная лошадка</v>
      </c>
      <c r="AF169" s="74" t="str">
        <f>VLOOKUP(B169,'ABC расчет'!B:G,6,0)</f>
        <v>C</v>
      </c>
      <c r="AG169" s="74" t="str">
        <f>VLOOKUP(B169,'ABC расчет'!K:P,6,0)</f>
        <v>C</v>
      </c>
      <c r="AH169" s="74" t="str">
        <f>VLOOKUP(B169,'ABC расчет'!T:Y,6,0)</f>
        <v>C</v>
      </c>
      <c r="AI169" s="74" t="str">
        <f>VLOOKUP(B169,'ABC расчет'!AC:AH,6,0)</f>
        <v>C</v>
      </c>
      <c r="AJ169" s="74"/>
      <c r="AK169" s="74"/>
      <c r="AL169" s="19"/>
    </row>
    <row r="170" spans="1:38" x14ac:dyDescent="0.3">
      <c r="A170" s="51" t="s">
        <v>256</v>
      </c>
      <c r="B170" s="21" t="s">
        <v>303</v>
      </c>
      <c r="C170" s="20" t="str">
        <f>IFERROR(VLOOKUP(B170,'Факт продаж'!A:B,2,0),"нет продаж")</f>
        <v>нет продаж</v>
      </c>
      <c r="D170" s="47" t="str">
        <f>IFERROR(VLOOKUP(B170,'Факт продаж'!A:C,3,0),"нет продаж")</f>
        <v>нет продаж</v>
      </c>
      <c r="E170" s="47" t="str">
        <f>IFERROR(VLOOKUP(B170,'Факт продаж'!A:E,5,0),"нет продаж")</f>
        <v>нет продаж</v>
      </c>
      <c r="F170" s="25">
        <f>IFERROR(VLOOKUP(B170,'Факт продаж'!A:C,3,0)/SUM('План Антонова'!$C$11:$C$13),0)</f>
        <v>0</v>
      </c>
      <c r="G170" s="5">
        <f>IFERROR(VLOOKUP(B170,'Факт продаж'!J:K,2,0),"нет продаж")</f>
        <v>179</v>
      </c>
      <c r="H170" s="48">
        <f>IFERROR(VLOOKUP(B170,'Факт продаж'!J:L,3,0),"нет продаж")</f>
        <v>520418.16999999993</v>
      </c>
      <c r="I170" s="48">
        <f>IFERROR(VLOOKUP(B170,'Факт продаж'!J:N,5,0),"нет продаж")</f>
        <v>182707.97490768353</v>
      </c>
      <c r="J170" s="7">
        <f>IFERROR(VLOOKUP(B170,'Факт продаж'!J:L,3,0)/SUM('План Антонова'!$C$14:$C$16),0)</f>
        <v>3.5934147254160645E-3</v>
      </c>
      <c r="K170" s="44">
        <f>IFERROR(VLOOKUP(B170,'Факт продаж'!J:O,6,0),"-")</f>
        <v>1</v>
      </c>
      <c r="L170" s="44">
        <f>IF(AND(F170=0,J170&gt;0),5,IF(J170/F170&gt;5,5,IF(J170/F170=0,0.0000001,J170/F170)))</f>
        <v>5</v>
      </c>
      <c r="M170" s="5">
        <f>IFERROR(VLOOKUP(B170,'Факт продаж'!S:T,2,0),"нет продаж")</f>
        <v>96</v>
      </c>
      <c r="N170" s="48">
        <f>IFERROR(VLOOKUP(B170,'Факт продаж'!S:U,3,0),"нет продаж")</f>
        <v>285221.85000000003</v>
      </c>
      <c r="O170" s="48">
        <f>IFERROR(VLOOKUP(B170,'Факт продаж'!S:W,5,0),"нет продаж")</f>
        <v>44128.629146541673</v>
      </c>
      <c r="P170" s="7">
        <f>IFERROR(VLOOKUP(B170,'Факт продаж'!S:U,3,0)/SUM('План Антонова'!$C$17:$C$19),0)</f>
        <v>1.7373006542514065E-3</v>
      </c>
      <c r="Q170" s="44">
        <f>IFERROR(VLOOKUP(B170,'Факт продаж'!S:X,6,0),"-")</f>
        <v>-0.75847453200201875</v>
      </c>
      <c r="R170" s="44">
        <f>IF(AND(J170=0,P170&gt;0),5,IF(P170/J170&gt;5,5,IF(P170/J170=0,0.0000001,P170/J170)))</f>
        <v>0.48346789530402801</v>
      </c>
      <c r="S170" s="16">
        <f>IFERROR(VLOOKUP(B170,'Факт продаж'!AB:AD,2,0),"нет продаж")</f>
        <v>89</v>
      </c>
      <c r="T170" s="16">
        <f>IFERROR(VLOOKUP(B170,'Факт продаж'!AB:AD,3,0),"нет продаж")</f>
        <v>267554.75</v>
      </c>
      <c r="U170" s="16">
        <f>IFERROR(VLOOKUP(B170,'Факт продаж'!AB:AF,5,0),"нет продаж")</f>
        <v>38344.503607584644</v>
      </c>
      <c r="V170" s="7">
        <f>IFERROR(VLOOKUP(B170,'Факт продаж'!AB:AD,3,0)/SUM('План Антонова'!$C$20:$C$22),0)</f>
        <v>1.7387573102383071E-3</v>
      </c>
      <c r="W170" s="44">
        <f>IFERROR(VLOOKUP(B170,'Факт продаж'!AB:AG,6,0),"-")</f>
        <v>-0.1310742175957742</v>
      </c>
      <c r="X170" s="44">
        <f>IF(AND(P170=0,V170&gt;0),5,IF(V170/P170&gt;5,5,IF(V170/P170=0,0.0000001,V170/P170)))</f>
        <v>1.0008384593555157</v>
      </c>
      <c r="Y170" s="44">
        <f>IFERROR(VLOOKUP(B170,'Факт продаж'!AB:AH,7,0),"-")</f>
        <v>1</v>
      </c>
      <c r="Z170" s="44">
        <f>IF(AND(F170=0,V170&gt;0),5,IF(V170/F170&gt;5,5,IF(V170/F170=0,0.0000001,V170/F170)))</f>
        <v>5</v>
      </c>
      <c r="AB170" s="10" t="str">
        <f>IFERROR(VLOOKUP(VALUE(IF(L170&lt;1,1,0)&amp;IF(J170&lt;'Факт продаж'!$M$24,0,1)),$AB$1:$AC$4,2,FALSE),"НЕТ ПРОДАЖ")</f>
        <v>Звезда</v>
      </c>
      <c r="AC170" s="10" t="str">
        <f>IFERROR(VLOOKUP(VALUE(IF(R170&lt;1,1,0)&amp;IF(P170&lt;'Факт продаж'!$V$24,0,1)),$AB$1:$AC$4,2,FALSE),"НЕТ ПРОДАЖ")</f>
        <v>Корова</v>
      </c>
      <c r="AD170" s="10" t="str">
        <f>IFERROR(VLOOKUP(VALUE(IF(X170&lt;1,1,0)&amp;IF(V170&lt;'Факт продаж'!$AE$24,0,1)),$AB$1:$AC$4,2,FALSE),"НЕТ ПРОДАЖ")</f>
        <v>Звезда</v>
      </c>
      <c r="AE170" s="18" t="str">
        <f>IFERROR(VLOOKUP(VALUE(IF(Z170&lt;1,1,0)&amp;IF(V170&lt;'Факт продаж'!$AE$24,0,1)),$AB$1:$AC$4,2,FALSE),"НЕТ ПРОДАЖ")</f>
        <v>Звезда</v>
      </c>
      <c r="AF170" s="74" t="str">
        <f>VLOOKUP(B170,'ABC расчет'!B:G,6,0)</f>
        <v>C</v>
      </c>
      <c r="AG170" s="74" t="str">
        <f>VLOOKUP(B170,'ABC расчет'!K:P,6,0)</f>
        <v>A</v>
      </c>
      <c r="AH170" s="74" t="str">
        <f>VLOOKUP(B170,'ABC расчет'!T:Y,6,0)</f>
        <v>A</v>
      </c>
      <c r="AI170" s="74" t="str">
        <f>VLOOKUP(B170,'ABC расчет'!AC:AH,6,0)</f>
        <v>A</v>
      </c>
      <c r="AJ170" s="74" t="s">
        <v>452</v>
      </c>
      <c r="AK170" s="74"/>
      <c r="AL170" s="19"/>
    </row>
    <row r="171" spans="1:38" x14ac:dyDescent="0.3">
      <c r="A171" s="120" t="s">
        <v>252</v>
      </c>
      <c r="B171" s="21" t="s">
        <v>90</v>
      </c>
      <c r="C171" s="20">
        <f>IFERROR(VLOOKUP(B171,'Факт продаж'!A:B,2,0),"нет продаж")</f>
        <v>4</v>
      </c>
      <c r="D171" s="47">
        <f>IFERROR(VLOOKUP(B171,'Факт продаж'!A:C,3,0),"нет продаж")</f>
        <v>6206.0105999999996</v>
      </c>
      <c r="E171" s="47">
        <f>IFERROR(VLOOKUP(B171,'Факт продаж'!A:E,5,0),"нет продаж")</f>
        <v>3107.973005167099</v>
      </c>
      <c r="F171" s="25">
        <f>IFERROR(VLOOKUP(B171,'Факт продаж'!A:C,3,0)/SUM('План Антонова'!$C$11:$C$13),0)</f>
        <v>4.7122895878458529E-5</v>
      </c>
      <c r="G171" s="5">
        <f>IFERROR(VLOOKUP(B171,'Факт продаж'!J:K,2,0),"нет продаж")</f>
        <v>8</v>
      </c>
      <c r="H171" s="48">
        <f>IFERROR(VLOOKUP(B171,'Факт продаж'!J:L,3,0),"нет продаж")</f>
        <v>12696</v>
      </c>
      <c r="I171" s="48">
        <f>IFERROR(VLOOKUP(B171,'Факт продаж'!J:N,5,0),"нет продаж")</f>
        <v>4985.8073234090989</v>
      </c>
      <c r="J171" s="7">
        <f>IFERROR(VLOOKUP(B171,'Факт продаж'!J:L,3,0)/SUM('План Антонова'!$C$14:$C$16),0)</f>
        <v>8.7664105490172187E-5</v>
      </c>
      <c r="K171" s="44">
        <f>IFERROR(VLOOKUP(B171,'Факт продаж'!J:O,6,0),"-")</f>
        <v>0.60419904391706214</v>
      </c>
      <c r="L171" s="44">
        <f>IF(AND(F171=0,J171&gt;0),5,IF(J171/F171&gt;5,5,IF(J171/F171=0,0.0000001,J171/F171)))</f>
        <v>1.8603293336699711</v>
      </c>
      <c r="M171" s="5">
        <f>IFERROR(VLOOKUP(B171,'Факт продаж'!S:T,2,0),"нет продаж")</f>
        <v>20</v>
      </c>
      <c r="N171" s="48">
        <f>IFERROR(VLOOKUP(B171,'Факт продаж'!S:U,3,0),"нет продаж")</f>
        <v>33638.400000000001</v>
      </c>
      <c r="O171" s="48">
        <f>IFERROR(VLOOKUP(B171,'Факт продаж'!S:W,5,0),"нет продаж")</f>
        <v>10460.274338956384</v>
      </c>
      <c r="P171" s="7">
        <f>IFERROR(VLOOKUP(B171,'Факт продаж'!S:U,3,0)/SUM('План Антонова'!$C$17:$C$19),0)</f>
        <v>2.0489318868091805E-4</v>
      </c>
      <c r="Q171" s="44">
        <f>IFERROR(VLOOKUP(B171,'Факт продаж'!S:X,6,0),"-")</f>
        <v>1.0980101436820187</v>
      </c>
      <c r="R171" s="44">
        <f>IF(AND(J171=0,P171&gt;0),5,IF(P171/J171&gt;5,5,IF(P171/J171=0,0.0000001,P171/J171)))</f>
        <v>2.3372529444664001</v>
      </c>
      <c r="S171" s="16">
        <f>IFERROR(VLOOKUP(B171,'Факт продаж'!AB:AD,2,0),"нет продаж")</f>
        <v>68</v>
      </c>
      <c r="T171" s="16">
        <f>IFERROR(VLOOKUP(B171,'Факт продаж'!AB:AD,3,0),"нет продаж")</f>
        <v>125400.2</v>
      </c>
      <c r="U171" s="16">
        <f>IFERROR(VLOOKUP(B171,'Факт продаж'!AB:AF,5,0),"нет продаж")</f>
        <v>37693.862294179416</v>
      </c>
      <c r="V171" s="7">
        <f>IFERROR(VLOOKUP(B171,'Факт продаж'!AB:AD,3,0)/SUM('План Антонова'!$C$20:$C$22),0)</f>
        <v>8.1493793122845238E-4</v>
      </c>
      <c r="W171" s="44">
        <f>IFERROR(VLOOKUP(B171,'Факт продаж'!AB:AG,6,0),"-")</f>
        <v>2.6035252109783684</v>
      </c>
      <c r="X171" s="44">
        <f>IF(AND(P171=0,V171&gt;0),5,IF(V171/P171&gt;5,5,IF(V171/P171=0,0.0000001,V171/P171)))</f>
        <v>3.977379318829199</v>
      </c>
      <c r="Y171" s="44">
        <f>IFERROR(VLOOKUP(B171,'Факт продаж'!AB:AH,7,0),"-")</f>
        <v>11.128117661096873</v>
      </c>
      <c r="Z171" s="44">
        <f>IF(AND(F171=0,V171&gt;0),5,IF(V171/F171&gt;5,5,IF(V171/F171=0,0.0000001,V171/F171)))</f>
        <v>5</v>
      </c>
      <c r="AB171" s="10" t="str">
        <f>IFERROR(VLOOKUP(VALUE(IF(L171&lt;1,1,0)&amp;IF(J171&lt;'Факт продаж'!$M$24,0,1)),$AB$1:$AC$4,2,FALSE),"НЕТ ПРОДАЖ")</f>
        <v>Темная лошадка</v>
      </c>
      <c r="AC171" s="10" t="str">
        <f>IFERROR(VLOOKUP(VALUE(IF(R171&lt;1,1,0)&amp;IF(P171&lt;'Факт продаж'!$V$24,0,1)),$AB$1:$AC$4,2,FALSE),"НЕТ ПРОДАЖ")</f>
        <v>Темная лошадка</v>
      </c>
      <c r="AD171" s="10" t="str">
        <f>IFERROR(VLOOKUP(VALUE(IF(X171&lt;1,1,0)&amp;IF(V171&lt;'Факт продаж'!$AE$24,0,1)),$AB$1:$AC$4,2,FALSE),"НЕТ ПРОДАЖ")</f>
        <v>Темная лошадка</v>
      </c>
      <c r="AE171" s="18" t="str">
        <f>IFERROR(VLOOKUP(VALUE(IF(Z171&lt;1,1,0)&amp;IF(V171&lt;'Факт продаж'!$AE$24,0,1)),$AB$1:$AC$4,2,FALSE),"НЕТ ПРОДАЖ")</f>
        <v>Темная лошадка</v>
      </c>
      <c r="AF171" s="74" t="str">
        <f>VLOOKUP(B171,'ABC расчет'!B:G,6,0)</f>
        <v>C</v>
      </c>
      <c r="AG171" s="74" t="str">
        <f>VLOOKUP(B171,'ABC расчет'!K:P,6,0)</f>
        <v>C</v>
      </c>
      <c r="AH171" s="74" t="str">
        <f>VLOOKUP(B171,'ABC расчет'!T:Y,6,0)</f>
        <v>C</v>
      </c>
      <c r="AI171" s="74" t="str">
        <f>VLOOKUP(B171,'ABC расчет'!AC:AH,6,0)</f>
        <v>C</v>
      </c>
      <c r="AJ171" s="74"/>
      <c r="AK171" s="74"/>
      <c r="AL171" s="19"/>
    </row>
    <row r="172" spans="1:38" x14ac:dyDescent="0.3">
      <c r="A172" s="120" t="s">
        <v>116</v>
      </c>
      <c r="B172" s="21" t="s">
        <v>197</v>
      </c>
      <c r="C172" s="20">
        <f>IFERROR(VLOOKUP(B172,'Факт продаж'!A:B,2,0),"нет продаж")</f>
        <v>3</v>
      </c>
      <c r="D172" s="47">
        <f>IFERROR(VLOOKUP(B172,'Факт продаж'!A:C,3,0),"нет продаж")</f>
        <v>9187.902399999999</v>
      </c>
      <c r="E172" s="47">
        <f>IFERROR(VLOOKUP(B172,'Факт продаж'!A:E,5,0),"нет продаж")</f>
        <v>3837.8848575997331</v>
      </c>
      <c r="F172" s="25">
        <f>IFERROR(VLOOKUP(B172,'Факт продаж'!A:C,3,0)/SUM('План Антонова'!$C$11:$C$13),0)</f>
        <v>6.9764716182830751E-5</v>
      </c>
      <c r="G172" s="5">
        <f>IFERROR(VLOOKUP(B172,'Факт продаж'!J:K,2,0),"нет продаж")</f>
        <v>25</v>
      </c>
      <c r="H172" s="48">
        <f>IFERROR(VLOOKUP(B172,'Факт продаж'!J:L,3,0),"нет продаж")</f>
        <v>128147.20000000001</v>
      </c>
      <c r="I172" s="48">
        <f>IFERROR(VLOOKUP(B172,'Факт продаж'!J:N,5,0),"нет продаж")</f>
        <v>69850.223472103855</v>
      </c>
      <c r="J172" s="7">
        <f>IFERROR(VLOOKUP(B172,'Факт продаж'!J:L,3,0)/SUM('План Антонова'!$C$14:$C$16),0)</f>
        <v>8.848385049677217E-4</v>
      </c>
      <c r="K172" s="44">
        <f>IFERROR(VLOOKUP(B172,'Факт продаж'!J:O,6,0),"-")</f>
        <v>17.200187359395969</v>
      </c>
      <c r="L172" s="44">
        <f>IF(AND(F172=0,J172&gt;0),5,IF(J172/F172&gt;5,5,IF(J172/F172=0,0.0000001,J172/F172)))</f>
        <v>5</v>
      </c>
      <c r="M172" s="5">
        <f>IFERROR(VLOOKUP(B172,'Факт продаж'!S:T,2,0),"нет продаж")</f>
        <v>14</v>
      </c>
      <c r="N172" s="48">
        <f>IFERROR(VLOOKUP(B172,'Факт продаж'!S:U,3,0),"нет продаж")</f>
        <v>70350</v>
      </c>
      <c r="O172" s="48">
        <f>IFERROR(VLOOKUP(B172,'Факт продаж'!S:W,5,0),"нет продаж")</f>
        <v>34821.96857856671</v>
      </c>
      <c r="P172" s="7">
        <f>IFERROR(VLOOKUP(B172,'Факт продаж'!S:U,3,0)/SUM('План Антонова'!$C$17:$C$19),0)</f>
        <v>4.2850539335112801E-4</v>
      </c>
      <c r="Q172" s="44">
        <f>IFERROR(VLOOKUP(B172,'Факт продаж'!S:X,6,0),"-")</f>
        <v>-0.50147663317822322</v>
      </c>
      <c r="R172" s="44">
        <f>IF(AND(J172=0,P172&gt;0),5,IF(P172/J172&gt;5,5,IF(P172/J172=0,0.0000001,P172/J172)))</f>
        <v>0.48427525581830277</v>
      </c>
      <c r="S172" s="16">
        <f>IFERROR(VLOOKUP(B172,'Факт продаж'!AB:AD,2,0),"нет продаж")</f>
        <v>15</v>
      </c>
      <c r="T172" s="16">
        <f>IFERROR(VLOOKUP(B172,'Факт продаж'!AB:AD,3,0),"нет продаж")</f>
        <v>73412.5</v>
      </c>
      <c r="U172" s="16">
        <f>IFERROR(VLOOKUP(B172,'Факт продаж'!AB:AF,5,0),"нет продаж")</f>
        <v>36828.656858981645</v>
      </c>
      <c r="V172" s="7">
        <f>IFERROR(VLOOKUP(B172,'Факт продаж'!AB:AD,3,0)/SUM('План Антонова'!$C$20:$C$22),0)</f>
        <v>4.7708560972238291E-4</v>
      </c>
      <c r="W172" s="44">
        <f>IFERROR(VLOOKUP(B172,'Факт продаж'!AB:AG,6,0),"-")</f>
        <v>5.7627077455066011E-2</v>
      </c>
      <c r="X172" s="44">
        <f>IF(AND(P172=0,V172&gt;0),5,IF(V172/P172&gt;5,5,IF(V172/P172=0,0.0000001,V172/P172)))</f>
        <v>1.1133713066977597</v>
      </c>
      <c r="Y172" s="44">
        <f>IFERROR(VLOOKUP(B172,'Факт продаж'!AB:AH,7,0),"-")</f>
        <v>8.596081754785839</v>
      </c>
      <c r="Z172" s="44">
        <f>IF(AND(F172=0,V172&gt;0),5,IF(V172/F172&gt;5,5,IF(V172/F172=0,0.0000001,V172/F172)))</f>
        <v>5</v>
      </c>
      <c r="AB172" s="10" t="str">
        <f>IFERROR(VLOOKUP(VALUE(IF(L172&lt;1,1,0)&amp;IF(J172&lt;'Факт продаж'!$M$24,0,1)),$AB$1:$AC$4,2,FALSE),"НЕТ ПРОДАЖ")</f>
        <v>Звезда</v>
      </c>
      <c r="AC172" s="10" t="str">
        <f>IFERROR(VLOOKUP(VALUE(IF(R172&lt;1,1,0)&amp;IF(P172&lt;'Факт продаж'!$V$24,0,1)),$AB$1:$AC$4,2,FALSE),"НЕТ ПРОДАЖ")</f>
        <v>Собака</v>
      </c>
      <c r="AD172" s="10" t="str">
        <f>IFERROR(VLOOKUP(VALUE(IF(X172&lt;1,1,0)&amp;IF(V172&lt;'Факт продаж'!$AE$24,0,1)),$AB$1:$AC$4,2,FALSE),"НЕТ ПРОДАЖ")</f>
        <v>Темная лошадка</v>
      </c>
      <c r="AE172" s="18" t="str">
        <f>IFERROR(VLOOKUP(VALUE(IF(Z172&lt;1,1,0)&amp;IF(V172&lt;'Факт продаж'!$AE$24,0,1)),$AB$1:$AC$4,2,FALSE),"НЕТ ПРОДАЖ")</f>
        <v>Темная лошадка</v>
      </c>
      <c r="AF172" s="74" t="str">
        <f>VLOOKUP(B172,'ABC расчет'!B:G,6,0)</f>
        <v>C</v>
      </c>
      <c r="AG172" s="74" t="str">
        <f>VLOOKUP(B172,'ABC расчет'!K:P,6,0)</f>
        <v>C</v>
      </c>
      <c r="AH172" s="74" t="str">
        <f>VLOOKUP(B172,'ABC расчет'!T:Y,6,0)</f>
        <v>C</v>
      </c>
      <c r="AI172" s="74" t="str">
        <f>VLOOKUP(B172,'ABC расчет'!AC:AH,6,0)</f>
        <v>C</v>
      </c>
      <c r="AJ172" s="74"/>
      <c r="AK172" s="74"/>
      <c r="AL172" s="19"/>
    </row>
    <row r="173" spans="1:38" x14ac:dyDescent="0.3">
      <c r="A173" s="51" t="s">
        <v>251</v>
      </c>
      <c r="B173" s="21" t="s">
        <v>79</v>
      </c>
      <c r="C173" s="20">
        <f>IFERROR(VLOOKUP(B173,'Факт продаж'!A:B,2,0),"нет продаж")</f>
        <v>25</v>
      </c>
      <c r="D173" s="47">
        <f>IFERROR(VLOOKUP(B173,'Факт продаж'!A:C,3,0),"нет продаж")</f>
        <v>87383.071100000001</v>
      </c>
      <c r="E173" s="47">
        <f>IFERROR(VLOOKUP(B173,'Факт продаж'!A:E,5,0),"нет продаж")</f>
        <v>37158.675140481231</v>
      </c>
      <c r="F173" s="25">
        <f>IFERROR(VLOOKUP(B173,'Факт продаж'!A:C,3,0)/SUM('План Антонова'!$C$11:$C$13),0)</f>
        <v>6.6350891520959349E-4</v>
      </c>
      <c r="G173" s="5">
        <f>IFERROR(VLOOKUP(B173,'Факт продаж'!J:K,2,0),"нет продаж")</f>
        <v>109</v>
      </c>
      <c r="H173" s="48">
        <f>IFERROR(VLOOKUP(B173,'Факт продаж'!J:L,3,0),"нет продаж")</f>
        <v>553998.65</v>
      </c>
      <c r="I173" s="48">
        <f>IFERROR(VLOOKUP(B173,'Факт продаж'!J:N,5,0),"нет продаж")</f>
        <v>257262.27165289762</v>
      </c>
      <c r="J173" s="7">
        <f>IFERROR(VLOOKUP(B173,'Факт продаж'!J:L,3,0)/SUM('План Антонова'!$C$14:$C$16),0)</f>
        <v>3.8252832462990693E-3</v>
      </c>
      <c r="K173" s="44">
        <f>IFERROR(VLOOKUP(B173,'Факт продаж'!J:O,6,0),"-")</f>
        <v>5.9233434905926492</v>
      </c>
      <c r="L173" s="44">
        <f>IF(AND(F173=0,J173&gt;0),5,IF(J173/F173&gt;5,5,IF(J173/F173=0,0.0000001,J173/F173)))</f>
        <v>5</v>
      </c>
      <c r="M173" s="5">
        <f>IFERROR(VLOOKUP(B173,'Факт продаж'!S:T,2,0),"нет продаж")</f>
        <v>71</v>
      </c>
      <c r="N173" s="48">
        <f>IFERROR(VLOOKUP(B173,'Факт продаж'!S:U,3,0),"нет продаж")</f>
        <v>352747.35</v>
      </c>
      <c r="O173" s="48">
        <f>IFERROR(VLOOKUP(B173,'Факт продаж'!S:W,5,0),"нет продаж")</f>
        <v>151385.74562438671</v>
      </c>
      <c r="P173" s="7">
        <f>IFERROR(VLOOKUP(B173,'Факт продаж'!S:U,3,0)/SUM('План Антонова'!$C$17:$C$19),0)</f>
        <v>2.1486018758396308E-3</v>
      </c>
      <c r="Q173" s="44">
        <f>IFERROR(VLOOKUP(B173,'Факт продаж'!S:X,6,0),"-")</f>
        <v>-0.41155092563032802</v>
      </c>
      <c r="R173" s="44">
        <f>IF(AND(J173=0,P173&gt;0),5,IF(P173/J173&gt;5,5,IF(P173/J173=0,0.0000001,P173/J173)))</f>
        <v>0.56168438714136681</v>
      </c>
      <c r="S173" s="16">
        <f>IFERROR(VLOOKUP(B173,'Факт продаж'!AB:AD,2,0),"нет продаж")</f>
        <v>15</v>
      </c>
      <c r="T173" s="16">
        <f>IFERROR(VLOOKUP(B173,'Факт продаж'!AB:AD,3,0),"нет продаж")</f>
        <v>75097.399999999994</v>
      </c>
      <c r="U173" s="16">
        <f>IFERROR(VLOOKUP(B173,'Факт продаж'!AB:AF,5,0),"нет продаж")</f>
        <v>34972.764047413795</v>
      </c>
      <c r="V173" s="7">
        <f>IFERROR(VLOOKUP(B173,'Факт продаж'!AB:AD,3,0)/SUM('План Антонова'!$C$20:$C$22),0)</f>
        <v>4.8803526466971805E-4</v>
      </c>
      <c r="W173" s="44">
        <f>IFERROR(VLOOKUP(B173,'Факт продаж'!AB:AG,6,0),"-")</f>
        <v>-0.7689824500769904</v>
      </c>
      <c r="X173" s="44">
        <f>IF(AND(P173=0,V173&gt;0),5,IF(V173/P173&gt;5,5,IF(V173/P173=0,0.0000001,V173/P173)))</f>
        <v>0.22714085385362684</v>
      </c>
      <c r="Y173" s="44">
        <f>IFERROR(VLOOKUP(B173,'Факт продаж'!AB:AH,7,0),"-")</f>
        <v>-5.8826400155641445E-2</v>
      </c>
      <c r="Z173" s="44">
        <f>IF(AND(F173=0,V173&gt;0),5,IF(V173/F173&gt;5,5,IF(V173/F173=0,0.0000001,V173/F173)))</f>
        <v>0.73553686089591475</v>
      </c>
      <c r="AB173" s="10" t="str">
        <f>IFERROR(VLOOKUP(VALUE(IF(L173&lt;1,1,0)&amp;IF(J173&lt;'Факт продаж'!$M$24,0,1)),$AB$1:$AC$4,2,FALSE),"НЕТ ПРОДАЖ")</f>
        <v>Звезда</v>
      </c>
      <c r="AC173" s="10" t="str">
        <f>IFERROR(VLOOKUP(VALUE(IF(R173&lt;1,1,0)&amp;IF(P173&lt;'Факт продаж'!$V$24,0,1)),$AB$1:$AC$4,2,FALSE),"НЕТ ПРОДАЖ")</f>
        <v>Корова</v>
      </c>
      <c r="AD173" s="10" t="str">
        <f>IFERROR(VLOOKUP(VALUE(IF(X173&lt;1,1,0)&amp;IF(V173&lt;'Факт продаж'!$AE$24,0,1)),$AB$1:$AC$4,2,FALSE),"НЕТ ПРОДАЖ")</f>
        <v>Собака</v>
      </c>
      <c r="AE173" s="18" t="str">
        <f>IFERROR(VLOOKUP(VALUE(IF(Z173&lt;1,1,0)&amp;IF(V173&lt;'Факт продаж'!$AE$24,0,1)),$AB$1:$AC$4,2,FALSE),"НЕТ ПРОДАЖ")</f>
        <v>Собака</v>
      </c>
      <c r="AF173" s="74" t="str">
        <f>VLOOKUP(B173,'ABC расчет'!B:G,6,0)</f>
        <v>C</v>
      </c>
      <c r="AG173" s="74" t="str">
        <f>VLOOKUP(B173,'ABC расчет'!K:P,6,0)</f>
        <v>B</v>
      </c>
      <c r="AH173" s="74" t="str">
        <f>VLOOKUP(B173,'ABC расчет'!T:Y,6,0)</f>
        <v>C</v>
      </c>
      <c r="AI173" s="74" t="str">
        <f>VLOOKUP(B173,'ABC расчет'!AC:AH,6,0)</f>
        <v>C</v>
      </c>
      <c r="AJ173" s="74"/>
      <c r="AK173" s="74"/>
      <c r="AL173" s="19"/>
    </row>
    <row r="174" spans="1:38" x14ac:dyDescent="0.3">
      <c r="A174" s="51" t="s">
        <v>256</v>
      </c>
      <c r="B174" s="21" t="s">
        <v>311</v>
      </c>
      <c r="C174" s="20">
        <f>IFERROR(VLOOKUP(B174,'Факт продаж'!A:B,2,0),"нет продаж")</f>
        <v>3</v>
      </c>
      <c r="D174" s="47">
        <f>IFERROR(VLOOKUP(B174,'Факт продаж'!A:C,3,0),"нет продаж")</f>
        <v>10111.267599999999</v>
      </c>
      <c r="E174" s="47">
        <f>IFERROR(VLOOKUP(B174,'Факт продаж'!A:E,5,0),"нет продаж")</f>
        <v>2793.3390678427841</v>
      </c>
      <c r="F174" s="25">
        <f>IFERROR(VLOOKUP(B174,'Факт продаж'!A:C,3,0)/SUM('План Антонова'!$C$11:$C$13),0)</f>
        <v>7.6775925957011935E-5</v>
      </c>
      <c r="G174" s="5">
        <f>IFERROR(VLOOKUP(B174,'Факт продаж'!J:K,2,0),"нет продаж")</f>
        <v>3</v>
      </c>
      <c r="H174" s="48">
        <f>IFERROR(VLOOKUP(B174,'Факт продаж'!J:L,3,0),"нет продаж")</f>
        <v>10281</v>
      </c>
      <c r="I174" s="48">
        <f>IFERROR(VLOOKUP(B174,'Факт продаж'!J:N,5,0),"нет продаж")</f>
        <v>4028.5099662694693</v>
      </c>
      <c r="J174" s="7">
        <f>IFERROR(VLOOKUP(B174,'Факт продаж'!J:L,3,0)/SUM('План Антонова'!$C$14:$C$16),0)</f>
        <v>7.0988868032802475E-5</v>
      </c>
      <c r="K174" s="44">
        <f>IFERROR(VLOOKUP(B174,'Факт продаж'!J:O,6,0),"-")</f>
        <v>0.44218437806068867</v>
      </c>
      <c r="L174" s="44">
        <f>IF(AND(F174=0,J174&gt;0),5,IF(J174/F174&gt;5,5,IF(J174/F174=0,0.0000001,J174/F174)))</f>
        <v>0.9246240556258517</v>
      </c>
      <c r="M174" s="5">
        <f>IFERROR(VLOOKUP(B174,'Факт продаж'!S:T,2,0),"нет продаж")</f>
        <v>80</v>
      </c>
      <c r="N174" s="48">
        <f>IFERROR(VLOOKUP(B174,'Факт продаж'!S:U,3,0),"нет продаж")</f>
        <v>345060.3</v>
      </c>
      <c r="O174" s="48">
        <f>IFERROR(VLOOKUP(B174,'Факт продаж'!S:W,5,0),"нет продаж")</f>
        <v>102253.03579352074</v>
      </c>
      <c r="P174" s="7">
        <f>IFERROR(VLOOKUP(B174,'Факт продаж'!S:U,3,0)/SUM('План Антонова'!$C$17:$C$19),0)</f>
        <v>2.1017796671124129E-3</v>
      </c>
      <c r="Q174" s="44">
        <f>IFERROR(VLOOKUP(B174,'Факт продаж'!S:X,6,0),"-")</f>
        <v>24.382346487828194</v>
      </c>
      <c r="R174" s="44">
        <f>IF(AND(J174=0,P174&gt;0),5,IF(P174/J174&gt;5,5,IF(P174/J174=0,0.0000001,P174/J174)))</f>
        <v>5</v>
      </c>
      <c r="S174" s="16">
        <f>IFERROR(VLOOKUP(B174,'Факт продаж'!AB:AD,2,0),"нет продаж")</f>
        <v>27</v>
      </c>
      <c r="T174" s="16">
        <f>IFERROR(VLOOKUP(B174,'Факт продаж'!AB:AD,3,0),"нет продаж")</f>
        <v>119385.1</v>
      </c>
      <c r="U174" s="16">
        <f>IFERROR(VLOOKUP(B174,'Факт продаж'!AB:AF,5,0),"нет продаж")</f>
        <v>33321.508868320321</v>
      </c>
      <c r="V174" s="7">
        <f>IFERROR(VLOOKUP(B174,'Факт продаж'!AB:AD,3,0)/SUM('План Антонова'!$C$20:$C$22),0)</f>
        <v>7.7584761757558537E-4</v>
      </c>
      <c r="W174" s="44">
        <f>IFERROR(VLOOKUP(B174,'Факт продаж'!AB:AG,6,0),"-")</f>
        <v>-0.67412694782376592</v>
      </c>
      <c r="X174" s="44">
        <f>IF(AND(P174=0,V174&gt;0),5,IF(V174/P174&gt;5,5,IF(V174/P174=0,0.0000001,V174/P174)))</f>
        <v>0.36913841622680876</v>
      </c>
      <c r="Y174" s="44">
        <f>IFERROR(VLOOKUP(B174,'Факт продаж'!AB:AH,7,0),"-")</f>
        <v>10.928916633115209</v>
      </c>
      <c r="Z174" s="44">
        <f>IF(AND(F174=0,V174&gt;0),5,IF(V174/F174&gt;5,5,IF(V174/F174=0,0.0000001,V174/F174)))</f>
        <v>5</v>
      </c>
      <c r="AB174" s="10" t="str">
        <f>IFERROR(VLOOKUP(VALUE(IF(L174&lt;1,1,0)&amp;IF(J174&lt;'Факт продаж'!$M$24,0,1)),$AB$1:$AC$4,2,FALSE),"НЕТ ПРОДАЖ")</f>
        <v>Собака</v>
      </c>
      <c r="AC174" s="10" t="str">
        <f>IFERROR(VLOOKUP(VALUE(IF(R174&lt;1,1,0)&amp;IF(P174&lt;'Факт продаж'!$V$24,0,1)),$AB$1:$AC$4,2,FALSE),"НЕТ ПРОДАЖ")</f>
        <v>Звезда</v>
      </c>
      <c r="AD174" s="10" t="str">
        <f>IFERROR(VLOOKUP(VALUE(IF(X174&lt;1,1,0)&amp;IF(V174&lt;'Факт продаж'!$AE$24,0,1)),$AB$1:$AC$4,2,FALSE),"НЕТ ПРОДАЖ")</f>
        <v>Собака</v>
      </c>
      <c r="AE174" s="18" t="str">
        <f>IFERROR(VLOOKUP(VALUE(IF(Z174&lt;1,1,0)&amp;IF(V174&lt;'Факт продаж'!$AE$24,0,1)),$AB$1:$AC$4,2,FALSE),"НЕТ ПРОДАЖ")</f>
        <v>Темная лошадка</v>
      </c>
      <c r="AF174" s="74" t="str">
        <f>VLOOKUP(B174,'ABC расчет'!B:G,6,0)</f>
        <v>C</v>
      </c>
      <c r="AG174" s="74" t="str">
        <f>VLOOKUP(B174,'ABC расчет'!K:P,6,0)</f>
        <v>C</v>
      </c>
      <c r="AH174" s="74" t="str">
        <f>VLOOKUP(B174,'ABC расчет'!T:Y,6,0)</f>
        <v>A</v>
      </c>
      <c r="AI174" s="74" t="str">
        <f>VLOOKUP(B174,'ABC расчет'!AC:AH,6,0)</f>
        <v>C</v>
      </c>
      <c r="AJ174" s="74" t="s">
        <v>452</v>
      </c>
      <c r="AK174" s="74"/>
      <c r="AL174" s="19"/>
    </row>
    <row r="175" spans="1:38" x14ac:dyDescent="0.3">
      <c r="A175" s="51" t="s">
        <v>247</v>
      </c>
      <c r="B175" s="21" t="s">
        <v>211</v>
      </c>
      <c r="C175" s="20" t="str">
        <f>IFERROR(VLOOKUP(B175,'Факт продаж'!A:B,2,0),"нет продаж")</f>
        <v>нет продаж</v>
      </c>
      <c r="D175" s="47" t="str">
        <f>IFERROR(VLOOKUP(B175,'Факт продаж'!A:C,3,0),"нет продаж")</f>
        <v>нет продаж</v>
      </c>
      <c r="E175" s="47" t="str">
        <f>IFERROR(VLOOKUP(B175,'Факт продаж'!A:E,5,0),"нет продаж")</f>
        <v>нет продаж</v>
      </c>
      <c r="F175" s="25">
        <f>IFERROR(VLOOKUP(B175,'Факт продаж'!A:C,3,0)/SUM('План Антонова'!$C$11:$C$13),0)</f>
        <v>0</v>
      </c>
      <c r="G175" s="5">
        <f>IFERROR(VLOOKUP(B175,'Факт продаж'!J:K,2,0),"нет продаж")</f>
        <v>510</v>
      </c>
      <c r="H175" s="48">
        <f>IFERROR(VLOOKUP(B175,'Факт продаж'!J:L,3,0),"нет продаж")</f>
        <v>83309.399999999994</v>
      </c>
      <c r="I175" s="48">
        <f>IFERROR(VLOOKUP(B175,'Факт продаж'!J:N,5,0),"нет продаж")</f>
        <v>41772.463403299094</v>
      </c>
      <c r="J175" s="7">
        <f>IFERROR(VLOOKUP(B175,'Факт продаж'!J:L,3,0)/SUM('План Антонова'!$C$14:$C$16),0)</f>
        <v>5.752397629113855E-4</v>
      </c>
      <c r="K175" s="44">
        <f>IFERROR(VLOOKUP(B175,'Факт продаж'!J:O,6,0),"-")</f>
        <v>1</v>
      </c>
      <c r="L175" s="44">
        <f>IF(AND(F175=0,J175&gt;0),5,IF(J175/F175&gt;5,5,IF(J175/F175=0,0.0000001,J175/F175)))</f>
        <v>5</v>
      </c>
      <c r="M175" s="5">
        <f>IFERROR(VLOOKUP(B175,'Факт продаж'!S:T,2,0),"нет продаж")</f>
        <v>396</v>
      </c>
      <c r="N175" s="48">
        <f>IFERROR(VLOOKUP(B175,'Факт продаж'!S:U,3,0),"нет продаж")</f>
        <v>67082.200000000012</v>
      </c>
      <c r="O175" s="48">
        <f>IFERROR(VLOOKUP(B175,'Факт продаж'!S:W,5,0),"нет продаж")</f>
        <v>34026.435570432928</v>
      </c>
      <c r="P175" s="7">
        <f>IFERROR(VLOOKUP(B175,'Факт продаж'!S:U,3,0)/SUM('План Антонова'!$C$17:$C$19),0)</f>
        <v>4.0860105896032759E-4</v>
      </c>
      <c r="Q175" s="44">
        <f>IFERROR(VLOOKUP(B175,'Факт продаж'!S:X,6,0),"-")</f>
        <v>-0.18543382893368943</v>
      </c>
      <c r="R175" s="44">
        <f>IF(AND(J175=0,P175&gt;0),5,IF(P175/J175&gt;5,5,IF(P175/J175=0,0.0000001,P175/J175)))</f>
        <v>0.71031435117129016</v>
      </c>
      <c r="S175" s="16">
        <f>IFERROR(VLOOKUP(B175,'Факт продаж'!AB:AD,2,0),"нет продаж")</f>
        <v>408</v>
      </c>
      <c r="T175" s="16">
        <f>IFERROR(VLOOKUP(B175,'Факт продаж'!AB:AD,3,0),"нет продаж")</f>
        <v>69061.799999999988</v>
      </c>
      <c r="U175" s="16">
        <f>IFERROR(VLOOKUP(B175,'Факт продаж'!AB:AF,5,0),"нет продаж")</f>
        <v>33316.509948390078</v>
      </c>
      <c r="V175" s="7">
        <f>IFERROR(VLOOKUP(B175,'Факт продаж'!AB:AD,3,0)/SUM('План Антонова'!$C$20:$C$22),0)</f>
        <v>4.4881172772382437E-4</v>
      </c>
      <c r="W175" s="44">
        <f>IFERROR(VLOOKUP(B175,'Факт продаж'!AB:AG,6,0),"-")</f>
        <v>-2.0863943288251363E-2</v>
      </c>
      <c r="X175" s="44">
        <f>IF(AND(P175=0,V175&gt;0),5,IF(V175/P175&gt;5,5,IF(V175/P175=0,0.0000001,V175/P175)))</f>
        <v>1.0984105838242602</v>
      </c>
      <c r="Y175" s="44">
        <f>IFERROR(VLOOKUP(B175,'Факт продаж'!AB:AH,7,0),"-")</f>
        <v>1</v>
      </c>
      <c r="Z175" s="44">
        <f>IF(AND(F175=0,V175&gt;0),5,IF(V175/F175&gt;5,5,IF(V175/F175=0,0.0000001,V175/F175)))</f>
        <v>5</v>
      </c>
      <c r="AB175" s="10" t="str">
        <f>IFERROR(VLOOKUP(VALUE(IF(L175&lt;1,1,0)&amp;IF(J175&lt;'Факт продаж'!$M$24,0,1)),$AB$1:$AC$4,2,FALSE),"НЕТ ПРОДАЖ")</f>
        <v>Темная лошадка</v>
      </c>
      <c r="AC175" s="10" t="str">
        <f>IFERROR(VLOOKUP(VALUE(IF(R175&lt;1,1,0)&amp;IF(P175&lt;'Факт продаж'!$V$24,0,1)),$AB$1:$AC$4,2,FALSE),"НЕТ ПРОДАЖ")</f>
        <v>Собака</v>
      </c>
      <c r="AD175" s="10" t="str">
        <f>IFERROR(VLOOKUP(VALUE(IF(X175&lt;1,1,0)&amp;IF(V175&lt;'Факт продаж'!$AE$24,0,1)),$AB$1:$AC$4,2,FALSE),"НЕТ ПРОДАЖ")</f>
        <v>Темная лошадка</v>
      </c>
      <c r="AE175" s="18" t="str">
        <f>IFERROR(VLOOKUP(VALUE(IF(Z175&lt;1,1,0)&amp;IF(V175&lt;'Факт продаж'!$AE$24,0,1)),$AB$1:$AC$4,2,FALSE),"НЕТ ПРОДАЖ")</f>
        <v>Темная лошадка</v>
      </c>
      <c r="AF175" s="74" t="str">
        <f>VLOOKUP(B175,'ABC расчет'!B:G,6,0)</f>
        <v>C</v>
      </c>
      <c r="AG175" s="74" t="str">
        <f>VLOOKUP(B175,'ABC расчет'!K:P,6,0)</f>
        <v>A</v>
      </c>
      <c r="AH175" s="74" t="str">
        <f>VLOOKUP(B175,'ABC расчет'!T:Y,6,0)</f>
        <v>A</v>
      </c>
      <c r="AI175" s="74" t="str">
        <f>VLOOKUP(B175,'ABC расчет'!AC:AH,6,0)</f>
        <v>B</v>
      </c>
      <c r="AJ175" s="74"/>
      <c r="AK175" s="74"/>
      <c r="AL175" s="19" t="s">
        <v>455</v>
      </c>
    </row>
    <row r="176" spans="1:38" x14ac:dyDescent="0.3">
      <c r="A176" s="51" t="s">
        <v>247</v>
      </c>
      <c r="B176" s="21" t="s">
        <v>109</v>
      </c>
      <c r="C176" s="20" t="str">
        <f>IFERROR(VLOOKUP(B176,'Факт продаж'!A:B,2,0),"нет продаж")</f>
        <v>нет продаж</v>
      </c>
      <c r="D176" s="47" t="str">
        <f>IFERROR(VLOOKUP(B176,'Факт продаж'!A:C,3,0),"нет продаж")</f>
        <v>нет продаж</v>
      </c>
      <c r="E176" s="47" t="str">
        <f>IFERROR(VLOOKUP(B176,'Факт продаж'!A:E,5,0),"нет продаж")</f>
        <v>нет продаж</v>
      </c>
      <c r="F176" s="25">
        <f>IFERROR(VLOOKUP(B176,'Факт продаж'!A:C,3,0)/SUM('План Антонова'!$C$11:$C$13),0)</f>
        <v>0</v>
      </c>
      <c r="G176" s="5">
        <f>IFERROR(VLOOKUP(B176,'Факт продаж'!J:K,2,0),"нет продаж")</f>
        <v>123</v>
      </c>
      <c r="H176" s="48">
        <f>IFERROR(VLOOKUP(B176,'Факт продаж'!J:L,3,0),"нет продаж")</f>
        <v>120817.84999999999</v>
      </c>
      <c r="I176" s="48">
        <f>IFERROR(VLOOKUP(B176,'Факт продаж'!J:N,5,0),"нет продаж")</f>
        <v>52027.086154910634</v>
      </c>
      <c r="J176" s="7">
        <f>IFERROR(VLOOKUP(B176,'Факт продаж'!J:L,3,0)/SUM('План Антонова'!$C$14:$C$16),0)</f>
        <v>8.3423036763514492E-4</v>
      </c>
      <c r="K176" s="44">
        <f>IFERROR(VLOOKUP(B176,'Факт продаж'!J:O,6,0),"-")</f>
        <v>1</v>
      </c>
      <c r="L176" s="44">
        <f>IF(AND(F176=0,J176&gt;0),5,IF(J176/F176&gt;5,5,IF(J176/F176=0,0.0000001,J176/F176)))</f>
        <v>5</v>
      </c>
      <c r="M176" s="5">
        <f>IFERROR(VLOOKUP(B176,'Факт продаж'!S:T,2,0),"нет продаж")</f>
        <v>74</v>
      </c>
      <c r="N176" s="48">
        <f>IFERROR(VLOOKUP(B176,'Факт продаж'!S:U,3,0),"нет продаж")</f>
        <v>77659.42</v>
      </c>
      <c r="O176" s="48">
        <f>IFERROR(VLOOKUP(B176,'Факт продаж'!S:W,5,0),"нет продаж")</f>
        <v>33362.612851262413</v>
      </c>
      <c r="P176" s="7">
        <f>IFERROR(VLOOKUP(B176,'Факт продаж'!S:U,3,0)/SUM('План Антонова'!$C$17:$C$19),0)</f>
        <v>4.7302743872808045E-4</v>
      </c>
      <c r="Q176" s="44">
        <f>IFERROR(VLOOKUP(B176,'Факт продаж'!S:X,6,0),"-")</f>
        <v>-0.35874531293324319</v>
      </c>
      <c r="R176" s="44">
        <f>IF(AND(J176=0,P176&gt;0),5,IF(P176/J176&gt;5,5,IF(P176/J176=0,0.0000001,P176/J176)))</f>
        <v>0.56702256005017726</v>
      </c>
      <c r="S176" s="16">
        <f>IFERROR(VLOOKUP(B176,'Факт продаж'!AB:AD,2,0),"нет продаж")</f>
        <v>73</v>
      </c>
      <c r="T176" s="16">
        <f>IFERROR(VLOOKUP(B176,'Факт продаж'!AB:AD,3,0),"нет продаж")</f>
        <v>75910.100000000006</v>
      </c>
      <c r="U176" s="16">
        <f>IFERROR(VLOOKUP(B176,'Факт продаж'!AB:AF,5,0),"нет продаж")</f>
        <v>33017.867140341536</v>
      </c>
      <c r="V176" s="7">
        <f>IFERROR(VLOOKUP(B176,'Факт продаж'!AB:AD,3,0)/SUM('План Антонова'!$C$20:$C$22),0)</f>
        <v>4.9331675590106672E-4</v>
      </c>
      <c r="W176" s="44">
        <f>IFERROR(VLOOKUP(B176,'Факт продаж'!AB:AG,6,0),"-")</f>
        <v>-1.0333294710993646E-2</v>
      </c>
      <c r="X176" s="44">
        <f>IF(AND(P176=0,V176&gt;0),5,IF(V176/P176&gt;5,5,IF(V176/P176=0,0.0000001,V176/P176)))</f>
        <v>1.0428924741185037</v>
      </c>
      <c r="Y176" s="44">
        <f>IFERROR(VLOOKUP(B176,'Факт продаж'!AB:AH,7,0),"-")</f>
        <v>1</v>
      </c>
      <c r="Z176" s="44">
        <f>IF(AND(F176=0,V176&gt;0),5,IF(V176/F176&gt;5,5,IF(V176/F176=0,0.0000001,V176/F176)))</f>
        <v>5</v>
      </c>
      <c r="AB176" s="10" t="str">
        <f>IFERROR(VLOOKUP(VALUE(IF(L176&lt;1,1,0)&amp;IF(J176&lt;'Факт продаж'!$M$24,0,1)),$AB$1:$AC$4,2,FALSE),"НЕТ ПРОДАЖ")</f>
        <v>Звезда</v>
      </c>
      <c r="AC176" s="10" t="str">
        <f>IFERROR(VLOOKUP(VALUE(IF(R176&lt;1,1,0)&amp;IF(P176&lt;'Факт продаж'!$V$24,0,1)),$AB$1:$AC$4,2,FALSE),"НЕТ ПРОДАЖ")</f>
        <v>Собака</v>
      </c>
      <c r="AD176" s="10" t="str">
        <f>IFERROR(VLOOKUP(VALUE(IF(X176&lt;1,1,0)&amp;IF(V176&lt;'Факт продаж'!$AE$24,0,1)),$AB$1:$AC$4,2,FALSE),"НЕТ ПРОДАЖ")</f>
        <v>Темная лошадка</v>
      </c>
      <c r="AE176" s="18" t="str">
        <f>IFERROR(VLOOKUP(VALUE(IF(Z176&lt;1,1,0)&amp;IF(V176&lt;'Факт продаж'!$AE$24,0,1)),$AB$1:$AC$4,2,FALSE),"НЕТ ПРОДАЖ")</f>
        <v>Темная лошадка</v>
      </c>
      <c r="AF176" s="74" t="str">
        <f>VLOOKUP(B176,'ABC расчет'!B:G,6,0)</f>
        <v>C</v>
      </c>
      <c r="AG176" s="74" t="str">
        <f>VLOOKUP(B176,'ABC расчет'!K:P,6,0)</f>
        <v>A</v>
      </c>
      <c r="AH176" s="74" t="str">
        <f>VLOOKUP(B176,'ABC расчет'!T:Y,6,0)</f>
        <v>A</v>
      </c>
      <c r="AI176" s="74" t="str">
        <f>VLOOKUP(B176,'ABC расчет'!AC:AH,6,0)</f>
        <v>A</v>
      </c>
      <c r="AJ176" s="74"/>
      <c r="AK176" s="74"/>
      <c r="AL176" s="19"/>
    </row>
    <row r="177" spans="1:38" x14ac:dyDescent="0.3">
      <c r="A177" s="51" t="s">
        <v>329</v>
      </c>
      <c r="B177" s="21" t="s">
        <v>341</v>
      </c>
      <c r="C177" s="20" t="str">
        <f>IFERROR(VLOOKUP(B177,'Факт продаж'!A:B,2,0),"нет продаж")</f>
        <v>нет продаж</v>
      </c>
      <c r="D177" s="47" t="str">
        <f>IFERROR(VLOOKUP(B177,'Факт продаж'!A:C,3,0),"нет продаж")</f>
        <v>нет продаж</v>
      </c>
      <c r="E177" s="47" t="str">
        <f>IFERROR(VLOOKUP(B177,'Факт продаж'!A:E,5,0),"нет продаж")</f>
        <v>нет продаж</v>
      </c>
      <c r="F177" s="25">
        <f>IFERROR(VLOOKUP(B177,'Факт продаж'!A:C,3,0)/SUM('План Антонова'!$C$11:$C$13),0)</f>
        <v>0</v>
      </c>
      <c r="G177" s="5">
        <f>IFERROR(VLOOKUP(B177,'Факт продаж'!J:K,2,0),"нет продаж")</f>
        <v>4</v>
      </c>
      <c r="H177" s="48">
        <f>IFERROR(VLOOKUP(B177,'Факт продаж'!J:L,3,0),"нет продаж")</f>
        <v>14629.25</v>
      </c>
      <c r="I177" s="48">
        <f>IFERROR(VLOOKUP(B177,'Факт продаж'!J:N,5,0),"нет продаж")</f>
        <v>7046.339372103912</v>
      </c>
      <c r="J177" s="7">
        <f>IFERROR(VLOOKUP(B177,'Факт продаж'!J:L,3,0)/SUM('План Антонова'!$C$14:$C$16),0)</f>
        <v>1.0101292653135645E-4</v>
      </c>
      <c r="K177" s="44">
        <f>IFERROR(VLOOKUP(B177,'Факт продаж'!J:O,6,0),"-")</f>
        <v>1</v>
      </c>
      <c r="L177" s="44">
        <f>IF(AND(F177=0,J177&gt;0),5,IF(J177/F177&gt;5,5,IF(J177/F177=0,0.0000001,J177/F177)))</f>
        <v>5</v>
      </c>
      <c r="M177" s="5">
        <f>IFERROR(VLOOKUP(B177,'Факт продаж'!S:T,2,0),"нет продаж")</f>
        <v>21</v>
      </c>
      <c r="N177" s="48">
        <f>IFERROR(VLOOKUP(B177,'Факт продаж'!S:U,3,0),"нет продаж")</f>
        <v>83468.499999999985</v>
      </c>
      <c r="O177" s="48">
        <f>IFERROR(VLOOKUP(B177,'Факт продаж'!S:W,5,0),"нет продаж")</f>
        <v>43947.892570335702</v>
      </c>
      <c r="P177" s="7">
        <f>IFERROR(VLOOKUP(B177,'Факт продаж'!S:U,3,0)/SUM('План Антонова'!$C$17:$C$19),0)</f>
        <v>5.0841083759671111E-4</v>
      </c>
      <c r="Q177" s="44">
        <f>IFERROR(VLOOKUP(B177,'Факт продаж'!S:X,6,0),"-")</f>
        <v>5.2369821051088037</v>
      </c>
      <c r="R177" s="44">
        <f>IF(AND(J177=0,P177&gt;0),5,IF(P177/J177&gt;5,5,IF(P177/J177=0,0.0000001,P177/J177)))</f>
        <v>5</v>
      </c>
      <c r="S177" s="16">
        <f>IFERROR(VLOOKUP(B177,'Факт продаж'!AB:AD,2,0),"нет продаж")</f>
        <v>24</v>
      </c>
      <c r="T177" s="16">
        <f>IFERROR(VLOOKUP(B177,'Факт продаж'!AB:AD,3,0),"нет продаж")</f>
        <v>79063.5</v>
      </c>
      <c r="U177" s="16">
        <f>IFERROR(VLOOKUP(B177,'Факт продаж'!AB:AF,5,0),"нет продаж")</f>
        <v>32811.944131586642</v>
      </c>
      <c r="V177" s="7">
        <f>IFERROR(VLOOKUP(B177,'Факт продаж'!AB:AD,3,0)/SUM('План Антонова'!$C$20:$C$22),0)</f>
        <v>5.1380974771715474E-4</v>
      </c>
      <c r="W177" s="44">
        <f>IFERROR(VLOOKUP(B177,'Факт продаж'!AB:AG,6,0),"-")</f>
        <v>-0.25338981660899229</v>
      </c>
      <c r="X177" s="44">
        <f>IF(AND(P177=0,V177&gt;0),5,IF(V177/P177&gt;5,5,IF(V177/P177=0,0.0000001,V177/P177)))</f>
        <v>1.0106191877143387</v>
      </c>
      <c r="Y177" s="44">
        <f>IFERROR(VLOOKUP(B177,'Факт продаж'!AB:AH,7,0),"-")</f>
        <v>1</v>
      </c>
      <c r="Z177" s="44">
        <f>IF(AND(F177=0,V177&gt;0),5,IF(V177/F177&gt;5,5,IF(V177/F177=0,0.0000001,V177/F177)))</f>
        <v>5</v>
      </c>
      <c r="AB177" s="10" t="str">
        <f>IFERROR(VLOOKUP(VALUE(IF(L177&lt;1,1,0)&amp;IF(J177&lt;'Факт продаж'!$M$24,0,1)),$AB$1:$AC$4,2,FALSE),"НЕТ ПРОДАЖ")</f>
        <v>Темная лошадка</v>
      </c>
      <c r="AC177" s="10" t="str">
        <f>IFERROR(VLOOKUP(VALUE(IF(R177&lt;1,1,0)&amp;IF(P177&lt;'Факт продаж'!$V$24,0,1)),$AB$1:$AC$4,2,FALSE),"НЕТ ПРОДАЖ")</f>
        <v>Темная лошадка</v>
      </c>
      <c r="AD177" s="10" t="str">
        <f>IFERROR(VLOOKUP(VALUE(IF(X177&lt;1,1,0)&amp;IF(V177&lt;'Факт продаж'!$AE$24,0,1)),$AB$1:$AC$4,2,FALSE),"НЕТ ПРОДАЖ")</f>
        <v>Темная лошадка</v>
      </c>
      <c r="AE177" s="18" t="str">
        <f>IFERROR(VLOOKUP(VALUE(IF(Z177&lt;1,1,0)&amp;IF(V177&lt;'Факт продаж'!$AE$24,0,1)),$AB$1:$AC$4,2,FALSE),"НЕТ ПРОДАЖ")</f>
        <v>Темная лошадка</v>
      </c>
      <c r="AF177" s="74" t="str">
        <f>VLOOKUP(B177,'ABC расчет'!B:G,6,0)</f>
        <v>C</v>
      </c>
      <c r="AG177" s="74" t="str">
        <f>VLOOKUP(B177,'ABC расчет'!K:P,6,0)</f>
        <v>C</v>
      </c>
      <c r="AH177" s="74" t="str">
        <f>VLOOKUP(B177,'ABC расчет'!T:Y,6,0)</f>
        <v>C</v>
      </c>
      <c r="AI177" s="74" t="str">
        <f>VLOOKUP(B177,'ABC расчет'!AC:AH,6,0)</f>
        <v>B</v>
      </c>
      <c r="AJ177" s="74"/>
      <c r="AK177" s="74"/>
      <c r="AL177" s="19"/>
    </row>
    <row r="178" spans="1:38" x14ac:dyDescent="0.3">
      <c r="A178" s="51" t="s">
        <v>257</v>
      </c>
      <c r="B178" s="21" t="s">
        <v>328</v>
      </c>
      <c r="C178" s="20">
        <f>IFERROR(VLOOKUP(B178,'Факт продаж'!A:B,2,0),"нет продаж")</f>
        <v>156</v>
      </c>
      <c r="D178" s="47">
        <f>IFERROR(VLOOKUP(B178,'Факт продаж'!A:C,3,0),"нет продаж")</f>
        <v>313166.67679999996</v>
      </c>
      <c r="E178" s="47">
        <f>IFERROR(VLOOKUP(B178,'Факт продаж'!A:E,5,0),"нет продаж")</f>
        <v>136453.5903994363</v>
      </c>
      <c r="F178" s="25">
        <f>IFERROR(VLOOKUP(B178,'Факт продаж'!A:C,3,0)/SUM('План Антонова'!$C$11:$C$13),0)</f>
        <v>2.3779077501816181E-3</v>
      </c>
      <c r="G178" s="5">
        <f>IFERROR(VLOOKUP(B178,'Факт продаж'!J:K,2,0),"нет продаж")</f>
        <v>21</v>
      </c>
      <c r="H178" s="48">
        <f>IFERROR(VLOOKUP(B178,'Факт продаж'!J:L,3,0),"нет продаж")</f>
        <v>58516.6</v>
      </c>
      <c r="I178" s="48">
        <f>IFERROR(VLOOKUP(B178,'Факт продаж'!J:N,5,0),"нет продаж")</f>
        <v>21795.342262441998</v>
      </c>
      <c r="J178" s="7">
        <f>IFERROR(VLOOKUP(B178,'Факт продаж'!J:L,3,0)/SUM('План Антонова'!$C$14:$C$16),0)</f>
        <v>4.0404894418133349E-4</v>
      </c>
      <c r="K178" s="44">
        <f>IFERROR(VLOOKUP(B178,'Факт продаж'!J:O,6,0),"-")</f>
        <v>-0.84027285615100944</v>
      </c>
      <c r="L178" s="44">
        <f>IF(AND(F178=0,J178&gt;0),5,IF(J178/F178&gt;5,5,IF(J178/F178=0,0.0000001,J178/F178)))</f>
        <v>0.16991783812911723</v>
      </c>
      <c r="M178" s="5">
        <f>IFERROR(VLOOKUP(B178,'Факт продаж'!S:T,2,0),"нет продаж")</f>
        <v>19</v>
      </c>
      <c r="N178" s="48">
        <f>IFERROR(VLOOKUP(B178,'Факт продаж'!S:U,3,0),"нет продаж")</f>
        <v>59297.5</v>
      </c>
      <c r="O178" s="48">
        <f>IFERROR(VLOOKUP(B178,'Факт продаж'!S:W,5,0),"нет продаж")</f>
        <v>17098.796996037156</v>
      </c>
      <c r="P178" s="7">
        <f>IFERROR(VLOOKUP(B178,'Факт продаж'!S:U,3,0)/SUM('План Антонова'!$C$17:$C$19),0)</f>
        <v>3.6118405916472657E-4</v>
      </c>
      <c r="Q178" s="44">
        <f>IFERROR(VLOOKUP(B178,'Факт продаж'!S:X,6,0),"-")</f>
        <v>-0.21548389604773432</v>
      </c>
      <c r="R178" s="44">
        <f>IF(AND(J178=0,P178&gt;0),5,IF(P178/J178&gt;5,5,IF(P178/J178=0,0.0000001,P178/J178)))</f>
        <v>0.89391165195726996</v>
      </c>
      <c r="S178" s="16">
        <f>IFERROR(VLOOKUP(B178,'Факт продаж'!AB:AD,2,0),"нет продаж")</f>
        <v>39</v>
      </c>
      <c r="T178" s="16">
        <f>IFERROR(VLOOKUP(B178,'Факт продаж'!AB:AD,3,0),"нет продаж")</f>
        <v>116704.90400000001</v>
      </c>
      <c r="U178" s="16">
        <f>IFERROR(VLOOKUP(B178,'Факт продаж'!AB:AF,5,0),"нет продаж")</f>
        <v>30738.637670338685</v>
      </c>
      <c r="V178" s="7">
        <f>IFERROR(VLOOKUP(B178,'Факт продаж'!AB:AD,3,0)/SUM('План Антонова'!$C$20:$C$22),0)</f>
        <v>7.5842983527917138E-4</v>
      </c>
      <c r="W178" s="44">
        <f>IFERROR(VLOOKUP(B178,'Факт продаж'!AB:AG,6,0),"-")</f>
        <v>0.79770762103689052</v>
      </c>
      <c r="X178" s="44">
        <f>IF(AND(P178=0,V178&gt;0),5,IF(V178/P178&gt;5,5,IF(V178/P178=0,0.0000001,V178/P178)))</f>
        <v>2.0998430468750877</v>
      </c>
      <c r="Y178" s="44">
        <f>IFERROR(VLOOKUP(B178,'Факт продаж'!AB:AH,7,0),"-")</f>
        <v>-0.7747319247492247</v>
      </c>
      <c r="Z178" s="44">
        <f>IF(AND(F178=0,V178&gt;0),5,IF(V178/F178&gt;5,5,IF(V178/F178=0,0.0000001,V178/F178)))</f>
        <v>0.31894838444478957</v>
      </c>
      <c r="AB178" s="10" t="str">
        <f>IFERROR(VLOOKUP(VALUE(IF(L178&lt;1,1,0)&amp;IF(J178&lt;'Факт продаж'!$M$24,0,1)),$AB$1:$AC$4,2,FALSE),"НЕТ ПРОДАЖ")</f>
        <v>Собака</v>
      </c>
      <c r="AC178" s="10" t="str">
        <f>IFERROR(VLOOKUP(VALUE(IF(R178&lt;1,1,0)&amp;IF(P178&lt;'Факт продаж'!$V$24,0,1)),$AB$1:$AC$4,2,FALSE),"НЕТ ПРОДАЖ")</f>
        <v>Собака</v>
      </c>
      <c r="AD178" s="10" t="str">
        <f>IFERROR(VLOOKUP(VALUE(IF(X178&lt;1,1,0)&amp;IF(V178&lt;'Факт продаж'!$AE$24,0,1)),$AB$1:$AC$4,2,FALSE),"НЕТ ПРОДАЖ")</f>
        <v>Темная лошадка</v>
      </c>
      <c r="AE178" s="18" t="str">
        <f>IFERROR(VLOOKUP(VALUE(IF(Z178&lt;1,1,0)&amp;IF(V178&lt;'Факт продаж'!$AE$24,0,1)),$AB$1:$AC$4,2,FALSE),"НЕТ ПРОДАЖ")</f>
        <v>Собака</v>
      </c>
      <c r="AF178" s="74" t="str">
        <f>VLOOKUP(B178,'ABC расчет'!B:G,6,0)</f>
        <v>A</v>
      </c>
      <c r="AG178" s="74" t="str">
        <f>VLOOKUP(B178,'ABC расчет'!K:P,6,0)</f>
        <v>B</v>
      </c>
      <c r="AH178" s="74" t="str">
        <f>VLOOKUP(B178,'ABC расчет'!T:Y,6,0)</f>
        <v>C</v>
      </c>
      <c r="AI178" s="74" t="str">
        <f>VLOOKUP(B178,'ABC расчет'!AC:AH,6,0)</f>
        <v>B</v>
      </c>
      <c r="AJ178" s="74"/>
      <c r="AK178" s="74"/>
      <c r="AL178" s="19"/>
    </row>
    <row r="179" spans="1:38" x14ac:dyDescent="0.3">
      <c r="A179" s="51" t="s">
        <v>252</v>
      </c>
      <c r="B179" s="21" t="s">
        <v>184</v>
      </c>
      <c r="C179" s="20" t="str">
        <f>IFERROR(VLOOKUP(B179,'Факт продаж'!A:B,2,0),"нет продаж")</f>
        <v>нет продаж</v>
      </c>
      <c r="D179" s="47" t="str">
        <f>IFERROR(VLOOKUP(B179,'Факт продаж'!A:C,3,0),"нет продаж")</f>
        <v>нет продаж</v>
      </c>
      <c r="E179" s="47" t="str">
        <f>IFERROR(VLOOKUP(B179,'Факт продаж'!A:E,5,0),"нет продаж")</f>
        <v>нет продаж</v>
      </c>
      <c r="F179" s="25">
        <f>IFERROR(VLOOKUP(B179,'Факт продаж'!A:C,3,0)/SUM('План Антонова'!$C$11:$C$13),0)</f>
        <v>0</v>
      </c>
      <c r="G179" s="5">
        <f>IFERROR(VLOOKUP(B179,'Факт продаж'!J:K,2,0),"нет продаж")</f>
        <v>241</v>
      </c>
      <c r="H179" s="48">
        <f>IFERROR(VLOOKUP(B179,'Факт продаж'!J:L,3,0),"нет продаж")</f>
        <v>544477.69999999995</v>
      </c>
      <c r="I179" s="48">
        <f>IFERROR(VLOOKUP(B179,'Факт продаж'!J:N,5,0),"нет продаж")</f>
        <v>191797.59748060958</v>
      </c>
      <c r="J179" s="7">
        <f>IFERROR(VLOOKUP(B179,'Факт продаж'!J:L,3,0)/SUM('План Антонова'!$C$14:$C$16),0)</f>
        <v>3.7595424172846819E-3</v>
      </c>
      <c r="K179" s="44">
        <f>IFERROR(VLOOKUP(B179,'Факт продаж'!J:O,6,0),"-")</f>
        <v>1</v>
      </c>
      <c r="L179" s="44">
        <f>IF(AND(F179=0,J179&gt;0),5,IF(J179/F179&gt;5,5,IF(J179/F179=0,0.0000001,J179/F179)))</f>
        <v>5</v>
      </c>
      <c r="M179" s="5" t="str">
        <f>IFERROR(VLOOKUP(B179,'Факт продаж'!S:T,2,0),"нет продаж")</f>
        <v>нет продаж</v>
      </c>
      <c r="N179" s="48" t="str">
        <f>IFERROR(VLOOKUP(B179,'Факт продаж'!S:U,3,0),"нет продаж")</f>
        <v>нет продаж</v>
      </c>
      <c r="O179" s="48" t="str">
        <f>IFERROR(VLOOKUP(B179,'Факт продаж'!S:W,5,0),"нет продаж")</f>
        <v>нет продаж</v>
      </c>
      <c r="P179" s="7">
        <f>IFERROR(VLOOKUP(B179,'Факт продаж'!S:U,3,0)/SUM('План Антонова'!$C$17:$C$19),0)</f>
        <v>0</v>
      </c>
      <c r="Q179" s="44" t="str">
        <f>IFERROR(VLOOKUP(B179,'Факт продаж'!S:X,6,0),"-")</f>
        <v>-</v>
      </c>
      <c r="R179" s="44">
        <f>IF(AND(J179=0,P179&gt;0),5,IF(P179/J179&gt;5,5,IF(P179/J179=0,0.0000001,P179/J179)))</f>
        <v>9.9999999999999995E-8</v>
      </c>
      <c r="S179" s="16">
        <f>IFERROR(VLOOKUP(B179,'Факт продаж'!AB:AD,2,0),"нет продаж")</f>
        <v>55</v>
      </c>
      <c r="T179" s="16">
        <f>IFERROR(VLOOKUP(B179,'Факт продаж'!AB:AD,3,0),"нет продаж")</f>
        <v>81095</v>
      </c>
      <c r="U179" s="16">
        <f>IFERROR(VLOOKUP(B179,'Факт продаж'!AB:AF,5,0),"нет продаж")</f>
        <v>30352.019239850415</v>
      </c>
      <c r="V179" s="7">
        <f>IFERROR(VLOOKUP(B179,'Факт продаж'!AB:AD,3,0)/SUM('План Антонова'!$C$20:$C$22),0)</f>
        <v>5.2701185112122111E-4</v>
      </c>
      <c r="W179" s="44">
        <f>IFERROR(VLOOKUP(B179,'Факт продаж'!AB:AG,6,0),"-")</f>
        <v>1</v>
      </c>
      <c r="X179" s="44">
        <f>IF(AND(P179=0,V179&gt;0),5,IF(V179/P179&gt;5,5,IF(V179/P179=0,0.0000001,V179/P179)))</f>
        <v>5</v>
      </c>
      <c r="Y179" s="44">
        <f>IFERROR(VLOOKUP(B179,'Факт продаж'!AB:AH,7,0),"-")</f>
        <v>1</v>
      </c>
      <c r="Z179" s="44">
        <f>IF(AND(F179=0,V179&gt;0),5,IF(V179/F179&gt;5,5,IF(V179/F179=0,0.0000001,V179/F179)))</f>
        <v>5</v>
      </c>
      <c r="AB179" s="10" t="str">
        <f>IFERROR(VLOOKUP(VALUE(IF(L179&lt;1,1,0)&amp;IF(J179&lt;'Факт продаж'!$M$24,0,1)),$AB$1:$AC$4,2,FALSE),"НЕТ ПРОДАЖ")</f>
        <v>Звезда</v>
      </c>
      <c r="AC179" s="10" t="str">
        <f>IFERROR(VLOOKUP(VALUE(IF(R179&lt;1,1,0)&amp;IF(P179&lt;'Факт продаж'!$V$24,0,1)),$AB$1:$AC$4,2,FALSE),"НЕТ ПРОДАЖ")</f>
        <v>Собака</v>
      </c>
      <c r="AD179" s="10" t="str">
        <f>IFERROR(VLOOKUP(VALUE(IF(X179&lt;1,1,0)&amp;IF(V179&lt;'Факт продаж'!$AE$24,0,1)),$AB$1:$AC$4,2,FALSE),"НЕТ ПРОДАЖ")</f>
        <v>Темная лошадка</v>
      </c>
      <c r="AE179" s="18" t="str">
        <f>IFERROR(VLOOKUP(VALUE(IF(Z179&lt;1,1,0)&amp;IF(V179&lt;'Факт продаж'!$AE$24,0,1)),$AB$1:$AC$4,2,FALSE),"НЕТ ПРОДАЖ")</f>
        <v>Темная лошадка</v>
      </c>
      <c r="AF179" s="74" t="str">
        <f>VLOOKUP(B179,'ABC расчет'!B:G,6,0)</f>
        <v>C</v>
      </c>
      <c r="AG179" s="74" t="str">
        <f>VLOOKUP(B179,'ABC расчет'!K:P,6,0)</f>
        <v>A</v>
      </c>
      <c r="AH179" s="74" t="str">
        <f>VLOOKUP(B179,'ABC расчет'!T:Y,6,0)</f>
        <v>C</v>
      </c>
      <c r="AI179" s="74" t="str">
        <f>VLOOKUP(B179,'ABC расчет'!AC:AH,6,0)</f>
        <v>C</v>
      </c>
      <c r="AJ179" s="74"/>
      <c r="AK179" s="74"/>
      <c r="AL179" s="19"/>
    </row>
    <row r="180" spans="1:38" x14ac:dyDescent="0.3">
      <c r="A180" s="51" t="s">
        <v>260</v>
      </c>
      <c r="B180" s="21" t="s">
        <v>224</v>
      </c>
      <c r="C180" s="20">
        <f>IFERROR(VLOOKUP(B180,'Факт продаж'!A:B,2,0),"нет продаж")</f>
        <v>42</v>
      </c>
      <c r="D180" s="47">
        <f>IFERROR(VLOOKUP(B180,'Факт продаж'!A:C,3,0),"нет продаж")</f>
        <v>37774.6005</v>
      </c>
      <c r="E180" s="47">
        <f>IFERROR(VLOOKUP(B180,'Факт продаж'!A:E,5,0),"нет продаж")</f>
        <v>15493.307016609113</v>
      </c>
      <c r="F180" s="25">
        <f>IFERROR(VLOOKUP(B180,'Факт продаж'!A:C,3,0)/SUM('План Антонова'!$C$11:$C$13),0)</f>
        <v>2.868265429987934E-4</v>
      </c>
      <c r="G180" s="5">
        <f>IFERROR(VLOOKUP(B180,'Факт продаж'!J:K,2,0),"нет продаж")</f>
        <v>26</v>
      </c>
      <c r="H180" s="48">
        <f>IFERROR(VLOOKUP(B180,'Факт продаж'!J:L,3,0),"нет продаж")</f>
        <v>29593.599999999999</v>
      </c>
      <c r="I180" s="48">
        <f>IFERROR(VLOOKUP(B180,'Факт продаж'!J:N,5,0),"нет продаж")</f>
        <v>11673.414228229587</v>
      </c>
      <c r="J180" s="7">
        <f>IFERROR(VLOOKUP(B180,'Факт продаж'!J:L,3,0)/SUM('План Антонова'!$C$14:$C$16),0)</f>
        <v>2.0433967172605227E-4</v>
      </c>
      <c r="K180" s="44">
        <f>IFERROR(VLOOKUP(B180,'Факт продаж'!J:O,6,0),"-")</f>
        <v>-0.24655115814103012</v>
      </c>
      <c r="L180" s="44">
        <f>IF(AND(F180=0,J180&gt;0),5,IF(J180/F180&gt;5,5,IF(J180/F180=0,0.0000001,J180/F180)))</f>
        <v>0.71241548843306279</v>
      </c>
      <c r="M180" s="5">
        <f>IFERROR(VLOOKUP(B180,'Факт продаж'!S:T,2,0),"нет продаж")</f>
        <v>35</v>
      </c>
      <c r="N180" s="48">
        <f>IFERROR(VLOOKUP(B180,'Факт продаж'!S:U,3,0),"нет продаж")</f>
        <v>39857.199999999997</v>
      </c>
      <c r="O180" s="48">
        <f>IFERROR(VLOOKUP(B180,'Факт продаж'!S:W,5,0),"нет продаж")</f>
        <v>17717.957008955662</v>
      </c>
      <c r="P180" s="7">
        <f>IFERROR(VLOOKUP(B180,'Факт продаж'!S:U,3,0)/SUM('План Антонова'!$C$17:$C$19),0)</f>
        <v>2.4277221270610629E-4</v>
      </c>
      <c r="Q180" s="44">
        <f>IFERROR(VLOOKUP(B180,'Факт продаж'!S:X,6,0),"-")</f>
        <v>0.51780418843603404</v>
      </c>
      <c r="R180" s="44">
        <f>IF(AND(J180=0,P180&gt;0),5,IF(P180/J180&gt;5,5,IF(P180/J180=0,0.0000001,P180/J180)))</f>
        <v>1.1880816419808022</v>
      </c>
      <c r="S180" s="16">
        <f>IFERROR(VLOOKUP(B180,'Факт продаж'!AB:AD,2,0),"нет продаж")</f>
        <v>55</v>
      </c>
      <c r="T180" s="16">
        <f>IFERROR(VLOOKUP(B180,'Факт продаж'!AB:AD,3,0),"нет продаж")</f>
        <v>65169.9</v>
      </c>
      <c r="U180" s="16">
        <f>IFERROR(VLOOKUP(B180,'Факт продаж'!AB:AF,5,0),"нет продаж")</f>
        <v>30299.147982429844</v>
      </c>
      <c r="V180" s="7">
        <f>IFERROR(VLOOKUP(B180,'Факт продаж'!AB:AD,3,0)/SUM('План Антонова'!$C$20:$C$22),0)</f>
        <v>4.2351944801017157E-4</v>
      </c>
      <c r="W180" s="44">
        <f>IFERROR(VLOOKUP(B180,'Факт продаж'!AB:AG,6,0),"-")</f>
        <v>0.71008135797569283</v>
      </c>
      <c r="X180" s="44">
        <f>IF(AND(P180=0,V180&gt;0),5,IF(V180/P180&gt;5,5,IF(V180/P180=0,0.0000001,V180/P180)))</f>
        <v>1.7445136874987961</v>
      </c>
      <c r="Y180" s="44">
        <f>IFERROR(VLOOKUP(B180,'Факт продаж'!AB:AH,7,0),"-")</f>
        <v>0.95562819157643974</v>
      </c>
      <c r="Z180" s="44">
        <f>IF(AND(F180=0,V180&gt;0),5,IF(V180/F180&gt;5,5,IF(V180/F180=0,0.0000001,V180/F180)))</f>
        <v>1.4765699282299449</v>
      </c>
      <c r="AB180" s="10" t="str">
        <f>IFERROR(VLOOKUP(VALUE(IF(L180&lt;1,1,0)&amp;IF(J180&lt;'Факт продаж'!$M$24,0,1)),$AB$1:$AC$4,2,FALSE),"НЕТ ПРОДАЖ")</f>
        <v>Собака</v>
      </c>
      <c r="AC180" s="10" t="str">
        <f>IFERROR(VLOOKUP(VALUE(IF(R180&lt;1,1,0)&amp;IF(P180&lt;'Факт продаж'!$V$24,0,1)),$AB$1:$AC$4,2,FALSE),"НЕТ ПРОДАЖ")</f>
        <v>Темная лошадка</v>
      </c>
      <c r="AD180" s="10" t="str">
        <f>IFERROR(VLOOKUP(VALUE(IF(X180&lt;1,1,0)&amp;IF(V180&lt;'Факт продаж'!$AE$24,0,1)),$AB$1:$AC$4,2,FALSE),"НЕТ ПРОДАЖ")</f>
        <v>Темная лошадка</v>
      </c>
      <c r="AE180" s="18" t="str">
        <f>IFERROR(VLOOKUP(VALUE(IF(Z180&lt;1,1,0)&amp;IF(V180&lt;'Факт продаж'!$AE$24,0,1)),$AB$1:$AC$4,2,FALSE),"НЕТ ПРОДАЖ")</f>
        <v>Темная лошадка</v>
      </c>
      <c r="AF180" s="74" t="str">
        <f>VLOOKUP(B180,'ABC расчет'!B:G,6,0)</f>
        <v>C</v>
      </c>
      <c r="AG180" s="74" t="str">
        <f>VLOOKUP(B180,'ABC расчет'!K:P,6,0)</f>
        <v>C</v>
      </c>
      <c r="AH180" s="74" t="str">
        <f>VLOOKUP(B180,'ABC расчет'!T:Y,6,0)</f>
        <v>C</v>
      </c>
      <c r="AI180" s="74" t="str">
        <f>VLOOKUP(B180,'ABC расчет'!AC:AH,6,0)</f>
        <v>B</v>
      </c>
      <c r="AJ180" s="74"/>
      <c r="AK180" s="74"/>
      <c r="AL180" s="5"/>
    </row>
    <row r="181" spans="1:38" x14ac:dyDescent="0.3">
      <c r="A181" s="51" t="s">
        <v>251</v>
      </c>
      <c r="B181" s="21" t="s">
        <v>68</v>
      </c>
      <c r="C181" s="20">
        <f>IFERROR(VLOOKUP(B181,'Факт продаж'!A:B,2,0),"нет продаж")</f>
        <v>150</v>
      </c>
      <c r="D181" s="47">
        <f>IFERROR(VLOOKUP(B181,'Факт продаж'!A:C,3,0),"нет продаж")</f>
        <v>650116.30729999999</v>
      </c>
      <c r="E181" s="47">
        <f>IFERROR(VLOOKUP(B181,'Факт продаж'!A:E,5,0),"нет продаж")</f>
        <v>280707.98109766049</v>
      </c>
      <c r="F181" s="25">
        <f>IFERROR(VLOOKUP(B181,'Факт продаж'!A:C,3,0)/SUM('План Антонова'!$C$11:$C$13),0)</f>
        <v>4.9364019870971297E-3</v>
      </c>
      <c r="G181" s="5">
        <f>IFERROR(VLOOKUP(B181,'Факт продаж'!J:K,2,0),"нет продаж")</f>
        <v>1</v>
      </c>
      <c r="H181" s="48">
        <f>IFERROR(VLOOKUP(B181,'Факт продаж'!J:L,3,0),"нет продаж")</f>
        <v>4908.75</v>
      </c>
      <c r="I181" s="48">
        <f>IFERROR(VLOOKUP(B181,'Факт продаж'!J:N,5,0),"нет продаж")</f>
        <v>2503.6238138423014</v>
      </c>
      <c r="J181" s="7">
        <f>IFERROR(VLOOKUP(B181,'Факт продаж'!J:L,3,0)/SUM('План Антонова'!$C$14:$C$16),0)</f>
        <v>3.3894232657914518E-5</v>
      </c>
      <c r="K181" s="44">
        <f>IFERROR(VLOOKUP(B181,'Факт продаж'!J:O,6,0),"-")</f>
        <v>-0.99108103800949188</v>
      </c>
      <c r="L181" s="44">
        <f>IF(AND(F181=0,J181&gt;0),5,IF(J181/F181&gt;5,5,IF(J181/F181=0,0.0000001,J181/F181)))</f>
        <v>6.8661816332032865E-3</v>
      </c>
      <c r="M181" s="5">
        <f>IFERROR(VLOOKUP(B181,'Факт продаж'!S:T,2,0),"нет продаж")</f>
        <v>50</v>
      </c>
      <c r="N181" s="48">
        <f>IFERROR(VLOOKUP(B181,'Факт продаж'!S:U,3,0),"нет продаж")</f>
        <v>253718.35</v>
      </c>
      <c r="O181" s="48">
        <f>IFERROR(VLOOKUP(B181,'Факт продаж'!S:W,5,0),"нет продаж")</f>
        <v>101794.58158534428</v>
      </c>
      <c r="P181" s="7">
        <f>IFERROR(VLOOKUP(B181,'Факт продаж'!S:U,3,0)/SUM('План Антонова'!$C$17:$C$19),0)</f>
        <v>1.5454112489999882E-3</v>
      </c>
      <c r="Q181" s="44">
        <f>IFERROR(VLOOKUP(B181,'Факт продаж'!S:X,6,0),"-")</f>
        <v>39.658896525321246</v>
      </c>
      <c r="R181" s="44">
        <f>IF(AND(J181=0,P181&gt;0),5,IF(P181/J181&gt;5,5,IF(P181/J181=0,0.0000001,P181/J181)))</f>
        <v>5</v>
      </c>
      <c r="S181" s="16">
        <f>IFERROR(VLOOKUP(B181,'Факт продаж'!AB:AD,2,0),"нет продаж")</f>
        <v>13</v>
      </c>
      <c r="T181" s="16">
        <f>IFERROR(VLOOKUP(B181,'Факт продаж'!AB:AD,3,0),"нет продаж")</f>
        <v>69805.850000000006</v>
      </c>
      <c r="U181" s="16">
        <f>IFERROR(VLOOKUP(B181,'Факт продаж'!AB:AF,5,0),"нет продаж")</f>
        <v>29633.330385603349</v>
      </c>
      <c r="V181" s="7">
        <f>IFERROR(VLOOKUP(B181,'Факт продаж'!AB:AD,3,0)/SUM('План Антонова'!$C$20:$C$22),0)</f>
        <v>4.5364708339096482E-4</v>
      </c>
      <c r="W181" s="44">
        <f>IFERROR(VLOOKUP(B181,'Факт продаж'!AB:AG,6,0),"-")</f>
        <v>-0.70889088668478051</v>
      </c>
      <c r="X181" s="44">
        <f>IF(AND(P181=0,V181&gt;0),5,IF(V181/P181&gt;5,5,IF(V181/P181=0,0.0000001,V181/P181)))</f>
        <v>0.29354457183129273</v>
      </c>
      <c r="Y181" s="44">
        <f>IFERROR(VLOOKUP(B181,'Факт продаж'!AB:AH,7,0),"-")</f>
        <v>-0.89443360224484081</v>
      </c>
      <c r="Z181" s="44">
        <f>IF(AND(F181=0,V181&gt;0),5,IF(V181/F181&gt;5,5,IF(V181/F181=0,0.0000001,V181/F181)))</f>
        <v>9.1898326873847996E-2</v>
      </c>
      <c r="AB181" s="10" t="str">
        <f>IFERROR(VLOOKUP(VALUE(IF(L181&lt;1,1,0)&amp;IF(J181&lt;'Факт продаж'!$M$24,0,1)),$AB$1:$AC$4,2,FALSE),"НЕТ ПРОДАЖ")</f>
        <v>Собака</v>
      </c>
      <c r="AC181" s="10" t="str">
        <f>IFERROR(VLOOKUP(VALUE(IF(R181&lt;1,1,0)&amp;IF(P181&lt;'Факт продаж'!$V$24,0,1)),$AB$1:$AC$4,2,FALSE),"НЕТ ПРОДАЖ")</f>
        <v>Звезда</v>
      </c>
      <c r="AD181" s="10" t="str">
        <f>IFERROR(VLOOKUP(VALUE(IF(X181&lt;1,1,0)&amp;IF(V181&lt;'Факт продаж'!$AE$24,0,1)),$AB$1:$AC$4,2,FALSE),"НЕТ ПРОДАЖ")</f>
        <v>Собака</v>
      </c>
      <c r="AE181" s="18" t="str">
        <f>IFERROR(VLOOKUP(VALUE(IF(Z181&lt;1,1,0)&amp;IF(V181&lt;'Факт продаж'!$AE$24,0,1)),$AB$1:$AC$4,2,FALSE),"НЕТ ПРОДАЖ")</f>
        <v>Собака</v>
      </c>
      <c r="AF181" s="74" t="str">
        <f>VLOOKUP(B181,'ABC расчет'!B:G,6,0)</f>
        <v>A</v>
      </c>
      <c r="AG181" s="74" t="str">
        <f>VLOOKUP(B181,'ABC расчет'!K:P,6,0)</f>
        <v>C</v>
      </c>
      <c r="AH181" s="74" t="str">
        <f>VLOOKUP(B181,'ABC расчет'!T:Y,6,0)</f>
        <v>C</v>
      </c>
      <c r="AI181" s="74" t="str">
        <f>VLOOKUP(B181,'ABC расчет'!AC:AH,6,0)</f>
        <v>C</v>
      </c>
      <c r="AJ181" s="74"/>
      <c r="AK181" s="74"/>
      <c r="AL181" s="19"/>
    </row>
    <row r="182" spans="1:38" x14ac:dyDescent="0.3">
      <c r="A182" s="51" t="s">
        <v>260</v>
      </c>
      <c r="B182" s="21" t="s">
        <v>222</v>
      </c>
      <c r="C182" s="20">
        <f>IFERROR(VLOOKUP(B182,'Факт продаж'!A:B,2,0),"нет продаж")</f>
        <v>1660</v>
      </c>
      <c r="D182" s="47">
        <f>IFERROR(VLOOKUP(B182,'Факт продаж'!A:C,3,0),"нет продаж")</f>
        <v>1138792.8881999999</v>
      </c>
      <c r="E182" s="47">
        <f>IFERROR(VLOOKUP(B182,'Факт продаж'!A:E,5,0),"нет продаж")</f>
        <v>454721.84893917758</v>
      </c>
      <c r="F182" s="25">
        <f>IFERROR(VLOOKUP(B182,'Факт продаж'!A:C,3,0)/SUM('План Антонова'!$C$11:$C$13),0)</f>
        <v>8.6469750305901288E-3</v>
      </c>
      <c r="G182" s="5">
        <f>IFERROR(VLOOKUP(B182,'Факт продаж'!J:K,2,0),"нет продаж")</f>
        <v>90</v>
      </c>
      <c r="H182" s="48">
        <f>IFERROR(VLOOKUP(B182,'Факт продаж'!J:L,3,0),"нет продаж")</f>
        <v>61761</v>
      </c>
      <c r="I182" s="48">
        <f>IFERROR(VLOOKUP(B182,'Факт продаж'!J:N,5,0),"нет продаж")</f>
        <v>20802.64748401929</v>
      </c>
      <c r="J182" s="7">
        <f>IFERROR(VLOOKUP(B182,'Факт продаж'!J:L,3,0)/SUM('План Антонова'!$C$14:$C$16),0)</f>
        <v>4.2645107271412449E-4</v>
      </c>
      <c r="K182" s="44">
        <f>IFERROR(VLOOKUP(B182,'Факт продаж'!J:O,6,0),"-")</f>
        <v>-0.95425192888234889</v>
      </c>
      <c r="L182" s="44">
        <f>IF(AND(F182=0,J182&gt;0),5,IF(J182/F182&gt;5,5,IF(J182/F182=0,0.0000001,J182/F182)))</f>
        <v>4.9317948901839326E-2</v>
      </c>
      <c r="M182" s="5">
        <f>IFERROR(VLOOKUP(B182,'Факт продаж'!S:T,2,0),"нет продаж")</f>
        <v>178</v>
      </c>
      <c r="N182" s="48">
        <f>IFERROR(VLOOKUP(B182,'Факт продаж'!S:U,3,0),"нет продаж")</f>
        <v>154706.20000000001</v>
      </c>
      <c r="O182" s="48">
        <f>IFERROR(VLOOKUP(B182,'Факт продаж'!S:W,5,0),"нет продаж")</f>
        <v>62871.289929750623</v>
      </c>
      <c r="P182" s="7">
        <f>IFERROR(VLOOKUP(B182,'Факт продаж'!S:U,3,0)/SUM('План Антонова'!$C$17:$C$19),0)</f>
        <v>9.4232325635903752E-4</v>
      </c>
      <c r="Q182" s="44">
        <f>IFERROR(VLOOKUP(B182,'Факт продаж'!S:X,6,0),"-")</f>
        <v>2.0222734860093503</v>
      </c>
      <c r="R182" s="44">
        <f>IF(AND(J182=0,P182&gt;0),5,IF(P182/J182&gt;5,5,IF(P182/J182=0,0.0000001,P182/J182)))</f>
        <v>2.2096866830740343</v>
      </c>
      <c r="S182" s="16">
        <f>IFERROR(VLOOKUP(B182,'Факт продаж'!AB:AD,2,0),"нет продаж")</f>
        <v>93</v>
      </c>
      <c r="T182" s="16">
        <f>IFERROR(VLOOKUP(B182,'Факт продаж'!AB:AD,3,0),"нет продаж")</f>
        <v>74180.5</v>
      </c>
      <c r="U182" s="16">
        <f>IFERROR(VLOOKUP(B182,'Факт продаж'!AB:AF,5,0),"нет продаж")</f>
        <v>28563.512632904254</v>
      </c>
      <c r="V182" s="7">
        <f>IFERROR(VLOOKUP(B182,'Факт продаж'!AB:AD,3,0)/SUM('План Антонова'!$C$20:$C$22),0)</f>
        <v>4.8207660918796153E-4</v>
      </c>
      <c r="W182" s="44">
        <f>IFERROR(VLOOKUP(B182,'Факт продаж'!AB:AG,6,0),"-")</f>
        <v>-0.54568273269373413</v>
      </c>
      <c r="X182" s="44">
        <f>IF(AND(P182=0,V182&gt;0),5,IF(V182/P182&gt;5,5,IF(V182/P182=0,0.0000001,V182/P182)))</f>
        <v>0.51158305383506741</v>
      </c>
      <c r="Y182" s="44">
        <f>IFERROR(VLOOKUP(B182,'Факт продаж'!AB:AH,7,0),"-")</f>
        <v>-0.93718464881434627</v>
      </c>
      <c r="Z182" s="44">
        <f>IF(AND(F182=0,V182&gt;0),5,IF(V182/F182&gt;5,5,IF(V182/F182=0,0.0000001,V182/F182)))</f>
        <v>5.5750896409731084E-2</v>
      </c>
      <c r="AB182" s="10" t="str">
        <f>IFERROR(VLOOKUP(VALUE(IF(L182&lt;1,1,0)&amp;IF(J182&lt;'Факт продаж'!$M$24,0,1)),$AB$1:$AC$4,2,FALSE),"НЕТ ПРОДАЖ")</f>
        <v>Собака</v>
      </c>
      <c r="AC182" s="10" t="str">
        <f>IFERROR(VLOOKUP(VALUE(IF(R182&lt;1,1,0)&amp;IF(P182&lt;'Факт продаж'!$V$24,0,1)),$AB$1:$AC$4,2,FALSE),"НЕТ ПРОДАЖ")</f>
        <v>Звезда</v>
      </c>
      <c r="AD182" s="10" t="str">
        <f>IFERROR(VLOOKUP(VALUE(IF(X182&lt;1,1,0)&amp;IF(V182&lt;'Факт продаж'!$AE$24,0,1)),$AB$1:$AC$4,2,FALSE),"НЕТ ПРОДАЖ")</f>
        <v>Собака</v>
      </c>
      <c r="AE182" s="18" t="str">
        <f>IFERROR(VLOOKUP(VALUE(IF(Z182&lt;1,1,0)&amp;IF(V182&lt;'Факт продаж'!$AE$24,0,1)),$AB$1:$AC$4,2,FALSE),"НЕТ ПРОДАЖ")</f>
        <v>Собака</v>
      </c>
      <c r="AF182" s="74" t="str">
        <f>VLOOKUP(B182,'ABC расчет'!B:G,6,0)</f>
        <v>A</v>
      </c>
      <c r="AG182" s="74" t="str">
        <f>VLOOKUP(B182,'ABC расчет'!K:P,6,0)</f>
        <v>B</v>
      </c>
      <c r="AH182" s="74" t="str">
        <f>VLOOKUP(B182,'ABC расчет'!T:Y,6,0)</f>
        <v>A</v>
      </c>
      <c r="AI182" s="74" t="str">
        <f>VLOOKUP(B182,'ABC расчет'!AC:AH,6,0)</f>
        <v>A</v>
      </c>
      <c r="AJ182" s="74"/>
      <c r="AK182" s="74"/>
      <c r="AL182" s="5"/>
    </row>
    <row r="183" spans="1:38" x14ac:dyDescent="0.3">
      <c r="A183" s="120" t="s">
        <v>251</v>
      </c>
      <c r="B183" s="21" t="s">
        <v>315</v>
      </c>
      <c r="C183" s="20">
        <f>IFERROR(VLOOKUP(B183,'Факт продаж'!A:B,2,0),"нет продаж")</f>
        <v>12</v>
      </c>
      <c r="D183" s="47">
        <f>IFERROR(VLOOKUP(B183,'Факт продаж'!A:C,3,0),"нет продаж")</f>
        <v>34776.170599999998</v>
      </c>
      <c r="E183" s="47">
        <f>IFERROR(VLOOKUP(B183,'Факт продаж'!A:E,5,0),"нет продаж")</f>
        <v>19062.73780186486</v>
      </c>
      <c r="F183" s="25">
        <f>IFERROR(VLOOKUP(B183,'Факт продаж'!A:C,3,0)/SUM('План Антонова'!$C$11:$C$13),0)</f>
        <v>2.6405914714926697E-4</v>
      </c>
      <c r="G183" s="5">
        <f>IFERROR(VLOOKUP(B183,'Факт продаж'!J:K,2,0),"нет продаж")</f>
        <v>1</v>
      </c>
      <c r="H183" s="48">
        <f>IFERROR(VLOOKUP(B183,'Факт продаж'!J:L,3,0),"нет продаж")</f>
        <v>3402</v>
      </c>
      <c r="I183" s="48">
        <f>IFERROR(VLOOKUP(B183,'Факт продаж'!J:N,5,0),"нет продаж")</f>
        <v>1625.6729227577466</v>
      </c>
      <c r="J183" s="7">
        <f>IFERROR(VLOOKUP(B183,'Факт продаж'!J:L,3,0)/SUM('План Антонова'!$C$14:$C$16),0)</f>
        <v>2.3490334505164287E-5</v>
      </c>
      <c r="K183" s="44">
        <f>IFERROR(VLOOKUP(B183,'Факт продаж'!J:O,6,0),"-")</f>
        <v>-0.91471986135177752</v>
      </c>
      <c r="L183" s="44">
        <f>IF(AND(F183=0,J183&gt;0),5,IF(J183/F183&gt;5,5,IF(J183/F183=0,0.0000001,J183/F183)))</f>
        <v>8.8958609306897835E-2</v>
      </c>
      <c r="M183" s="5" t="str">
        <f>IFERROR(VLOOKUP(B183,'Факт продаж'!S:T,2,0),"нет продаж")</f>
        <v>нет продаж</v>
      </c>
      <c r="N183" s="48" t="str">
        <f>IFERROR(VLOOKUP(B183,'Факт продаж'!S:U,3,0),"нет продаж")</f>
        <v>нет продаж</v>
      </c>
      <c r="O183" s="48" t="str">
        <f>IFERROR(VLOOKUP(B183,'Факт продаж'!S:W,5,0),"нет продаж")</f>
        <v>нет продаж</v>
      </c>
      <c r="P183" s="7">
        <f>IFERROR(VLOOKUP(B183,'Факт продаж'!S:U,3,0)/SUM('План Антонова'!$C$17:$C$19),0)</f>
        <v>0</v>
      </c>
      <c r="Q183" s="44" t="str">
        <f>IFERROR(VLOOKUP(B183,'Факт продаж'!S:X,6,0),"-")</f>
        <v>-</v>
      </c>
      <c r="R183" s="44">
        <f>IF(AND(J183=0,P183&gt;0),5,IF(P183/J183&gt;5,5,IF(P183/J183=0,0.0000001,P183/J183)))</f>
        <v>9.9999999999999995E-8</v>
      </c>
      <c r="S183" s="16">
        <f>IFERROR(VLOOKUP(B183,'Факт продаж'!AB:AD,2,0),"нет продаж")</f>
        <v>19</v>
      </c>
      <c r="T183" s="16">
        <f>IFERROR(VLOOKUP(B183,'Факт продаж'!AB:AD,3,0),"нет продаж")</f>
        <v>69128</v>
      </c>
      <c r="U183" s="16">
        <f>IFERROR(VLOOKUP(B183,'Факт продаж'!AB:AF,5,0),"нет продаж")</f>
        <v>26843.661907320726</v>
      </c>
      <c r="V183" s="7">
        <f>IFERROR(VLOOKUP(B183,'Факт продаж'!AB:AD,3,0)/SUM('План Антонова'!$C$20:$C$22),0)</f>
        <v>4.492419414798418E-4</v>
      </c>
      <c r="W183" s="44">
        <f>IFERROR(VLOOKUP(B183,'Факт продаж'!AB:AG,6,0),"-")</f>
        <v>1</v>
      </c>
      <c r="X183" s="44">
        <f>IF(AND(P183=0,V183&gt;0),5,IF(V183/P183&gt;5,5,IF(V183/P183=0,0.0000001,V183/P183)))</f>
        <v>5</v>
      </c>
      <c r="Y183" s="44">
        <f>IFERROR(VLOOKUP(B183,'Факт продаж'!AB:AH,7,0),"-")</f>
        <v>0.40817453328737896</v>
      </c>
      <c r="Z183" s="44">
        <f>IF(AND(F183=0,V183&gt;0),5,IF(V183/F183&gt;5,5,IF(V183/F183=0,0.0000001,V183/F183)))</f>
        <v>1.7012928593073693</v>
      </c>
      <c r="AB183" s="10" t="str">
        <f>IFERROR(VLOOKUP(VALUE(IF(L183&lt;1,1,0)&amp;IF(J183&lt;'Факт продаж'!$M$24,0,1)),$AB$1:$AC$4,2,FALSE),"НЕТ ПРОДАЖ")</f>
        <v>Собака</v>
      </c>
      <c r="AC183" s="10" t="str">
        <f>IFERROR(VLOOKUP(VALUE(IF(R183&lt;1,1,0)&amp;IF(P183&lt;'Факт продаж'!$V$24,0,1)),$AB$1:$AC$4,2,FALSE),"НЕТ ПРОДАЖ")</f>
        <v>Собака</v>
      </c>
      <c r="AD183" s="10" t="str">
        <f>IFERROR(VLOOKUP(VALUE(IF(X183&lt;1,1,0)&amp;IF(V183&lt;'Факт продаж'!$AE$24,0,1)),$AB$1:$AC$4,2,FALSE),"НЕТ ПРОДАЖ")</f>
        <v>Темная лошадка</v>
      </c>
      <c r="AE183" s="18" t="str">
        <f>IFERROR(VLOOKUP(VALUE(IF(Z183&lt;1,1,0)&amp;IF(V183&lt;'Факт продаж'!$AE$24,0,1)),$AB$1:$AC$4,2,FALSE),"НЕТ ПРОДАЖ")</f>
        <v>Темная лошадка</v>
      </c>
      <c r="AF183" s="74" t="str">
        <f>VLOOKUP(B183,'ABC расчет'!B:G,6,0)</f>
        <v>C</v>
      </c>
      <c r="AG183" s="74" t="str">
        <f>VLOOKUP(B183,'ABC расчет'!K:P,6,0)</f>
        <v>C</v>
      </c>
      <c r="AH183" s="74" t="str">
        <f>VLOOKUP(B183,'ABC расчет'!T:Y,6,0)</f>
        <v>C</v>
      </c>
      <c r="AI183" s="74" t="str">
        <f>VLOOKUP(B183,'ABC расчет'!AC:AH,6,0)</f>
        <v>C</v>
      </c>
      <c r="AJ183" s="74"/>
      <c r="AK183" s="74"/>
      <c r="AL183" s="19"/>
    </row>
    <row r="184" spans="1:38" x14ac:dyDescent="0.3">
      <c r="A184" s="51" t="s">
        <v>116</v>
      </c>
      <c r="B184" s="21" t="s">
        <v>52</v>
      </c>
      <c r="C184" s="20">
        <f>IFERROR(VLOOKUP(B184,'Факт продаж'!A:B,2,0),"нет продаж")</f>
        <v>50</v>
      </c>
      <c r="D184" s="47">
        <f>IFERROR(VLOOKUP(B184,'Факт продаж'!A:C,3,0),"нет продаж")</f>
        <v>92489.895099999994</v>
      </c>
      <c r="E184" s="47">
        <f>IFERROR(VLOOKUP(B184,'Факт продаж'!A:E,5,0),"нет продаж")</f>
        <v>38250.163801851799</v>
      </c>
      <c r="F184" s="25">
        <f>IFERROR(VLOOKUP(B184,'Факт продаж'!A:C,3,0)/SUM('План Антонова'!$C$11:$C$13),0)</f>
        <v>7.0228557079919445E-4</v>
      </c>
      <c r="G184" s="5">
        <f>IFERROR(VLOOKUP(B184,'Факт продаж'!J:K,2,0),"нет продаж")</f>
        <v>53</v>
      </c>
      <c r="H184" s="48">
        <f>IFERROR(VLOOKUP(B184,'Факт продаж'!J:L,3,0),"нет продаж")</f>
        <v>116219.8</v>
      </c>
      <c r="I184" s="48">
        <f>IFERROR(VLOOKUP(B184,'Факт продаж'!J:N,5,0),"нет продаж")</f>
        <v>50942.063165059517</v>
      </c>
      <c r="J184" s="7">
        <f>IFERROR(VLOOKUP(B184,'Факт продаж'!J:L,3,0)/SUM('План Антонова'!$C$14:$C$16),0)</f>
        <v>8.0248147505093844E-4</v>
      </c>
      <c r="K184" s="44">
        <f>IFERROR(VLOOKUP(B184,'Факт продаж'!J:O,6,0),"-")</f>
        <v>0.33181294148061324</v>
      </c>
      <c r="L184" s="44">
        <f>IF(AND(F184=0,J184&gt;0),5,IF(J184/F184&gt;5,5,IF(J184/F184=0,0.0000001,J184/F184)))</f>
        <v>1.142671170272973</v>
      </c>
      <c r="M184" s="5">
        <f>IFERROR(VLOOKUP(B184,'Факт продаж'!S:T,2,0),"нет продаж")</f>
        <v>35</v>
      </c>
      <c r="N184" s="48">
        <f>IFERROR(VLOOKUP(B184,'Факт продаж'!S:U,3,0),"нет продаж")</f>
        <v>82800.399999999994</v>
      </c>
      <c r="O184" s="48">
        <f>IFERROR(VLOOKUP(B184,'Факт продаж'!S:W,5,0),"нет продаж")</f>
        <v>31114.47319696319</v>
      </c>
      <c r="P184" s="7">
        <f>IFERROR(VLOOKUP(B184,'Факт продаж'!S:U,3,0)/SUM('План Антонова'!$C$17:$C$19),0)</f>
        <v>5.0434140684620804E-4</v>
      </c>
      <c r="Q184" s="44">
        <f>IFERROR(VLOOKUP(B184,'Факт продаж'!S:X,6,0),"-")</f>
        <v>-0.38921843239548659</v>
      </c>
      <c r="R184" s="44">
        <f>IF(AND(J184=0,P184&gt;0),5,IF(P184/J184&gt;5,5,IF(P184/J184=0,0.0000001,P184/J184)))</f>
        <v>0.62847732007046564</v>
      </c>
      <c r="S184" s="16">
        <f>IFERROR(VLOOKUP(B184,'Факт продаж'!AB:AD,2,0),"нет продаж")</f>
        <v>29</v>
      </c>
      <c r="T184" s="16">
        <f>IFERROR(VLOOKUP(B184,'Факт продаж'!AB:AD,3,0),"нет продаж")</f>
        <v>68507.25</v>
      </c>
      <c r="U184" s="16">
        <f>IFERROR(VLOOKUP(B184,'Факт продаж'!AB:AF,5,0),"нет продаж")</f>
        <v>26062.600096374204</v>
      </c>
      <c r="V184" s="7">
        <f>IFERROR(VLOOKUP(B184,'Факт продаж'!AB:AD,3,0)/SUM('План Антонова'!$C$20:$C$22),0)</f>
        <v>4.4520787518002679E-4</v>
      </c>
      <c r="W184" s="44">
        <f>IFERROR(VLOOKUP(B184,'Факт продаж'!AB:AG,6,0),"-")</f>
        <v>-0.16236408916870415</v>
      </c>
      <c r="X184" s="44">
        <f>IF(AND(P184=0,V184&gt;0),5,IF(V184/P184&gt;5,5,IF(V184/P184=0,0.0000001,V184/P184)))</f>
        <v>0.88275098799450114</v>
      </c>
      <c r="Y184" s="44">
        <f>IFERROR(VLOOKUP(B184,'Факт продаж'!AB:AH,7,0),"-")</f>
        <v>-0.31862775199115778</v>
      </c>
      <c r="Z184" s="44">
        <f>IF(AND(F184=0,V184&gt;0),5,IF(V184/F184&gt;5,5,IF(V184/F184=0,0.0000001,V184/F184)))</f>
        <v>0.63394136757413988</v>
      </c>
      <c r="AB184" s="10" t="str">
        <f>IFERROR(VLOOKUP(VALUE(IF(L184&lt;1,1,0)&amp;IF(J184&lt;'Факт продаж'!$M$24,0,1)),$AB$1:$AC$4,2,FALSE),"НЕТ ПРОДАЖ")</f>
        <v>Темная лошадка</v>
      </c>
      <c r="AC184" s="10" t="str">
        <f>IFERROR(VLOOKUP(VALUE(IF(R184&lt;1,1,0)&amp;IF(P184&lt;'Факт продаж'!$V$24,0,1)),$AB$1:$AC$4,2,FALSE),"НЕТ ПРОДАЖ")</f>
        <v>Собака</v>
      </c>
      <c r="AD184" s="10" t="str">
        <f>IFERROR(VLOOKUP(VALUE(IF(X184&lt;1,1,0)&amp;IF(V184&lt;'Факт продаж'!$AE$24,0,1)),$AB$1:$AC$4,2,FALSE),"НЕТ ПРОДАЖ")</f>
        <v>Собака</v>
      </c>
      <c r="AE184" s="18" t="str">
        <f>IFERROR(VLOOKUP(VALUE(IF(Z184&lt;1,1,0)&amp;IF(V184&lt;'Факт продаж'!$AE$24,0,1)),$AB$1:$AC$4,2,FALSE),"НЕТ ПРОДАЖ")</f>
        <v>Собака</v>
      </c>
      <c r="AF184" s="74" t="str">
        <f>VLOOKUP(B184,'ABC расчет'!B:G,6,0)</f>
        <v>B</v>
      </c>
      <c r="AG184" s="74" t="str">
        <f>VLOOKUP(B184,'ABC расчет'!K:P,6,0)</f>
        <v>C</v>
      </c>
      <c r="AH184" s="74" t="str">
        <f>VLOOKUP(B184,'ABC расчет'!T:Y,6,0)</f>
        <v>C</v>
      </c>
      <c r="AI184" s="74" t="str">
        <f>VLOOKUP(B184,'ABC расчет'!AC:AH,6,0)</f>
        <v>C</v>
      </c>
      <c r="AJ184" s="74"/>
      <c r="AK184" s="74"/>
      <c r="AL184" s="19"/>
    </row>
    <row r="185" spans="1:38" x14ac:dyDescent="0.3">
      <c r="A185" s="51" t="s">
        <v>251</v>
      </c>
      <c r="B185" s="21" t="s">
        <v>20</v>
      </c>
      <c r="C185" s="20">
        <f>IFERROR(VLOOKUP(B185,'Факт продаж'!A:B,2,0),"нет продаж")</f>
        <v>5</v>
      </c>
      <c r="D185" s="47">
        <f>IFERROR(VLOOKUP(B185,'Факт продаж'!A:C,3,0),"нет продаж")</f>
        <v>28281.0916</v>
      </c>
      <c r="E185" s="47">
        <f>IFERROR(VLOOKUP(B185,'Факт продаж'!A:E,5,0),"нет продаж")</f>
        <v>9280.4685006486761</v>
      </c>
      <c r="F185" s="25">
        <f>IFERROR(VLOOKUP(B185,'Факт продаж'!A:C,3,0)/SUM('План Антонова'!$C$11:$C$13),0)</f>
        <v>2.147413242890607E-4</v>
      </c>
      <c r="G185" s="5">
        <f>IFERROR(VLOOKUP(B185,'Факт продаж'!J:K,2,0),"нет продаж")</f>
        <v>22</v>
      </c>
      <c r="H185" s="48">
        <f>IFERROR(VLOOKUP(B185,'Факт продаж'!J:L,3,0),"нет продаж")</f>
        <v>128441.90000000001</v>
      </c>
      <c r="I185" s="48">
        <f>IFERROR(VLOOKUP(B185,'Факт продаж'!J:N,5,0),"нет продаж")</f>
        <v>41239.470659653904</v>
      </c>
      <c r="J185" s="7">
        <f>IFERROR(VLOOKUP(B185,'Факт продаж'!J:L,3,0)/SUM('План Антонова'!$C$14:$C$16),0)</f>
        <v>8.8687336727773691E-4</v>
      </c>
      <c r="K185" s="44">
        <f>IFERROR(VLOOKUP(B185,'Факт продаж'!J:O,6,0),"-")</f>
        <v>3.4436841369346158</v>
      </c>
      <c r="L185" s="44">
        <f>IF(AND(F185=0,J185&gt;0),5,IF(J185/F185&gt;5,5,IF(J185/F185=0,0.0000001,J185/F185)))</f>
        <v>4.1299613393644128</v>
      </c>
      <c r="M185" s="5">
        <f>IFERROR(VLOOKUP(B185,'Факт продаж'!S:T,2,0),"нет продаж")</f>
        <v>7</v>
      </c>
      <c r="N185" s="48">
        <f>IFERROR(VLOOKUP(B185,'Факт продаж'!S:U,3,0),"нет продаж")</f>
        <v>55601.8</v>
      </c>
      <c r="O185" s="48">
        <f>IFERROR(VLOOKUP(B185,'Факт продаж'!S:W,5,0),"нет продаж")</f>
        <v>23690.702748356554</v>
      </c>
      <c r="P185" s="7">
        <f>IFERROR(VLOOKUP(B185,'Факт продаж'!S:U,3,0)/SUM('План Антонова'!$C$17:$C$19),0)</f>
        <v>3.38673364321688E-4</v>
      </c>
      <c r="Q185" s="44">
        <f>IFERROR(VLOOKUP(B185,'Факт продаж'!S:X,6,0),"-")</f>
        <v>-0.4255332968777884</v>
      </c>
      <c r="R185" s="44">
        <f>IF(AND(J185=0,P185&gt;0),5,IF(P185/J185&gt;5,5,IF(P185/J185=0,0.0000001,P185/J185)))</f>
        <v>0.38187341825501864</v>
      </c>
      <c r="S185" s="16">
        <f>IFERROR(VLOOKUP(B185,'Факт продаж'!AB:AD,2,0),"нет продаж")</f>
        <v>6</v>
      </c>
      <c r="T185" s="16">
        <f>IFERROR(VLOOKUP(B185,'Факт продаж'!AB:AD,3,0),"нет продаж")</f>
        <v>59448.2</v>
      </c>
      <c r="U185" s="16">
        <f>IFERROR(VLOOKUP(B185,'Факт продаж'!AB:AF,5,0),"нет продаж")</f>
        <v>25236.80527789161</v>
      </c>
      <c r="V185" s="7">
        <f>IFERROR(VLOOKUP(B185,'Факт продаж'!AB:AD,3,0)/SUM('План Антонова'!$C$20:$C$22),0)</f>
        <v>3.863358521218888E-4</v>
      </c>
      <c r="W185" s="44">
        <f>IFERROR(VLOOKUP(B185,'Факт продаж'!AB:AG,6,0),"-")</f>
        <v>6.5261995220564417E-2</v>
      </c>
      <c r="X185" s="44">
        <f>IF(AND(P185=0,V185&gt;0),5,IF(V185/P185&gt;5,5,IF(V185/P185=0,0.0000001,V185/P185)))</f>
        <v>1.1407329091133624</v>
      </c>
      <c r="Y185" s="44">
        <f>IFERROR(VLOOKUP(B185,'Факт продаж'!AB:AH,7,0),"-")</f>
        <v>1.7193460412184618</v>
      </c>
      <c r="Z185" s="44">
        <f>IF(AND(F185=0,V185&gt;0),5,IF(V185/F185&gt;5,5,IF(V185/F185=0,0.0000001,V185/F185)))</f>
        <v>1.799075484892916</v>
      </c>
      <c r="AB185" s="10" t="str">
        <f>IFERROR(VLOOKUP(VALUE(IF(L185&lt;1,1,0)&amp;IF(J185&lt;'Факт продаж'!$M$24,0,1)),$AB$1:$AC$4,2,FALSE),"НЕТ ПРОДАЖ")</f>
        <v>Звезда</v>
      </c>
      <c r="AC185" s="10" t="str">
        <f>IFERROR(VLOOKUP(VALUE(IF(R185&lt;1,1,0)&amp;IF(P185&lt;'Факт продаж'!$V$24,0,1)),$AB$1:$AC$4,2,FALSE),"НЕТ ПРОДАЖ")</f>
        <v>Собака</v>
      </c>
      <c r="AD185" s="10" t="str">
        <f>IFERROR(VLOOKUP(VALUE(IF(X185&lt;1,1,0)&amp;IF(V185&lt;'Факт продаж'!$AE$24,0,1)),$AB$1:$AC$4,2,FALSE),"НЕТ ПРОДАЖ")</f>
        <v>Темная лошадка</v>
      </c>
      <c r="AE185" s="18" t="str">
        <f>IFERROR(VLOOKUP(VALUE(IF(Z185&lt;1,1,0)&amp;IF(V185&lt;'Факт продаж'!$AE$24,0,1)),$AB$1:$AC$4,2,FALSE),"НЕТ ПРОДАЖ")</f>
        <v>Темная лошадка</v>
      </c>
      <c r="AF185" s="74" t="str">
        <f>VLOOKUP(B185,'ABC расчет'!B:G,6,0)</f>
        <v>C</v>
      </c>
      <c r="AG185" s="74" t="str">
        <f>VLOOKUP(B185,'ABC расчет'!K:P,6,0)</f>
        <v>C</v>
      </c>
      <c r="AH185" s="74" t="str">
        <f>VLOOKUP(B185,'ABC расчет'!T:Y,6,0)</f>
        <v>C</v>
      </c>
      <c r="AI185" s="74" t="str">
        <f>VLOOKUP(B185,'ABC расчет'!AC:AH,6,0)</f>
        <v>C</v>
      </c>
      <c r="AJ185" s="74"/>
      <c r="AK185" s="74"/>
      <c r="AL185" s="19"/>
    </row>
    <row r="186" spans="1:38" x14ac:dyDescent="0.3">
      <c r="A186" s="51" t="s">
        <v>258</v>
      </c>
      <c r="B186" s="21" t="s">
        <v>183</v>
      </c>
      <c r="C186" s="20">
        <f>IFERROR(VLOOKUP(B186,'Факт продаж'!A:B,2,0),"нет продаж")</f>
        <v>12</v>
      </c>
      <c r="D186" s="47">
        <f>IFERROR(VLOOKUP(B186,'Факт продаж'!A:C,3,0),"нет продаж")</f>
        <v>25418.2317</v>
      </c>
      <c r="E186" s="47">
        <f>IFERROR(VLOOKUP(B186,'Факт продаж'!A:E,5,0),"нет продаж")</f>
        <v>10002.392124325768</v>
      </c>
      <c r="F186" s="25">
        <f>IFERROR(VLOOKUP(B186,'Факт продаж'!A:C,3,0)/SUM('План Антонова'!$C$11:$C$13),0)</f>
        <v>1.9300332581024499E-4</v>
      </c>
      <c r="G186" s="5">
        <f>IFERROR(VLOOKUP(B186,'Факт продаж'!J:K,2,0),"нет продаж")</f>
        <v>29</v>
      </c>
      <c r="H186" s="48">
        <f>IFERROR(VLOOKUP(B186,'Факт продаж'!J:L,3,0),"нет продаж")</f>
        <v>76589.600000000006</v>
      </c>
      <c r="I186" s="48">
        <f>IFERROR(VLOOKUP(B186,'Факт продаж'!J:N,5,0),"нет продаж")</f>
        <v>33687.260239281604</v>
      </c>
      <c r="J186" s="7">
        <f>IFERROR(VLOOKUP(B186,'Факт продаж'!J:L,3,0)/SUM('План Антонова'!$C$14:$C$16),0)</f>
        <v>5.2884048313249E-4</v>
      </c>
      <c r="K186" s="44">
        <f>IFERROR(VLOOKUP(B186,'Факт продаж'!J:O,6,0),"-")</f>
        <v>2.3679203755024116</v>
      </c>
      <c r="L186" s="44">
        <f>IF(AND(F186=0,J186&gt;0),5,IF(J186/F186&gt;5,5,IF(J186/F186=0,0.0000001,J186/F186)))</f>
        <v>2.7400589130387831</v>
      </c>
      <c r="M186" s="5">
        <f>IFERROR(VLOOKUP(B186,'Факт продаж'!S:T,2,0),"нет продаж")</f>
        <v>20</v>
      </c>
      <c r="N186" s="48">
        <f>IFERROR(VLOOKUP(B186,'Факт продаж'!S:U,3,0),"нет продаж")</f>
        <v>46258.2</v>
      </c>
      <c r="O186" s="48">
        <f>IFERROR(VLOOKUP(B186,'Факт продаж'!S:W,5,0),"нет продаж")</f>
        <v>17052.106205857832</v>
      </c>
      <c r="P186" s="7">
        <f>IFERROR(VLOOKUP(B186,'Факт продаж'!S:U,3,0)/SUM('План Антонова'!$C$17:$C$19),0)</f>
        <v>2.8176102610824659E-4</v>
      </c>
      <c r="Q186" s="44">
        <f>IFERROR(VLOOKUP(B186,'Факт продаж'!S:X,6,0),"-")</f>
        <v>-0.49381142649368881</v>
      </c>
      <c r="R186" s="44">
        <f>IF(AND(J186=0,P186&gt;0),5,IF(P186/J186&gt;5,5,IF(P186/J186=0,0.0000001,P186/J186)))</f>
        <v>0.53279019873684141</v>
      </c>
      <c r="S186" s="16">
        <f>IFERROR(VLOOKUP(B186,'Факт продаж'!AB:AD,2,0),"нет продаж")</f>
        <v>22</v>
      </c>
      <c r="T186" s="16">
        <f>IFERROR(VLOOKUP(B186,'Факт продаж'!AB:AD,3,0),"нет продаж")</f>
        <v>54512.7</v>
      </c>
      <c r="U186" s="16">
        <f>IFERROR(VLOOKUP(B186,'Факт продаж'!AB:AF,5,0),"нет продаж")</f>
        <v>24883.543778833398</v>
      </c>
      <c r="V186" s="7">
        <f>IFERROR(VLOOKUP(B186,'Факт продаж'!AB:AD,3,0)/SUM('План Антонова'!$C$20:$C$22),0)</f>
        <v>3.5426153198860332E-4</v>
      </c>
      <c r="W186" s="44">
        <f>IFERROR(VLOOKUP(B186,'Факт продаж'!AB:AG,6,0),"-")</f>
        <v>0.45926511824593663</v>
      </c>
      <c r="X186" s="44">
        <f>IF(AND(P186=0,V186&gt;0),5,IF(V186/P186&gt;5,5,IF(V186/P186=0,0.0000001,V186/P186)))</f>
        <v>1.2573120451815205</v>
      </c>
      <c r="Y186" s="44">
        <f>IFERROR(VLOOKUP(B186,'Факт продаж'!AB:AH,7,0),"-")</f>
        <v>1.4877592749355171</v>
      </c>
      <c r="Z186" s="44">
        <f>IF(AND(F186=0,V186&gt;0),5,IF(V186/F186&gt;5,5,IF(V186/F186=0,0.0000001,V186/F186)))</f>
        <v>1.8355203492032179</v>
      </c>
      <c r="AB186" s="10" t="str">
        <f>IFERROR(VLOOKUP(VALUE(IF(L186&lt;1,1,0)&amp;IF(J186&lt;'Факт продаж'!$M$24,0,1)),$AB$1:$AC$4,2,FALSE),"НЕТ ПРОДАЖ")</f>
        <v>Темная лошадка</v>
      </c>
      <c r="AC186" s="10" t="str">
        <f>IFERROR(VLOOKUP(VALUE(IF(R186&lt;1,1,0)&amp;IF(P186&lt;'Факт продаж'!$V$24,0,1)),$AB$1:$AC$4,2,FALSE),"НЕТ ПРОДАЖ")</f>
        <v>Собака</v>
      </c>
      <c r="AD186" s="10" t="str">
        <f>IFERROR(VLOOKUP(VALUE(IF(X186&lt;1,1,0)&amp;IF(V186&lt;'Факт продаж'!$AE$24,0,1)),$AB$1:$AC$4,2,FALSE),"НЕТ ПРОДАЖ")</f>
        <v>Темная лошадка</v>
      </c>
      <c r="AE186" s="18" t="str">
        <f>IFERROR(VLOOKUP(VALUE(IF(Z186&lt;1,1,0)&amp;IF(V186&lt;'Факт продаж'!$AE$24,0,1)),$AB$1:$AC$4,2,FALSE),"НЕТ ПРОДАЖ")</f>
        <v>Темная лошадка</v>
      </c>
      <c r="AF186" s="74" t="str">
        <f>VLOOKUP(B186,'ABC расчет'!B:G,6,0)</f>
        <v>A</v>
      </c>
      <c r="AG186" s="74" t="str">
        <f>VLOOKUP(B186,'ABC расчет'!K:P,6,0)</f>
        <v>A</v>
      </c>
      <c r="AH186" s="74" t="str">
        <f>VLOOKUP(B186,'ABC расчет'!T:Y,6,0)</f>
        <v>B</v>
      </c>
      <c r="AI186" s="74" t="str">
        <f>VLOOKUP(B186,'ABC расчет'!AC:AH,6,0)</f>
        <v>B</v>
      </c>
      <c r="AJ186" s="74"/>
      <c r="AK186" s="74"/>
      <c r="AL186" s="19"/>
    </row>
    <row r="187" spans="1:38" x14ac:dyDescent="0.3">
      <c r="A187" s="51" t="s">
        <v>252</v>
      </c>
      <c r="B187" s="21" t="s">
        <v>77</v>
      </c>
      <c r="C187" s="20" t="str">
        <f>IFERROR(VLOOKUP(B187,'Факт продаж'!A:B,2,0),"нет продаж")</f>
        <v>нет продаж</v>
      </c>
      <c r="D187" s="47" t="str">
        <f>IFERROR(VLOOKUP(B187,'Факт продаж'!A:C,3,0),"нет продаж")</f>
        <v>нет продаж</v>
      </c>
      <c r="E187" s="47" t="str">
        <f>IFERROR(VLOOKUP(B187,'Факт продаж'!A:E,5,0),"нет продаж")</f>
        <v>нет продаж</v>
      </c>
      <c r="F187" s="25">
        <f>IFERROR(VLOOKUP(B187,'Факт продаж'!A:C,3,0)/SUM('План Антонова'!$C$11:$C$13),0)</f>
        <v>0</v>
      </c>
      <c r="G187" s="5">
        <f>IFERROR(VLOOKUP(B187,'Факт продаж'!J:K,2,0),"нет продаж")</f>
        <v>52</v>
      </c>
      <c r="H187" s="48">
        <f>IFERROR(VLOOKUP(B187,'Факт продаж'!J:L,3,0),"нет продаж")</f>
        <v>92765</v>
      </c>
      <c r="I187" s="48">
        <f>IFERROR(VLOOKUP(B187,'Факт продаж'!J:N,5,0),"нет продаж")</f>
        <v>39275.140025617642</v>
      </c>
      <c r="J187" s="7">
        <f>IFERROR(VLOOKUP(B187,'Факт продаж'!J:L,3,0)/SUM('План Антонова'!$C$14:$C$16),0)</f>
        <v>6.4052935930968989E-4</v>
      </c>
      <c r="K187" s="44">
        <f>IFERROR(VLOOKUP(B187,'Факт продаж'!J:O,6,0),"-")</f>
        <v>1</v>
      </c>
      <c r="L187" s="44">
        <f>IF(AND(F187=0,J187&gt;0),5,IF(J187/F187&gt;5,5,IF(J187/F187=0,0.0000001,J187/F187)))</f>
        <v>5</v>
      </c>
      <c r="M187" s="5">
        <f>IFERROR(VLOOKUP(B187,'Факт продаж'!S:T,2,0),"нет продаж")</f>
        <v>8</v>
      </c>
      <c r="N187" s="48">
        <f>IFERROR(VLOOKUP(B187,'Факт продаж'!S:U,3,0),"нет продаж")</f>
        <v>13788</v>
      </c>
      <c r="O187" s="48">
        <f>IFERROR(VLOOKUP(B187,'Факт продаж'!S:W,5,0),"нет продаж")</f>
        <v>5209.8027565319344</v>
      </c>
      <c r="P187" s="7">
        <f>IFERROR(VLOOKUP(B187,'Факт продаж'!S:U,3,0)/SUM('План Антонова'!$C$17:$C$19),0)</f>
        <v>8.3983402466600613E-5</v>
      </c>
      <c r="Q187" s="44">
        <f>IFERROR(VLOOKUP(B187,'Факт продаж'!S:X,6,0),"-")</f>
        <v>-0.86735113476021264</v>
      </c>
      <c r="R187" s="44">
        <f>IF(AND(J187=0,P187&gt;0),5,IF(P187/J187&gt;5,5,IF(P187/J187=0,0.0000001,P187/J187)))</f>
        <v>0.13111561749036929</v>
      </c>
      <c r="S187" s="16">
        <f>IFERROR(VLOOKUP(B187,'Факт продаж'!AB:AD,2,0),"нет продаж")</f>
        <v>29</v>
      </c>
      <c r="T187" s="16">
        <f>IFERROR(VLOOKUP(B187,'Факт продаж'!AB:AD,3,0),"нет продаж")</f>
        <v>58279.25</v>
      </c>
      <c r="U187" s="16">
        <f>IFERROR(VLOOKUP(B187,'Факт продаж'!AB:AF,5,0),"нет продаж")</f>
        <v>24442.020005367296</v>
      </c>
      <c r="V187" s="7">
        <f>IFERROR(VLOOKUP(B187,'Факт продаж'!AB:AD,3,0)/SUM('План Антонова'!$C$20:$C$22),0)</f>
        <v>3.7873920000562822E-4</v>
      </c>
      <c r="W187" s="44">
        <f>IFERROR(VLOOKUP(B187,'Факт продаж'!AB:AG,6,0),"-")</f>
        <v>3.6915442191592449</v>
      </c>
      <c r="X187" s="44">
        <f>IF(AND(P187=0,V187&gt;0),5,IF(V187/P187&gt;5,5,IF(V187/P187=0,0.0000001,V187/P187)))</f>
        <v>4.5096910684971254</v>
      </c>
      <c r="Y187" s="44">
        <f>IFERROR(VLOOKUP(B187,'Факт продаж'!AB:AH,7,0),"-")</f>
        <v>1</v>
      </c>
      <c r="Z187" s="44">
        <f>IF(AND(F187=0,V187&gt;0),5,IF(V187/F187&gt;5,5,IF(V187/F187=0,0.0000001,V187/F187)))</f>
        <v>5</v>
      </c>
      <c r="AB187" s="10" t="str">
        <f>IFERROR(VLOOKUP(VALUE(IF(L187&lt;1,1,0)&amp;IF(J187&lt;'Факт продаж'!$M$24,0,1)),$AB$1:$AC$4,2,FALSE),"НЕТ ПРОДАЖ")</f>
        <v>Темная лошадка</v>
      </c>
      <c r="AC187" s="10" t="str">
        <f>IFERROR(VLOOKUP(VALUE(IF(R187&lt;1,1,0)&amp;IF(P187&lt;'Факт продаж'!$V$24,0,1)),$AB$1:$AC$4,2,FALSE),"НЕТ ПРОДАЖ")</f>
        <v>Собака</v>
      </c>
      <c r="AD187" s="10" t="str">
        <f>IFERROR(VLOOKUP(VALUE(IF(X187&lt;1,1,0)&amp;IF(V187&lt;'Факт продаж'!$AE$24,0,1)),$AB$1:$AC$4,2,FALSE),"НЕТ ПРОДАЖ")</f>
        <v>Темная лошадка</v>
      </c>
      <c r="AE187" s="18" t="str">
        <f>IFERROR(VLOOKUP(VALUE(IF(Z187&lt;1,1,0)&amp;IF(V187&lt;'Факт продаж'!$AE$24,0,1)),$AB$1:$AC$4,2,FALSE),"НЕТ ПРОДАЖ")</f>
        <v>Темная лошадка</v>
      </c>
      <c r="AF187" s="74" t="str">
        <f>VLOOKUP(B187,'ABC расчет'!B:G,6,0)</f>
        <v>C</v>
      </c>
      <c r="AG187" s="74" t="str">
        <f>VLOOKUP(B187,'ABC расчет'!K:P,6,0)</f>
        <v>C</v>
      </c>
      <c r="AH187" s="74" t="str">
        <f>VLOOKUP(B187,'ABC расчет'!T:Y,6,0)</f>
        <v>C</v>
      </c>
      <c r="AI187" s="74" t="str">
        <f>VLOOKUP(B187,'ABC расчет'!AC:AH,6,0)</f>
        <v>C</v>
      </c>
      <c r="AJ187" s="74"/>
      <c r="AK187" s="74"/>
      <c r="AL187" s="19"/>
    </row>
    <row r="188" spans="1:38" x14ac:dyDescent="0.3">
      <c r="A188" s="51" t="s">
        <v>257</v>
      </c>
      <c r="B188" s="21" t="s">
        <v>240</v>
      </c>
      <c r="C188" s="20" t="str">
        <f>IFERROR(VLOOKUP(B188,'Факт продаж'!A:B,2,0),"нет продаж")</f>
        <v>нет продаж</v>
      </c>
      <c r="D188" s="47" t="str">
        <f>IFERROR(VLOOKUP(B188,'Факт продаж'!A:C,3,0),"нет продаж")</f>
        <v>нет продаж</v>
      </c>
      <c r="E188" s="47" t="str">
        <f>IFERROR(VLOOKUP(B188,'Факт продаж'!A:E,5,0),"нет продаж")</f>
        <v>нет продаж</v>
      </c>
      <c r="F188" s="25">
        <f>IFERROR(VLOOKUP(B188,'Факт продаж'!A:C,3,0)/SUM('План Антонова'!$C$11:$C$13),0)</f>
        <v>0</v>
      </c>
      <c r="G188" s="5">
        <f>IFERROR(VLOOKUP(B188,'Факт продаж'!J:K,2,0),"нет продаж")</f>
        <v>6</v>
      </c>
      <c r="H188" s="48">
        <f>IFERROR(VLOOKUP(B188,'Факт продаж'!J:L,3,0),"нет продаж")</f>
        <v>14452.4</v>
      </c>
      <c r="I188" s="48">
        <f>IFERROR(VLOOKUP(B188,'Факт продаж'!J:N,5,0),"нет продаж")</f>
        <v>6134.7015708972649</v>
      </c>
      <c r="J188" s="7">
        <f>IFERROR(VLOOKUP(B188,'Факт продаж'!J:L,3,0)/SUM('План Антонова'!$C$14:$C$16),0)</f>
        <v>9.9791801999540367E-5</v>
      </c>
      <c r="K188" s="44">
        <f>IFERROR(VLOOKUP(B188,'Факт продаж'!J:O,6,0),"-")</f>
        <v>1</v>
      </c>
      <c r="L188" s="44">
        <f>IF(AND(F188=0,J188&gt;0),5,IF(J188/F188&gt;5,5,IF(J188/F188=0,0.0000001,J188/F188)))</f>
        <v>5</v>
      </c>
      <c r="M188" s="5">
        <f>IFERROR(VLOOKUP(B188,'Факт продаж'!S:T,2,0),"нет продаж")</f>
        <v>4</v>
      </c>
      <c r="N188" s="48">
        <f>IFERROR(VLOOKUP(B188,'Факт продаж'!S:U,3,0),"нет продаж")</f>
        <v>8935.7000000000007</v>
      </c>
      <c r="O188" s="48">
        <f>IFERROR(VLOOKUP(B188,'Факт продаж'!S:W,5,0),"нет продаж")</f>
        <v>3131.7453633580731</v>
      </c>
      <c r="P188" s="7">
        <f>IFERROR(VLOOKUP(B188,'Факт продаж'!S:U,3,0)/SUM('План Антонова'!$C$17:$C$19),0)</f>
        <v>5.4427798768552596E-5</v>
      </c>
      <c r="Q188" s="44">
        <f>IFERROR(VLOOKUP(B188,'Факт продаж'!S:X,6,0),"-")</f>
        <v>-0.48950322568013327</v>
      </c>
      <c r="R188" s="44">
        <f>IF(AND(J188=0,P188&gt;0),5,IF(P188/J188&gt;5,5,IF(P188/J188=0,0.0000001,P188/J188)))</f>
        <v>0.54541352774452645</v>
      </c>
      <c r="S188" s="16">
        <f>IFERROR(VLOOKUP(B188,'Факт продаж'!AB:AD,2,0),"нет продаж")</f>
        <v>18</v>
      </c>
      <c r="T188" s="16">
        <f>IFERROR(VLOOKUP(B188,'Факт продаж'!AB:AD,3,0),"нет продаж")</f>
        <v>46096.35</v>
      </c>
      <c r="U188" s="16">
        <f>IFERROR(VLOOKUP(B188,'Факт продаж'!AB:AF,5,0),"нет продаж")</f>
        <v>22914.287895797719</v>
      </c>
      <c r="V188" s="7">
        <f>IFERROR(VLOOKUP(B188,'Факт продаж'!AB:AD,3,0)/SUM('План Антонова'!$C$20:$C$22),0)</f>
        <v>2.9956622163427704E-4</v>
      </c>
      <c r="W188" s="44">
        <f>IFERROR(VLOOKUP(B188,'Факт продаж'!AB:AG,6,0),"-")</f>
        <v>6.3167787406660167</v>
      </c>
      <c r="X188" s="44">
        <f>IF(AND(P188=0,V188&gt;0),5,IF(V188/P188&gt;5,5,IF(V188/P188=0,0.0000001,V188/P188)))</f>
        <v>5</v>
      </c>
      <c r="Y188" s="44">
        <f>IFERROR(VLOOKUP(B188,'Факт продаж'!AB:AH,7,0),"-")</f>
        <v>1</v>
      </c>
      <c r="Z188" s="44">
        <f>IF(AND(F188=0,V188&gt;0),5,IF(V188/F188&gt;5,5,IF(V188/F188=0,0.0000001,V188/F188)))</f>
        <v>5</v>
      </c>
      <c r="AB188" s="10" t="str">
        <f>IFERROR(VLOOKUP(VALUE(IF(L188&lt;1,1,0)&amp;IF(J188&lt;'Факт продаж'!$M$24,0,1)),$AB$1:$AC$4,2,FALSE),"НЕТ ПРОДАЖ")</f>
        <v>Темная лошадка</v>
      </c>
      <c r="AC188" s="10" t="str">
        <f>IFERROR(VLOOKUP(VALUE(IF(R188&lt;1,1,0)&amp;IF(P188&lt;'Факт продаж'!$V$24,0,1)),$AB$1:$AC$4,2,FALSE),"НЕТ ПРОДАЖ")</f>
        <v>Собака</v>
      </c>
      <c r="AD188" s="10" t="str">
        <f>IFERROR(VLOOKUP(VALUE(IF(X188&lt;1,1,0)&amp;IF(V188&lt;'Факт продаж'!$AE$24,0,1)),$AB$1:$AC$4,2,FALSE),"НЕТ ПРОДАЖ")</f>
        <v>Темная лошадка</v>
      </c>
      <c r="AE188" s="18" t="str">
        <f>IFERROR(VLOOKUP(VALUE(IF(Z188&lt;1,1,0)&amp;IF(V188&lt;'Факт продаж'!$AE$24,0,1)),$AB$1:$AC$4,2,FALSE),"НЕТ ПРОДАЖ")</f>
        <v>Темная лошадка</v>
      </c>
      <c r="AF188" s="74" t="str">
        <f>VLOOKUP(B188,'ABC расчет'!B:G,6,0)</f>
        <v>C</v>
      </c>
      <c r="AG188" s="74" t="str">
        <f>VLOOKUP(B188,'ABC расчет'!K:P,6,0)</f>
        <v>C</v>
      </c>
      <c r="AH188" s="74" t="str">
        <f>VLOOKUP(B188,'ABC расчет'!T:Y,6,0)</f>
        <v>C</v>
      </c>
      <c r="AI188" s="74" t="str">
        <f>VLOOKUP(B188,'ABC расчет'!AC:AH,6,0)</f>
        <v>C</v>
      </c>
      <c r="AJ188" s="74"/>
      <c r="AK188" s="74"/>
      <c r="AL188" s="19"/>
    </row>
    <row r="189" spans="1:38" x14ac:dyDescent="0.3">
      <c r="A189" s="51" t="s">
        <v>249</v>
      </c>
      <c r="B189" s="103" t="s">
        <v>157</v>
      </c>
      <c r="C189" s="20" t="str">
        <f>IFERROR(VLOOKUP(B189,'Факт продаж'!A:B,2,0),"нет продаж")</f>
        <v>нет продаж</v>
      </c>
      <c r="D189" s="47" t="str">
        <f>IFERROR(VLOOKUP(B189,'Факт продаж'!A:C,3,0),"нет продаж")</f>
        <v>нет продаж</v>
      </c>
      <c r="E189" s="47" t="str">
        <f>IFERROR(VLOOKUP(B189,'Факт продаж'!A:E,5,0),"нет продаж")</f>
        <v>нет продаж</v>
      </c>
      <c r="F189" s="25">
        <f>IFERROR(VLOOKUP(B189,'Факт продаж'!A:C,3,0)/SUM('План Антонова'!$C$11:$C$13),0)</f>
        <v>0</v>
      </c>
      <c r="G189" s="5">
        <f>IFERROR(VLOOKUP(B189,'Факт продаж'!J:K,2,0),"нет продаж")</f>
        <v>5</v>
      </c>
      <c r="H189" s="48">
        <f>IFERROR(VLOOKUP(B189,'Факт продаж'!J:L,3,0),"нет продаж")</f>
        <v>18292.8</v>
      </c>
      <c r="I189" s="48">
        <f>IFERROR(VLOOKUP(B189,'Факт продаж'!J:N,5,0),"нет продаж")</f>
        <v>9277.61926370322</v>
      </c>
      <c r="J189" s="7">
        <f>IFERROR(VLOOKUP(B189,'Факт продаж'!J:L,3,0)/SUM('План Антонова'!$C$14:$C$16),0)</f>
        <v>1.2630922722988515E-4</v>
      </c>
      <c r="K189" s="44">
        <f>IFERROR(VLOOKUP(B189,'Факт продаж'!J:O,6,0),"-")</f>
        <v>1</v>
      </c>
      <c r="L189" s="44">
        <f>IF(AND(F189=0,J189&gt;0),5,IF(J189/F189&gt;5,5,IF(J189/F189=0,0.0000001,J189/F189)))</f>
        <v>5</v>
      </c>
      <c r="M189" s="5">
        <f>IFERROR(VLOOKUP(B189,'Факт продаж'!S:T,2,0),"нет продаж")</f>
        <v>2</v>
      </c>
      <c r="N189" s="48">
        <f>IFERROR(VLOOKUP(B189,'Факт продаж'!S:U,3,0),"нет продаж")</f>
        <v>7690.5</v>
      </c>
      <c r="O189" s="48">
        <f>IFERROR(VLOOKUP(B189,'Факт продаж'!S:W,5,0),"нет продаж")</f>
        <v>3385.6444130202881</v>
      </c>
      <c r="P189" s="7">
        <f>IFERROR(VLOOKUP(B189,'Факт продаж'!S:U,3,0)/SUM('План Антонова'!$C$17:$C$19),0)</f>
        <v>4.6843222850985785E-5</v>
      </c>
      <c r="Q189" s="44">
        <f>IFERROR(VLOOKUP(B189,'Факт продаж'!S:X,6,0),"-")</f>
        <v>-0.63507400801993175</v>
      </c>
      <c r="R189" s="44">
        <f>IF(AND(J189=0,P189&gt;0),5,IF(P189/J189&gt;5,5,IF(P189/J189=0,0.0000001,P189/J189)))</f>
        <v>0.37086144756257788</v>
      </c>
      <c r="S189" s="16">
        <f>IFERROR(VLOOKUP(B189,'Факт продаж'!AB:AD,2,0),"нет продаж")</f>
        <v>10</v>
      </c>
      <c r="T189" s="16">
        <f>IFERROR(VLOOKUP(B189,'Факт продаж'!AB:AD,3,0),"нет продаж")</f>
        <v>42700.85</v>
      </c>
      <c r="U189" s="16">
        <f>IFERROR(VLOOKUP(B189,'Факт продаж'!AB:AF,5,0),"нет продаж")</f>
        <v>20478.503971471975</v>
      </c>
      <c r="V189" s="7">
        <f>IFERROR(VLOOKUP(B189,'Факт продаж'!AB:AD,3,0)/SUM('План Антонова'!$C$20:$C$22),0)</f>
        <v>2.7749989522103202E-4</v>
      </c>
      <c r="W189" s="44">
        <f>IFERROR(VLOOKUP(B189,'Факт продаж'!AB:AG,6,0),"-")</f>
        <v>5.0486281113034481</v>
      </c>
      <c r="X189" s="44">
        <f>IF(AND(P189=0,V189&gt;0),5,IF(V189/P189&gt;5,5,IF(V189/P189=0,0.0000001,V189/P189)))</f>
        <v>5</v>
      </c>
      <c r="Y189" s="44">
        <f>IFERROR(VLOOKUP(B189,'Факт продаж'!AB:AH,7,0),"-")</f>
        <v>1</v>
      </c>
      <c r="Z189" s="44">
        <f>IF(AND(F189=0,V189&gt;0),5,IF(V189/F189&gt;5,5,IF(V189/F189=0,0.0000001,V189/F189)))</f>
        <v>5</v>
      </c>
      <c r="AB189" s="10" t="str">
        <f>IFERROR(VLOOKUP(VALUE(IF(L189&lt;1,1,0)&amp;IF(J189&lt;'Факт продаж'!$M$24,0,1)),$AB$1:$AC$4,2,FALSE),"НЕТ ПРОДАЖ")</f>
        <v>Темная лошадка</v>
      </c>
      <c r="AC189" s="10" t="str">
        <f>IFERROR(VLOOKUP(VALUE(IF(R189&lt;1,1,0)&amp;IF(P189&lt;'Факт продаж'!$V$24,0,1)),$AB$1:$AC$4,2,FALSE),"НЕТ ПРОДАЖ")</f>
        <v>Собака</v>
      </c>
      <c r="AD189" s="10" t="str">
        <f>IFERROR(VLOOKUP(VALUE(IF(X189&lt;1,1,0)&amp;IF(V189&lt;'Факт продаж'!$AE$24,0,1)),$AB$1:$AC$4,2,FALSE),"НЕТ ПРОДАЖ")</f>
        <v>Темная лошадка</v>
      </c>
      <c r="AE189" s="18" t="str">
        <f>IFERROR(VLOOKUP(VALUE(IF(Z189&lt;1,1,0)&amp;IF(V189&lt;'Факт продаж'!$AE$24,0,1)),$AB$1:$AC$4,2,FALSE),"НЕТ ПРОДАЖ")</f>
        <v>Темная лошадка</v>
      </c>
      <c r="AF189" s="74" t="str">
        <f>VLOOKUP(B189,'ABC расчет'!B:G,6,0)</f>
        <v>C</v>
      </c>
      <c r="AG189" s="74" t="str">
        <f>VLOOKUP(B189,'ABC расчет'!K:P,6,0)</f>
        <v>C</v>
      </c>
      <c r="AH189" s="74" t="str">
        <f>VLOOKUP(B189,'ABC расчет'!T:Y,6,0)</f>
        <v>C</v>
      </c>
      <c r="AI189" s="74" t="str">
        <f>VLOOKUP(B189,'ABC расчет'!AC:AH,6,0)</f>
        <v>C</v>
      </c>
      <c r="AJ189" s="74"/>
      <c r="AK189" s="74"/>
      <c r="AL189" s="19" t="s">
        <v>447</v>
      </c>
    </row>
    <row r="190" spans="1:38" x14ac:dyDescent="0.3">
      <c r="A190" s="51" t="s">
        <v>255</v>
      </c>
      <c r="B190" s="21" t="s">
        <v>165</v>
      </c>
      <c r="C190" s="20">
        <f>IFERROR(VLOOKUP(B190,'Факт продаж'!A:B,2,0),"нет продаж")</f>
        <v>2</v>
      </c>
      <c r="D190" s="47">
        <f>IFERROR(VLOOKUP(B190,'Факт продаж'!A:C,3,0),"нет продаж")</f>
        <v>3522.1668</v>
      </c>
      <c r="E190" s="47">
        <f>IFERROR(VLOOKUP(B190,'Факт продаж'!A:E,5,0),"нет продаж")</f>
        <v>1317.2750577438144</v>
      </c>
      <c r="F190" s="25">
        <f>IFERROR(VLOOKUP(B190,'Факт продаж'!A:C,3,0)/SUM('План Антонова'!$C$11:$C$13),0)</f>
        <v>2.6744185609828553E-5</v>
      </c>
      <c r="G190" s="5" t="str">
        <f>IFERROR(VLOOKUP(B190,'Факт продаж'!J:K,2,0),"нет продаж")</f>
        <v>нет продаж</v>
      </c>
      <c r="H190" s="48" t="str">
        <f>IFERROR(VLOOKUP(B190,'Факт продаж'!J:L,3,0),"нет продаж")</f>
        <v>нет продаж</v>
      </c>
      <c r="I190" s="48" t="str">
        <f>IFERROR(VLOOKUP(B190,'Факт продаж'!J:N,5,0),"нет продаж")</f>
        <v>нет продаж</v>
      </c>
      <c r="J190" s="7">
        <f>IFERROR(VLOOKUP(B190,'Факт продаж'!J:L,3,0)/SUM('План Антонова'!$C$14:$C$16),0)</f>
        <v>0</v>
      </c>
      <c r="K190" s="44" t="str">
        <f>IFERROR(VLOOKUP(B190,'Факт продаж'!J:O,6,0),"-")</f>
        <v>-</v>
      </c>
      <c r="L190" s="44">
        <f>IF(AND(F190=0,J190&gt;0),5,IF(J190/F190&gt;5,5,IF(J190/F190=0,0.0000001,J190/F190)))</f>
        <v>9.9999999999999995E-8</v>
      </c>
      <c r="M190" s="5">
        <f>IFERROR(VLOOKUP(B190,'Факт продаж'!S:T,2,0),"нет продаж")</f>
        <v>2</v>
      </c>
      <c r="N190" s="48">
        <f>IFERROR(VLOOKUP(B190,'Факт продаж'!S:U,3,0),"нет продаж")</f>
        <v>4560</v>
      </c>
      <c r="O190" s="48">
        <f>IFERROR(VLOOKUP(B190,'Факт продаж'!S:W,5,0),"нет продаж")</f>
        <v>2047.3152433097437</v>
      </c>
      <c r="P190" s="7">
        <f>IFERROR(VLOOKUP(B190,'Факт продаж'!S:U,3,0)/SUM('План Антонова'!$C$17:$C$19),0)</f>
        <v>2.7775189675638149E-5</v>
      </c>
      <c r="Q190" s="44">
        <f>IFERROR(VLOOKUP(B190,'Факт продаж'!S:X,6,0),"-")</f>
        <v>1</v>
      </c>
      <c r="R190" s="44">
        <f>IF(AND(J190=0,P190&gt;0),5,IF(P190/J190&gt;5,5,IF(P190/J190=0,0.0000001,P190/J190)))</f>
        <v>5</v>
      </c>
      <c r="S190" s="16">
        <f>IFERROR(VLOOKUP(B190,'Факт продаж'!AB:AD,2,0),"нет продаж")</f>
        <v>19</v>
      </c>
      <c r="T190" s="16">
        <f>IFERROR(VLOOKUP(B190,'Факт продаж'!AB:AD,3,0),"нет продаж")</f>
        <v>43514.8</v>
      </c>
      <c r="U190" s="16">
        <f>IFERROR(VLOOKUP(B190,'Факт продаж'!AB:AF,5,0),"нет продаж")</f>
        <v>20021.949770106701</v>
      </c>
      <c r="V190" s="7">
        <f>IFERROR(VLOOKUP(B190,'Факт продаж'!AB:AD,3,0)/SUM('План Антонова'!$C$20:$C$22),0)</f>
        <v>2.8278950982390665E-4</v>
      </c>
      <c r="W190" s="44">
        <f>IFERROR(VLOOKUP(B190,'Факт продаж'!AB:AG,6,0),"-")</f>
        <v>8.779612512305965</v>
      </c>
      <c r="X190" s="44">
        <f>IF(AND(P190=0,V190&gt;0),5,IF(V190/P190&gt;5,5,IF(V190/P190=0,0.0000001,V190/P190)))</f>
        <v>5</v>
      </c>
      <c r="Y190" s="44">
        <f>IFERROR(VLOOKUP(B190,'Факт продаж'!AB:AH,7,0),"-")</f>
        <v>14.199520899150434</v>
      </c>
      <c r="Z190" s="44">
        <f>IF(AND(F190=0,V190&gt;0),5,IF(V190/F190&gt;5,5,IF(V190/F190=0,0.0000001,V190/F190)))</f>
        <v>5</v>
      </c>
      <c r="AB190" s="10" t="str">
        <f>IFERROR(VLOOKUP(VALUE(IF(L190&lt;1,1,0)&amp;IF(J190&lt;'Факт продаж'!$M$24,0,1)),$AB$1:$AC$4,2,FALSE),"НЕТ ПРОДАЖ")</f>
        <v>Собака</v>
      </c>
      <c r="AC190" s="10" t="str">
        <f>IFERROR(VLOOKUP(VALUE(IF(R190&lt;1,1,0)&amp;IF(P190&lt;'Факт продаж'!$V$24,0,1)),$AB$1:$AC$4,2,FALSE),"НЕТ ПРОДАЖ")</f>
        <v>Темная лошадка</v>
      </c>
      <c r="AD190" s="10" t="str">
        <f>IFERROR(VLOOKUP(VALUE(IF(X190&lt;1,1,0)&amp;IF(V190&lt;'Факт продаж'!$AE$24,0,1)),$AB$1:$AC$4,2,FALSE),"НЕТ ПРОДАЖ")</f>
        <v>Темная лошадка</v>
      </c>
      <c r="AE190" s="18" t="str">
        <f>IFERROR(VLOOKUP(VALUE(IF(Z190&lt;1,1,0)&amp;IF(V190&lt;'Факт продаж'!$AE$24,0,1)),$AB$1:$AC$4,2,FALSE),"НЕТ ПРОДАЖ")</f>
        <v>Темная лошадка</v>
      </c>
      <c r="AF190" s="74" t="str">
        <f>VLOOKUP(B190,'ABC расчет'!B:G,6,0)</f>
        <v>A</v>
      </c>
      <c r="AG190" s="74" t="str">
        <f>VLOOKUP(B190,'ABC расчет'!K:P,6,0)</f>
        <v>C</v>
      </c>
      <c r="AH190" s="74" t="str">
        <f>VLOOKUP(B190,'ABC расчет'!T:Y,6,0)</f>
        <v>C</v>
      </c>
      <c r="AI190" s="74" t="str">
        <f>VLOOKUP(B190,'ABC расчет'!AC:AH,6,0)</f>
        <v>A</v>
      </c>
      <c r="AJ190" s="74"/>
      <c r="AK190" s="74"/>
      <c r="AL190" s="19"/>
    </row>
    <row r="191" spans="1:38" x14ac:dyDescent="0.3">
      <c r="A191" s="51" t="s">
        <v>329</v>
      </c>
      <c r="B191" s="21" t="s">
        <v>305</v>
      </c>
      <c r="C191" s="20" t="str">
        <f>IFERROR(VLOOKUP(B191,'Факт продаж'!A:B,2,0),"нет продаж")</f>
        <v>нет продаж</v>
      </c>
      <c r="D191" s="47" t="str">
        <f>IFERROR(VLOOKUP(B191,'Факт продаж'!A:C,3,0),"нет продаж")</f>
        <v>нет продаж</v>
      </c>
      <c r="E191" s="47" t="str">
        <f>IFERROR(VLOOKUP(B191,'Факт продаж'!A:E,5,0),"нет продаж")</f>
        <v>нет продаж</v>
      </c>
      <c r="F191" s="25">
        <f>IFERROR(VLOOKUP(B191,'Факт продаж'!A:C,3,0)/SUM('План Антонова'!$C$11:$C$13),0)</f>
        <v>0</v>
      </c>
      <c r="G191" s="5">
        <f>IFERROR(VLOOKUP(B191,'Факт продаж'!J:K,2,0),"нет продаж")</f>
        <v>109</v>
      </c>
      <c r="H191" s="48">
        <f>IFERROR(VLOOKUP(B191,'Факт продаж'!J:L,3,0),"нет продаж")</f>
        <v>249773.9</v>
      </c>
      <c r="I191" s="48">
        <f>IFERROR(VLOOKUP(B191,'Факт продаж'!J:N,5,0),"нет продаж")</f>
        <v>123697.99023855729</v>
      </c>
      <c r="J191" s="7">
        <f>IFERROR(VLOOKUP(B191,'Факт продаж'!J:L,3,0)/SUM('План Антонова'!$C$14:$C$16),0)</f>
        <v>1.724653868800545E-3</v>
      </c>
      <c r="K191" s="44">
        <f>IFERROR(VLOOKUP(B191,'Факт продаж'!J:O,6,0),"-")</f>
        <v>1</v>
      </c>
      <c r="L191" s="44">
        <f>IF(AND(F191=0,J191&gt;0),5,IF(J191/F191&gt;5,5,IF(J191/F191=0,0.0000001,J191/F191)))</f>
        <v>5</v>
      </c>
      <c r="M191" s="5">
        <f>IFERROR(VLOOKUP(B191,'Факт продаж'!S:T,2,0),"нет продаж")</f>
        <v>140</v>
      </c>
      <c r="N191" s="48">
        <f>IFERROR(VLOOKUP(B191,'Факт продаж'!S:U,3,0),"нет продаж")</f>
        <v>323359</v>
      </c>
      <c r="O191" s="48">
        <f>IFERROR(VLOOKUP(B191,'Факт продаж'!S:W,5,0),"нет продаж")</f>
        <v>116132.0328102567</v>
      </c>
      <c r="P191" s="7">
        <f>IFERROR(VLOOKUP(B191,'Факт продаж'!S:U,3,0)/SUM('План Антонова'!$C$17:$C$19),0)</f>
        <v>1.9695959557729553E-3</v>
      </c>
      <c r="Q191" s="44">
        <f>IFERROR(VLOOKUP(B191,'Факт продаж'!S:X,6,0),"-")</f>
        <v>-6.1164756304522783E-2</v>
      </c>
      <c r="R191" s="44">
        <f>IF(AND(J191=0,P191&gt;0),5,IF(P191/J191&gt;5,5,IF(P191/J191=0,0.0000001,P191/J191)))</f>
        <v>1.1420239106544676</v>
      </c>
      <c r="S191" s="16">
        <f>IFERROR(VLOOKUP(B191,'Факт продаж'!AB:AD,2,0),"нет продаж")</f>
        <v>20</v>
      </c>
      <c r="T191" s="16">
        <f>IFERROR(VLOOKUP(B191,'Факт продаж'!AB:AD,3,0),"нет продаж")</f>
        <v>49401.899999999994</v>
      </c>
      <c r="U191" s="16">
        <f>IFERROR(VLOOKUP(B191,'Факт продаж'!AB:AF,5,0),"нет продаж")</f>
        <v>19728.649079908675</v>
      </c>
      <c r="V191" s="7">
        <f>IFERROR(VLOOKUP(B191,'Факт продаж'!AB:AD,3,0)/SUM('План Антонова'!$C$20:$C$22),0)</f>
        <v>3.210479902325106E-4</v>
      </c>
      <c r="W191" s="44">
        <f>IFERROR(VLOOKUP(B191,'Факт продаж'!AB:AG,6,0),"-")</f>
        <v>-0.8301188001062334</v>
      </c>
      <c r="X191" s="44">
        <f>IF(AND(P191=0,V191&gt;0),5,IF(V191/P191&gt;5,5,IF(V191/P191=0,0.0000001,V191/P191)))</f>
        <v>0.16300195443207913</v>
      </c>
      <c r="Y191" s="44">
        <f>IFERROR(VLOOKUP(B191,'Факт продаж'!AB:AH,7,0),"-")</f>
        <v>1</v>
      </c>
      <c r="Z191" s="44">
        <f>IF(AND(F191=0,V191&gt;0),5,IF(V191/F191&gt;5,5,IF(V191/F191=0,0.0000001,V191/F191)))</f>
        <v>5</v>
      </c>
      <c r="AB191" s="10" t="str">
        <f>IFERROR(VLOOKUP(VALUE(IF(L191&lt;1,1,0)&amp;IF(J191&lt;'Факт продаж'!$M$24,0,1)),$AB$1:$AC$4,2,FALSE),"НЕТ ПРОДАЖ")</f>
        <v>Звезда</v>
      </c>
      <c r="AC191" s="10" t="str">
        <f>IFERROR(VLOOKUP(VALUE(IF(R191&lt;1,1,0)&amp;IF(P191&lt;'Факт продаж'!$V$24,0,1)),$AB$1:$AC$4,2,FALSE),"НЕТ ПРОДАЖ")</f>
        <v>Звезда</v>
      </c>
      <c r="AD191" s="10" t="str">
        <f>IFERROR(VLOOKUP(VALUE(IF(X191&lt;1,1,0)&amp;IF(V191&lt;'Факт продаж'!$AE$24,0,1)),$AB$1:$AC$4,2,FALSE),"НЕТ ПРОДАЖ")</f>
        <v>Собака</v>
      </c>
      <c r="AE191" s="18" t="str">
        <f>IFERROR(VLOOKUP(VALUE(IF(Z191&lt;1,1,0)&amp;IF(V191&lt;'Факт продаж'!$AE$24,0,1)),$AB$1:$AC$4,2,FALSE),"НЕТ ПРОДАЖ")</f>
        <v>Темная лошадка</v>
      </c>
      <c r="AF191" s="74" t="str">
        <f>VLOOKUP(B191,'ABC расчет'!B:G,6,0)</f>
        <v>C</v>
      </c>
      <c r="AG191" s="74" t="str">
        <f>VLOOKUP(B191,'ABC расчет'!K:P,6,0)</f>
        <v>A</v>
      </c>
      <c r="AH191" s="74" t="str">
        <f>VLOOKUP(B191,'ABC расчет'!T:Y,6,0)</f>
        <v>A</v>
      </c>
      <c r="AI191" s="74" t="str">
        <f>VLOOKUP(B191,'ABC расчет'!AC:AH,6,0)</f>
        <v>C</v>
      </c>
      <c r="AJ191" s="74"/>
      <c r="AK191" s="74"/>
      <c r="AL191" s="19"/>
    </row>
    <row r="192" spans="1:38" x14ac:dyDescent="0.3">
      <c r="A192" s="51" t="s">
        <v>271</v>
      </c>
      <c r="B192" s="21" t="s">
        <v>47</v>
      </c>
      <c r="C192" s="20" t="str">
        <f>IFERROR(VLOOKUP(B192,'Факт продаж'!A:B,2,0),"нет продаж")</f>
        <v>нет продаж</v>
      </c>
      <c r="D192" s="47" t="str">
        <f>IFERROR(VLOOKUP(B192,'Факт продаж'!A:C,3,0),"нет продаж")</f>
        <v>нет продаж</v>
      </c>
      <c r="E192" s="47" t="str">
        <f>IFERROR(VLOOKUP(B192,'Факт продаж'!A:E,5,0),"нет продаж")</f>
        <v>нет продаж</v>
      </c>
      <c r="F192" s="25">
        <f>IFERROR(VLOOKUP(B192,'Факт продаж'!A:C,3,0)/SUM('План Антонова'!$C$11:$C$13),0)</f>
        <v>0</v>
      </c>
      <c r="G192" s="5">
        <f>IFERROR(VLOOKUP(B192,'Факт продаж'!J:K,2,0),"нет продаж")</f>
        <v>1</v>
      </c>
      <c r="H192" s="48">
        <f>IFERROR(VLOOKUP(B192,'Факт продаж'!J:L,3,0),"нет продаж")</f>
        <v>14215</v>
      </c>
      <c r="I192" s="48">
        <f>IFERROR(VLOOKUP(B192,'Факт продаж'!J:N,5,0),"нет продаж")</f>
        <v>5896.3786833630966</v>
      </c>
      <c r="J192" s="7">
        <f>IFERROR(VLOOKUP(B192,'Факт продаж'!J:L,3,0)/SUM('План Антонова'!$C$14:$C$16),0)</f>
        <v>9.8152588180749662E-5</v>
      </c>
      <c r="K192" s="44">
        <f>IFERROR(VLOOKUP(B192,'Факт продаж'!J:O,6,0),"-")</f>
        <v>1</v>
      </c>
      <c r="L192" s="44">
        <f>IF(AND(F192=0,J192&gt;0),5,IF(J192/F192&gt;5,5,IF(J192/F192=0,0.0000001,J192/F192)))</f>
        <v>5</v>
      </c>
      <c r="M192" s="5" t="str">
        <f>IFERROR(VLOOKUP(B192,'Факт продаж'!S:T,2,0),"нет продаж")</f>
        <v>нет продаж</v>
      </c>
      <c r="N192" s="48" t="str">
        <f>IFERROR(VLOOKUP(B192,'Факт продаж'!S:U,3,0),"нет продаж")</f>
        <v>нет продаж</v>
      </c>
      <c r="O192" s="48" t="str">
        <f>IFERROR(VLOOKUP(B192,'Факт продаж'!S:W,5,0),"нет продаж")</f>
        <v>нет продаж</v>
      </c>
      <c r="P192" s="7">
        <f>IFERROR(VLOOKUP(B192,'Факт продаж'!S:U,3,0)/SUM('План Антонова'!$C$17:$C$19),0)</f>
        <v>0</v>
      </c>
      <c r="Q192" s="44" t="str">
        <f>IFERROR(VLOOKUP(B192,'Факт продаж'!S:X,6,0),"-")</f>
        <v>-</v>
      </c>
      <c r="R192" s="44">
        <f>IF(AND(J192=0,P192&gt;0),5,IF(P192/J192&gt;5,5,IF(P192/J192=0,0.0000001,P192/J192)))</f>
        <v>9.9999999999999995E-8</v>
      </c>
      <c r="S192" s="16">
        <f>IFERROR(VLOOKUP(B192,'Факт продаж'!AB:AD,2,0),"нет продаж")</f>
        <v>4</v>
      </c>
      <c r="T192" s="16">
        <f>IFERROR(VLOOKUP(B192,'Факт продаж'!AB:AD,3,0),"нет продаж")</f>
        <v>44658</v>
      </c>
      <c r="U192" s="16">
        <f>IFERROR(VLOOKUP(B192,'Факт продаж'!AB:AF,5,0),"нет продаж")</f>
        <v>19371.997658827106</v>
      </c>
      <c r="V192" s="7">
        <f>IFERROR(VLOOKUP(B192,'Факт продаж'!AB:AD,3,0)/SUM('План Антонова'!$C$20:$C$22),0)</f>
        <v>2.9021882048673147E-4</v>
      </c>
      <c r="W192" s="44">
        <f>IFERROR(VLOOKUP(B192,'Факт продаж'!AB:AG,6,0),"-")</f>
        <v>1</v>
      </c>
      <c r="X192" s="44">
        <f>IF(AND(P192=0,V192&gt;0),5,IF(V192/P192&gt;5,5,IF(V192/P192=0,0.0000001,V192/P192)))</f>
        <v>5</v>
      </c>
      <c r="Y192" s="44">
        <f>IFERROR(VLOOKUP(B192,'Факт продаж'!AB:AH,7,0),"-")</f>
        <v>1</v>
      </c>
      <c r="Z192" s="44">
        <f>IF(AND(F192=0,V192&gt;0),5,IF(V192/F192&gt;5,5,IF(V192/F192=0,0.0000001,V192/F192)))</f>
        <v>5</v>
      </c>
      <c r="AB192" s="10" t="str">
        <f>IFERROR(VLOOKUP(VALUE(IF(L192&lt;1,1,0)&amp;IF(J192&lt;'Факт продаж'!$M$24,0,1)),$AB$1:$AC$4,2,FALSE),"НЕТ ПРОДАЖ")</f>
        <v>Темная лошадка</v>
      </c>
      <c r="AC192" s="10" t="str">
        <f>IFERROR(VLOOKUP(VALUE(IF(R192&lt;1,1,0)&amp;IF(P192&lt;'Факт продаж'!$V$24,0,1)),$AB$1:$AC$4,2,FALSE),"НЕТ ПРОДАЖ")</f>
        <v>Собака</v>
      </c>
      <c r="AD192" s="10" t="str">
        <f>IFERROR(VLOOKUP(VALUE(IF(X192&lt;1,1,0)&amp;IF(V192&lt;'Факт продаж'!$AE$24,0,1)),$AB$1:$AC$4,2,FALSE),"НЕТ ПРОДАЖ")</f>
        <v>Темная лошадка</v>
      </c>
      <c r="AE192" s="18" t="str">
        <f>IFERROR(VLOOKUP(VALUE(IF(Z192&lt;1,1,0)&amp;IF(V192&lt;'Факт продаж'!$AE$24,0,1)),$AB$1:$AC$4,2,FALSE),"НЕТ ПРОДАЖ")</f>
        <v>Темная лошадка</v>
      </c>
      <c r="AF192" s="74" t="str">
        <f>VLOOKUP(B192,'ABC расчет'!B:G,6,0)</f>
        <v>C</v>
      </c>
      <c r="AG192" s="74" t="str">
        <f>VLOOKUP(B192,'ABC расчет'!K:P,6,0)</f>
        <v>C</v>
      </c>
      <c r="AH192" s="74" t="str">
        <f>VLOOKUP(B192,'ABC расчет'!T:Y,6,0)</f>
        <v>C</v>
      </c>
      <c r="AI192" s="74" t="str">
        <f>VLOOKUP(B192,'ABC расчет'!AC:AH,6,0)</f>
        <v>B</v>
      </c>
      <c r="AJ192" s="74"/>
      <c r="AK192" s="74"/>
      <c r="AL192" s="19"/>
    </row>
    <row r="193" spans="1:40" x14ac:dyDescent="0.3">
      <c r="A193" s="51" t="s">
        <v>116</v>
      </c>
      <c r="B193" s="21" t="s">
        <v>133</v>
      </c>
      <c r="C193" s="20" t="str">
        <f>IFERROR(VLOOKUP(B193,'Факт продаж'!A:B,2,0),"нет продаж")</f>
        <v>нет продаж</v>
      </c>
      <c r="D193" s="47" t="str">
        <f>IFERROR(VLOOKUP(B193,'Факт продаж'!A:C,3,0),"нет продаж")</f>
        <v>нет продаж</v>
      </c>
      <c r="E193" s="47" t="str">
        <f>IFERROR(VLOOKUP(B193,'Факт продаж'!A:E,5,0),"нет продаж")</f>
        <v>нет продаж</v>
      </c>
      <c r="F193" s="25">
        <f>IFERROR(VLOOKUP(B193,'Факт продаж'!A:C,3,0)/SUM('План Антонова'!$C$11:$C$13),0)</f>
        <v>0</v>
      </c>
      <c r="G193" s="5">
        <f>IFERROR(VLOOKUP(B193,'Факт продаж'!J:K,2,0),"нет продаж")</f>
        <v>10</v>
      </c>
      <c r="H193" s="48">
        <f>IFERROR(VLOOKUP(B193,'Факт продаж'!J:L,3,0),"нет продаж")</f>
        <v>20950.7</v>
      </c>
      <c r="I193" s="48">
        <f>IFERROR(VLOOKUP(B193,'Факт продаж'!J:N,5,0),"нет продаж")</f>
        <v>8857.9121539405915</v>
      </c>
      <c r="J193" s="7">
        <f>IFERROR(VLOOKUP(B193,'Факт продаж'!J:L,3,0)/SUM('План Антонова'!$C$14:$C$16),0)</f>
        <v>1.4466165523731496E-4</v>
      </c>
      <c r="K193" s="44">
        <f>IFERROR(VLOOKUP(B193,'Факт продаж'!J:O,6,0),"-")</f>
        <v>1</v>
      </c>
      <c r="L193" s="44">
        <f>IF(AND(F193=0,J193&gt;0),5,IF(J193/F193&gt;5,5,IF(J193/F193=0,0.0000001,J193/F193)))</f>
        <v>5</v>
      </c>
      <c r="M193" s="5">
        <f>IFERROR(VLOOKUP(B193,'Факт продаж'!S:T,2,0),"нет продаж")</f>
        <v>10</v>
      </c>
      <c r="N193" s="48">
        <f>IFERROR(VLOOKUP(B193,'Факт продаж'!S:U,3,0),"нет продаж")</f>
        <v>21493.5</v>
      </c>
      <c r="O193" s="48">
        <f>IFERROR(VLOOKUP(B193,'Факт продаж'!S:W,5,0),"нет продаж")</f>
        <v>7617.4404744634876</v>
      </c>
      <c r="P193" s="7">
        <f>IFERROR(VLOOKUP(B193,'Факт продаж'!S:U,3,0)/SUM('План Антонова'!$C$17:$C$19),0)</f>
        <v>1.3091799107309838E-4</v>
      </c>
      <c r="Q193" s="44">
        <f>IFERROR(VLOOKUP(B193,'Факт продаж'!S:X,6,0),"-")</f>
        <v>-0.1400410907129237</v>
      </c>
      <c r="R193" s="44">
        <f>IF(AND(J193=0,P193&gt;0),5,IF(P193/J193&gt;5,5,IF(P193/J193=0,0.0000001,P193/J193)))</f>
        <v>0.90499442204176128</v>
      </c>
      <c r="S193" s="16">
        <f>IFERROR(VLOOKUP(B193,'Факт продаж'!AB:AD,2,0),"нет продаж")</f>
        <v>25</v>
      </c>
      <c r="T193" s="16">
        <f>IFERROR(VLOOKUP(B193,'Факт продаж'!AB:AD,3,0),"нет продаж")</f>
        <v>52880.299999999996</v>
      </c>
      <c r="U193" s="16">
        <f>IFERROR(VLOOKUP(B193,'Факт продаж'!AB:AF,5,0),"нет продаж")</f>
        <v>18905.819428768955</v>
      </c>
      <c r="V193" s="7">
        <f>IFERROR(VLOOKUP(B193,'Факт продаж'!AB:AD,3,0)/SUM('План Антонова'!$C$20:$C$22),0)</f>
        <v>3.436530586453604E-4</v>
      </c>
      <c r="W193" s="44">
        <f>IFERROR(VLOOKUP(B193,'Факт продаж'!AB:AG,6,0),"-")</f>
        <v>1.4819123289703859</v>
      </c>
      <c r="X193" s="44">
        <f>IF(AND(P193=0,V193&gt;0),5,IF(V193/P193&gt;5,5,IF(V193/P193=0,0.0000001,V193/P193)))</f>
        <v>2.6249490679511029</v>
      </c>
      <c r="Y193" s="44">
        <f>IFERROR(VLOOKUP(B193,'Факт продаж'!AB:AH,7,0),"-")</f>
        <v>1</v>
      </c>
      <c r="Z193" s="44">
        <f>IF(AND(F193=0,V193&gt;0),5,IF(V193/F193&gt;5,5,IF(V193/F193=0,0.0000001,V193/F193)))</f>
        <v>5</v>
      </c>
      <c r="AB193" s="10" t="str">
        <f>IFERROR(VLOOKUP(VALUE(IF(L193&lt;1,1,0)&amp;IF(J193&lt;'Факт продаж'!$M$24,0,1)),$AB$1:$AC$4,2,FALSE),"НЕТ ПРОДАЖ")</f>
        <v>Темная лошадка</v>
      </c>
      <c r="AC193" s="10" t="str">
        <f>IFERROR(VLOOKUP(VALUE(IF(R193&lt;1,1,0)&amp;IF(P193&lt;'Факт продаж'!$V$24,0,1)),$AB$1:$AC$4,2,FALSE),"НЕТ ПРОДАЖ")</f>
        <v>Собака</v>
      </c>
      <c r="AD193" s="10" t="str">
        <f>IFERROR(VLOOKUP(VALUE(IF(X193&lt;1,1,0)&amp;IF(V193&lt;'Факт продаж'!$AE$24,0,1)),$AB$1:$AC$4,2,FALSE),"НЕТ ПРОДАЖ")</f>
        <v>Темная лошадка</v>
      </c>
      <c r="AE193" s="18" t="str">
        <f>IFERROR(VLOOKUP(VALUE(IF(Z193&lt;1,1,0)&amp;IF(V193&lt;'Факт продаж'!$AE$24,0,1)),$AB$1:$AC$4,2,FALSE),"НЕТ ПРОДАЖ")</f>
        <v>Темная лошадка</v>
      </c>
      <c r="AF193" s="74" t="str">
        <f>VLOOKUP(B193,'ABC расчет'!B:G,6,0)</f>
        <v>C</v>
      </c>
      <c r="AG193" s="74" t="str">
        <f>VLOOKUP(B193,'ABC расчет'!K:P,6,0)</f>
        <v>C</v>
      </c>
      <c r="AH193" s="74" t="str">
        <f>VLOOKUP(B193,'ABC расчет'!T:Y,6,0)</f>
        <v>C</v>
      </c>
      <c r="AI193" s="74" t="str">
        <f>VLOOKUP(B193,'ABC расчет'!AC:AH,6,0)</f>
        <v>C</v>
      </c>
      <c r="AJ193" s="74"/>
      <c r="AK193" s="74"/>
      <c r="AL193" s="19"/>
    </row>
    <row r="194" spans="1:40" x14ac:dyDescent="0.3">
      <c r="A194" s="51" t="s">
        <v>256</v>
      </c>
      <c r="B194" s="21" t="s">
        <v>138</v>
      </c>
      <c r="C194" s="20">
        <f>IFERROR(VLOOKUP(B194,'Факт продаж'!A:B,2,0),"нет продаж")</f>
        <v>2</v>
      </c>
      <c r="D194" s="47">
        <f>IFERROR(VLOOKUP(B194,'Факт продаж'!A:C,3,0),"нет продаж")</f>
        <v>3817.6219999999998</v>
      </c>
      <c r="E194" s="47">
        <f>IFERROR(VLOOKUP(B194,'Факт продаж'!A:E,5,0),"нет продаж")</f>
        <v>1791.501848728295</v>
      </c>
      <c r="F194" s="25">
        <f>IFERROR(VLOOKUP(B194,'Факт продаж'!A:C,3,0)/SUM('План Антонова'!$C$11:$C$13),0)</f>
        <v>2.89876082405197E-5</v>
      </c>
      <c r="G194" s="5">
        <f>IFERROR(VLOOKUP(B194,'Факт продаж'!J:K,2,0),"нет продаж")</f>
        <v>28</v>
      </c>
      <c r="H194" s="48">
        <f>IFERROR(VLOOKUP(B194,'Факт продаж'!J:L,3,0),"нет продаж")</f>
        <v>51875.299999999996</v>
      </c>
      <c r="I194" s="48">
        <f>IFERROR(VLOOKUP(B194,'Факт продаж'!J:N,5,0),"нет продаж")</f>
        <v>19357.062350154694</v>
      </c>
      <c r="J194" s="7">
        <f>IFERROR(VLOOKUP(B194,'Факт продаж'!J:L,3,0)/SUM('План Антонова'!$C$14:$C$16),0)</f>
        <v>3.5819169593055521E-4</v>
      </c>
      <c r="K194" s="44">
        <f>IFERROR(VLOOKUP(B194,'Факт продаж'!J:O,6,0),"-")</f>
        <v>9.8049357380766224</v>
      </c>
      <c r="L194" s="44">
        <f>IF(AND(F194=0,J194&gt;0),5,IF(J194/F194&gt;5,5,IF(J194/F194=0,0.0000001,J194/F194)))</f>
        <v>5</v>
      </c>
      <c r="M194" s="5">
        <f>IFERROR(VLOOKUP(B194,'Факт продаж'!S:T,2,0),"нет продаж")</f>
        <v>17</v>
      </c>
      <c r="N194" s="48">
        <f>IFERROR(VLOOKUP(B194,'Факт продаж'!S:U,3,0),"нет продаж")</f>
        <v>34805.5</v>
      </c>
      <c r="O194" s="48">
        <f>IFERROR(VLOOKUP(B194,'Факт продаж'!S:W,5,0),"нет продаж")</f>
        <v>15447.809474999402</v>
      </c>
      <c r="P194" s="7">
        <f>IFERROR(VLOOKUP(B194,'Факт продаж'!S:U,3,0)/SUM('План Антонова'!$C$17:$C$19),0)</f>
        <v>2.1200205356478589E-4</v>
      </c>
      <c r="Q194" s="44">
        <f>IFERROR(VLOOKUP(B194,'Факт продаж'!S:X,6,0),"-")</f>
        <v>-0.2019548630076119</v>
      </c>
      <c r="R194" s="44">
        <f>IF(AND(J194=0,P194&gt;0),5,IF(P194/J194&gt;5,5,IF(P194/J194=0,0.0000001,P194/J194)))</f>
        <v>0.59186758368035419</v>
      </c>
      <c r="S194" s="16">
        <f>IFERROR(VLOOKUP(B194,'Факт продаж'!AB:AD,2,0),"нет продаж")</f>
        <v>19</v>
      </c>
      <c r="T194" s="16">
        <f>IFERROR(VLOOKUP(B194,'Факт продаж'!AB:AD,3,0),"нет продаж")</f>
        <v>40016</v>
      </c>
      <c r="U194" s="16">
        <f>IFERROR(VLOOKUP(B194,'Факт продаж'!AB:AF,5,0),"нет продаж")</f>
        <v>18801.577979910388</v>
      </c>
      <c r="V194" s="7">
        <f>IFERROR(VLOOKUP(B194,'Факт продаж'!AB:AD,3,0)/SUM('План Антонова'!$C$20:$C$22),0)</f>
        <v>2.6005186798775239E-4</v>
      </c>
      <c r="W194" s="44">
        <f>IFERROR(VLOOKUP(B194,'Факт продаж'!AB:AG,6,0),"-")</f>
        <v>0.21710317636547072</v>
      </c>
      <c r="X194" s="44">
        <f>IF(AND(P194=0,V194&gt;0),5,IF(V194/P194&gt;5,5,IF(V194/P194=0,0.0000001,V194/P194)))</f>
        <v>1.2266478725796064</v>
      </c>
      <c r="Y194" s="44">
        <f>IFERROR(VLOOKUP(B194,'Факт продаж'!AB:AH,7,0),"-")</f>
        <v>9.4948694265968889</v>
      </c>
      <c r="Z194" s="44">
        <f>IF(AND(F194=0,V194&gt;0),5,IF(V194/F194&gt;5,5,IF(V194/F194=0,0.0000001,V194/F194)))</f>
        <v>5</v>
      </c>
      <c r="AB194" s="10" t="str">
        <f>IFERROR(VLOOKUP(VALUE(IF(L194&lt;1,1,0)&amp;IF(J194&lt;'Факт продаж'!$M$24,0,1)),$AB$1:$AC$4,2,FALSE),"НЕТ ПРОДАЖ")</f>
        <v>Темная лошадка</v>
      </c>
      <c r="AC194" s="10" t="str">
        <f>IFERROR(VLOOKUP(VALUE(IF(R194&lt;1,1,0)&amp;IF(P194&lt;'Факт продаж'!$V$24,0,1)),$AB$1:$AC$4,2,FALSE),"НЕТ ПРОДАЖ")</f>
        <v>Собака</v>
      </c>
      <c r="AD194" s="10" t="str">
        <f>IFERROR(VLOOKUP(VALUE(IF(X194&lt;1,1,0)&amp;IF(V194&lt;'Факт продаж'!$AE$24,0,1)),$AB$1:$AC$4,2,FALSE),"НЕТ ПРОДАЖ")</f>
        <v>Темная лошадка</v>
      </c>
      <c r="AE194" s="18" t="str">
        <f>IFERROR(VLOOKUP(VALUE(IF(Z194&lt;1,1,0)&amp;IF(V194&lt;'Факт продаж'!$AE$24,0,1)),$AB$1:$AC$4,2,FALSE),"НЕТ ПРОДАЖ")</f>
        <v>Темная лошадка</v>
      </c>
      <c r="AF194" s="74" t="str">
        <f>VLOOKUP(B194,'ABC расчет'!B:G,6,0)</f>
        <v>C</v>
      </c>
      <c r="AG194" s="74" t="str">
        <f>VLOOKUP(B194,'ABC расчет'!K:P,6,0)</f>
        <v>C</v>
      </c>
      <c r="AH194" s="74" t="str">
        <f>VLOOKUP(B194,'ABC расчет'!T:Y,6,0)</f>
        <v>C</v>
      </c>
      <c r="AI194" s="74" t="str">
        <f>VLOOKUP(B194,'ABC расчет'!AC:AH,6,0)</f>
        <v>C</v>
      </c>
      <c r="AJ194" s="74"/>
      <c r="AK194" s="74"/>
      <c r="AL194" s="19"/>
    </row>
    <row r="195" spans="1:40" x14ac:dyDescent="0.3">
      <c r="A195" s="51" t="s">
        <v>258</v>
      </c>
      <c r="B195" s="21" t="s">
        <v>421</v>
      </c>
      <c r="C195" s="20" t="str">
        <f>IFERROR(VLOOKUP(B195,'Факт продаж'!A:B,2,0),"нет продаж")</f>
        <v>нет продаж</v>
      </c>
      <c r="D195" s="47" t="str">
        <f>IFERROR(VLOOKUP(B195,'Факт продаж'!A:C,3,0),"нет продаж")</f>
        <v>нет продаж</v>
      </c>
      <c r="E195" s="47" t="str">
        <f>IFERROR(VLOOKUP(B195,'Факт продаж'!A:E,5,0),"нет продаж")</f>
        <v>нет продаж</v>
      </c>
      <c r="F195" s="25">
        <f>IFERROR(VLOOKUP(B195,'Факт продаж'!A:C,3,0)/SUM('План Антонова'!$C$11:$C$13),0)</f>
        <v>0</v>
      </c>
      <c r="G195" s="5" t="str">
        <f>IFERROR(VLOOKUP(B195,'Факт продаж'!J:K,2,0),"нет продаж")</f>
        <v>нет продаж</v>
      </c>
      <c r="H195" s="48" t="str">
        <f>IFERROR(VLOOKUP(B195,'Факт продаж'!J:L,3,0),"нет продаж")</f>
        <v>нет продаж</v>
      </c>
      <c r="I195" s="48" t="str">
        <f>IFERROR(VLOOKUP(B195,'Факт продаж'!J:N,5,0),"нет продаж")</f>
        <v>нет продаж</v>
      </c>
      <c r="J195" s="7">
        <f>IFERROR(VLOOKUP(B195,'Факт продаж'!J:L,3,0)/SUM('План Антонова'!$C$14:$C$16),0)</f>
        <v>0</v>
      </c>
      <c r="K195" s="44" t="str">
        <f>IFERROR(VLOOKUP(B195,'Факт продаж'!J:O,6,0),"-")</f>
        <v>-</v>
      </c>
      <c r="L195" s="44" t="e">
        <f>IF(AND(F195=0,J195&gt;0),5,IF(J195/F195&gt;5,5,IF(J195/F195=0,0.0000001,J195/F195)))</f>
        <v>#DIV/0!</v>
      </c>
      <c r="M195" s="5" t="str">
        <f>IFERROR(VLOOKUP(B195,'Факт продаж'!S:T,2,0),"нет продаж")</f>
        <v>нет продаж</v>
      </c>
      <c r="N195" s="48" t="str">
        <f>IFERROR(VLOOKUP(B195,'Факт продаж'!S:U,3,0),"нет продаж")</f>
        <v>нет продаж</v>
      </c>
      <c r="O195" s="48" t="str">
        <f>IFERROR(VLOOKUP(B195,'Факт продаж'!S:W,5,0),"нет продаж")</f>
        <v>нет продаж</v>
      </c>
      <c r="P195" s="7">
        <f>IFERROR(VLOOKUP(B195,'Факт продаж'!S:U,3,0)/SUM('План Антонова'!$C$17:$C$19),0)</f>
        <v>0</v>
      </c>
      <c r="Q195" s="44" t="str">
        <f>IFERROR(VLOOKUP(B195,'Факт продаж'!S:X,6,0),"-")</f>
        <v>-</v>
      </c>
      <c r="R195" s="44" t="e">
        <f>IF(AND(J195=0,P195&gt;0),5,IF(P195/J195&gt;5,5,IF(P195/J195=0,0.0000001,P195/J195)))</f>
        <v>#DIV/0!</v>
      </c>
      <c r="S195" s="16">
        <f>IFERROR(VLOOKUP(B195,'Факт продаж'!AB:AD,2,0),"нет продаж")</f>
        <v>44</v>
      </c>
      <c r="T195" s="16">
        <f>IFERROR(VLOOKUP(B195,'Факт продаж'!AB:AD,3,0),"нет продаж")</f>
        <v>63520</v>
      </c>
      <c r="U195" s="16">
        <f>IFERROR(VLOOKUP(B195,'Факт продаж'!AB:AF,5,0),"нет продаж")</f>
        <v>18719.747841800825</v>
      </c>
      <c r="V195" s="7">
        <f>IFERROR(VLOOKUP(B195,'Факт продаж'!AB:AD,3,0)/SUM('План Антонова'!$C$20:$C$22),0)</f>
        <v>4.127972474655646E-4</v>
      </c>
      <c r="W195" s="44">
        <f>IFERROR(VLOOKUP(B195,'Факт продаж'!AB:AG,6,0),"-")</f>
        <v>1</v>
      </c>
      <c r="X195" s="44">
        <f>IF(AND(P195=0,V195&gt;0),5,IF(V195/P195&gt;5,5,IF(V195/P195=0,0.0000001,V195/P195)))</f>
        <v>5</v>
      </c>
      <c r="Y195" s="44">
        <f>IFERROR(VLOOKUP(B195,'Факт продаж'!AB:AH,7,0),"-")</f>
        <v>1</v>
      </c>
      <c r="Z195" s="44">
        <f>IF(AND(F195=0,V195&gt;0),5,IF(V195/F195&gt;5,5,IF(V195/F195=0,0.0000001,V195/F195)))</f>
        <v>5</v>
      </c>
      <c r="AB195" s="10" t="str">
        <f>IFERROR(VLOOKUP(VALUE(IF(L195&lt;1,1,0)&amp;IF(J195&lt;'Факт продаж'!$M$24,0,1)),$AB$1:$AC$4,2,FALSE),"НЕТ ПРОДАЖ")</f>
        <v>НЕТ ПРОДАЖ</v>
      </c>
      <c r="AC195" s="10" t="str">
        <f>IFERROR(VLOOKUP(VALUE(IF(R195&lt;1,1,0)&amp;IF(P195&lt;'Факт продаж'!$V$24,0,1)),$AB$1:$AC$4,2,FALSE),"НЕТ ПРОДАЖ")</f>
        <v>НЕТ ПРОДАЖ</v>
      </c>
      <c r="AD195" s="10" t="str">
        <f>IFERROR(VLOOKUP(VALUE(IF(X195&lt;1,1,0)&amp;IF(V195&lt;'Факт продаж'!$AE$24,0,1)),$AB$1:$AC$4,2,FALSE),"НЕТ ПРОДАЖ")</f>
        <v>Темная лошадка</v>
      </c>
      <c r="AE195" s="18" t="str">
        <f>IFERROR(VLOOKUP(VALUE(IF(Z195&lt;1,1,0)&amp;IF(V195&lt;'Факт продаж'!$AE$24,0,1)),$AB$1:$AC$4,2,FALSE),"НЕТ ПРОДАЖ")</f>
        <v>Темная лошадка</v>
      </c>
      <c r="AF195" s="74" t="str">
        <f>VLOOKUP(B195,'ABC расчет'!B:G,6,0)</f>
        <v>C</v>
      </c>
      <c r="AG195" s="74" t="str">
        <f>VLOOKUP(B195,'ABC расчет'!K:P,6,0)</f>
        <v>C</v>
      </c>
      <c r="AH195" s="74" t="str">
        <f>VLOOKUP(B195,'ABC расчет'!T:Y,6,0)</f>
        <v>C</v>
      </c>
      <c r="AI195" s="74" t="str">
        <f>VLOOKUP(B195,'ABC расчет'!AC:AH,6,0)</f>
        <v>A</v>
      </c>
      <c r="AJ195" s="74"/>
      <c r="AK195" s="74"/>
      <c r="AL195" s="19"/>
    </row>
    <row r="196" spans="1:40" x14ac:dyDescent="0.3">
      <c r="A196" s="51" t="s">
        <v>247</v>
      </c>
      <c r="B196" s="21" t="s">
        <v>213</v>
      </c>
      <c r="C196" s="20">
        <f>IFERROR(VLOOKUP(B196,'Факт продаж'!A:B,2,0),"нет продаж")</f>
        <v>140</v>
      </c>
      <c r="D196" s="47">
        <f>IFERROR(VLOOKUP(B196,'Факт продаж'!A:C,3,0),"нет продаж")</f>
        <v>23935.690000000002</v>
      </c>
      <c r="E196" s="47">
        <f>IFERROR(VLOOKUP(B196,'Факт продаж'!A:E,5,0),"нет продаж")</f>
        <v>7598.3007077701577</v>
      </c>
      <c r="F196" s="25">
        <f>IFERROR(VLOOKUP(B196,'Факт продаж'!A:C,3,0)/SUM('План Антонова'!$C$11:$C$13),0)</f>
        <v>1.8174622963890218E-4</v>
      </c>
      <c r="G196" s="5">
        <f>IFERROR(VLOOKUP(B196,'Факт продаж'!J:K,2,0),"нет продаж")</f>
        <v>556</v>
      </c>
      <c r="H196" s="48">
        <f>IFERROR(VLOOKUP(B196,'Факт продаж'!J:L,3,0),"нет продаж")</f>
        <v>108714.12000000001</v>
      </c>
      <c r="I196" s="48">
        <f>IFERROR(VLOOKUP(B196,'Факт продаж'!J:N,5,0),"нет продаж")</f>
        <v>51613.878907234743</v>
      </c>
      <c r="J196" s="7">
        <f>IFERROR(VLOOKUP(B196,'Факт продаж'!J:L,3,0)/SUM('План Антонова'!$C$14:$C$16),0)</f>
        <v>7.5065580371386567E-4</v>
      </c>
      <c r="K196" s="44">
        <f>IFERROR(VLOOKUP(B196,'Факт продаж'!J:O,6,0),"-")</f>
        <v>5.792818669897267</v>
      </c>
      <c r="L196" s="44">
        <f>IF(AND(F196=0,J196&gt;0),5,IF(J196/F196&gt;5,5,IF(J196/F196=0,0.0000001,J196/F196)))</f>
        <v>4.1302414097133502</v>
      </c>
      <c r="M196" s="5">
        <f>IFERROR(VLOOKUP(B196,'Факт продаж'!S:T,2,0),"нет продаж")</f>
        <v>469</v>
      </c>
      <c r="N196" s="48">
        <f>IFERROR(VLOOKUP(B196,'Факт продаж'!S:U,3,0),"нет продаж")</f>
        <v>90872.799999999988</v>
      </c>
      <c r="O196" s="48">
        <f>IFERROR(VLOOKUP(B196,'Факт продаж'!S:W,5,0),"нет продаж")</f>
        <v>41252.884935347436</v>
      </c>
      <c r="P196" s="7">
        <f>IFERROR(VLOOKUP(B196,'Факт продаж'!S:U,3,0)/SUM('План Антонова'!$C$17:$C$19),0)</f>
        <v>5.5351080183252855E-4</v>
      </c>
      <c r="Q196" s="44">
        <f>IFERROR(VLOOKUP(B196,'Факт продаж'!S:X,6,0),"-")</f>
        <v>-0.20074046344218865</v>
      </c>
      <c r="R196" s="44">
        <f>IF(AND(J196=0,P196&gt;0),5,IF(P196/J196&gt;5,5,IF(P196/J196=0,0.0000001,P196/J196)))</f>
        <v>0.73736964277640527</v>
      </c>
      <c r="S196" s="16">
        <f>IFERROR(VLOOKUP(B196,'Факт продаж'!AB:AD,2,0),"нет продаж")</f>
        <v>226</v>
      </c>
      <c r="T196" s="16">
        <f>IFERROR(VLOOKUP(B196,'Факт продаж'!AB:AD,3,0),"нет продаж")</f>
        <v>43560.400000000009</v>
      </c>
      <c r="U196" s="16">
        <f>IFERROR(VLOOKUP(B196,'Факт продаж'!AB:AF,5,0),"нет продаж")</f>
        <v>18437.308932389718</v>
      </c>
      <c r="V196" s="7">
        <f>IFERROR(VLOOKUP(B196,'Факт продаж'!AB:AD,3,0)/SUM('План Антонова'!$C$20:$C$22),0)</f>
        <v>2.8308585041717546E-4</v>
      </c>
      <c r="W196" s="44">
        <f>IFERROR(VLOOKUP(B196,'Факт продаж'!AB:AG,6,0),"-")</f>
        <v>-0.55306619255149947</v>
      </c>
      <c r="X196" s="44">
        <f>IF(AND(P196=0,V196&gt;0),5,IF(V196/P196&gt;5,5,IF(V196/P196=0,0.0000001,V196/P196)))</f>
        <v>0.51143690327262403</v>
      </c>
      <c r="Y196" s="44">
        <f>IFERROR(VLOOKUP(B196,'Факт продаж'!AB:AH,7,0),"-")</f>
        <v>1.4265042463422639</v>
      </c>
      <c r="Z196" s="44">
        <f>IF(AND(F196=0,V196&gt;0),5,IF(V196/F196&gt;5,5,IF(V196/F196=0,0.0000001,V196/F196)))</f>
        <v>1.5575885727017134</v>
      </c>
      <c r="AB196" s="10" t="str">
        <f>IFERROR(VLOOKUP(VALUE(IF(L196&lt;1,1,0)&amp;IF(J196&lt;'Факт продаж'!$M$24,0,1)),$AB$1:$AC$4,2,FALSE),"НЕТ ПРОДАЖ")</f>
        <v>Темная лошадка</v>
      </c>
      <c r="AC196" s="10" t="str">
        <f>IFERROR(VLOOKUP(VALUE(IF(R196&lt;1,1,0)&amp;IF(P196&lt;'Факт продаж'!$V$24,0,1)),$AB$1:$AC$4,2,FALSE),"НЕТ ПРОДАЖ")</f>
        <v>Собака</v>
      </c>
      <c r="AD196" s="10" t="str">
        <f>IFERROR(VLOOKUP(VALUE(IF(X196&lt;1,1,0)&amp;IF(V196&lt;'Факт продаж'!$AE$24,0,1)),$AB$1:$AC$4,2,FALSE),"НЕТ ПРОДАЖ")</f>
        <v>Собака</v>
      </c>
      <c r="AE196" s="18" t="str">
        <f>IFERROR(VLOOKUP(VALUE(IF(Z196&lt;1,1,0)&amp;IF(V196&lt;'Факт продаж'!$AE$24,0,1)),$AB$1:$AC$4,2,FALSE),"НЕТ ПРОДАЖ")</f>
        <v>Темная лошадка</v>
      </c>
      <c r="AF196" s="74" t="str">
        <f>VLOOKUP(B196,'ABC расчет'!B:G,6,0)</f>
        <v>B</v>
      </c>
      <c r="AG196" s="74" t="str">
        <f>VLOOKUP(B196,'ABC расчет'!K:P,6,0)</f>
        <v>A</v>
      </c>
      <c r="AH196" s="74" t="str">
        <f>VLOOKUP(B196,'ABC расчет'!T:Y,6,0)</f>
        <v>A</v>
      </c>
      <c r="AI196" s="74" t="str">
        <f>VLOOKUP(B196,'ABC расчет'!AC:AH,6,0)</f>
        <v>B</v>
      </c>
      <c r="AJ196" s="74"/>
      <c r="AK196" s="74"/>
      <c r="AL196" s="19"/>
    </row>
    <row r="197" spans="1:40" x14ac:dyDescent="0.3">
      <c r="A197" s="51" t="s">
        <v>388</v>
      </c>
      <c r="B197" s="21" t="s">
        <v>298</v>
      </c>
      <c r="C197" s="20" t="str">
        <f>IFERROR(VLOOKUP(B197,'Факт продаж'!A:B,2,0),"нет продаж")</f>
        <v>нет продаж</v>
      </c>
      <c r="D197" s="47" t="str">
        <f>IFERROR(VLOOKUP(B197,'Факт продаж'!A:C,3,0),"нет продаж")</f>
        <v>нет продаж</v>
      </c>
      <c r="E197" s="47" t="str">
        <f>IFERROR(VLOOKUP(B197,'Факт продаж'!A:E,5,0),"нет продаж")</f>
        <v>нет продаж</v>
      </c>
      <c r="F197" s="25">
        <f>IFERROR(VLOOKUP(B197,'Факт продаж'!A:C,3,0)/SUM('План Антонова'!$C$11:$C$13),0)</f>
        <v>0</v>
      </c>
      <c r="G197" s="5">
        <f>IFERROR(VLOOKUP(B197,'Факт продаж'!J:K,2,0),"нет продаж")</f>
        <v>1</v>
      </c>
      <c r="H197" s="48">
        <f>IFERROR(VLOOKUP(B197,'Факт продаж'!J:L,3,0),"нет продаж")</f>
        <v>8230</v>
      </c>
      <c r="I197" s="48">
        <f>IFERROR(VLOOKUP(B197,'Факт продаж'!J:N,5,0),"нет продаж")</f>
        <v>4271.2750566101322</v>
      </c>
      <c r="J197" s="7">
        <f>IFERROR(VLOOKUP(B197,'Факт продаж'!J:L,3,0)/SUM('План Антонова'!$C$14:$C$16),0)</f>
        <v>5.6826999699442119E-5</v>
      </c>
      <c r="K197" s="44">
        <f>IFERROR(VLOOKUP(B197,'Факт продаж'!J:O,6,0),"-")</f>
        <v>1</v>
      </c>
      <c r="L197" s="44">
        <f>IF(AND(F197=0,J197&gt;0),5,IF(J197/F197&gt;5,5,IF(J197/F197=0,0.0000001,J197/F197)))</f>
        <v>5</v>
      </c>
      <c r="M197" s="5">
        <f>IFERROR(VLOOKUP(B197,'Факт продаж'!S:T,2,0),"нет продаж")</f>
        <v>7</v>
      </c>
      <c r="N197" s="48">
        <f>IFERROR(VLOOKUP(B197,'Факт продаж'!S:U,3,0),"нет продаж")</f>
        <v>38400</v>
      </c>
      <c r="O197" s="48">
        <f>IFERROR(VLOOKUP(B197,'Факт продаж'!S:W,5,0),"нет продаж")</f>
        <v>19421.8500023544</v>
      </c>
      <c r="P197" s="7">
        <f>IFERROR(VLOOKUP(B197,'Факт продаж'!S:U,3,0)/SUM('План Антонова'!$C$17:$C$19),0)</f>
        <v>2.3389633411063704E-4</v>
      </c>
      <c r="Q197" s="44">
        <f>IFERROR(VLOOKUP(B197,'Факт продаж'!S:X,6,0),"-")</f>
        <v>3.5470848271168043</v>
      </c>
      <c r="R197" s="44">
        <f>IF(AND(J197=0,P197&gt;0),5,IF(P197/J197&gt;5,5,IF(P197/J197=0,0.0000001,P197/J197)))</f>
        <v>4.1159367087425744</v>
      </c>
      <c r="S197" s="16">
        <f>IFERROR(VLOOKUP(B197,'Факт продаж'!AB:AD,2,0),"нет продаж")</f>
        <v>3</v>
      </c>
      <c r="T197" s="16">
        <f>IFERROR(VLOOKUP(B197,'Факт продаж'!AB:AD,3,0),"нет продаж")</f>
        <v>32415</v>
      </c>
      <c r="U197" s="16">
        <f>IFERROR(VLOOKUP(B197,'Факт продаж'!AB:AF,5,0),"нет продаж")</f>
        <v>18195.72993607707</v>
      </c>
      <c r="V197" s="7">
        <f>IFERROR(VLOOKUP(B197,'Факт продаж'!AB:AD,3,0)/SUM('План Антонова'!$C$20:$C$22),0)</f>
        <v>2.1065527041240991E-4</v>
      </c>
      <c r="W197" s="44">
        <f>IFERROR(VLOOKUP(B197,'Факт продаж'!AB:AG,6,0),"-")</f>
        <v>-6.313096157825826E-2</v>
      </c>
      <c r="X197" s="44">
        <f>IF(AND(P197=0,V197&gt;0),5,IF(V197/P197&gt;5,5,IF(V197/P197=0,0.0000001,V197/P197)))</f>
        <v>0.90063519470453224</v>
      </c>
      <c r="Y197" s="44">
        <f>IFERROR(VLOOKUP(B197,'Факт продаж'!AB:AH,7,0),"-")</f>
        <v>1</v>
      </c>
      <c r="Z197" s="44">
        <f>IF(AND(F197=0,V197&gt;0),5,IF(V197/F197&gt;5,5,IF(V197/F197=0,0.0000001,V197/F197)))</f>
        <v>5</v>
      </c>
      <c r="AB197" s="10" t="str">
        <f>IFERROR(VLOOKUP(VALUE(IF(L197&lt;1,1,0)&amp;IF(J197&lt;'Факт продаж'!$M$24,0,1)),$AB$1:$AC$4,2,FALSE),"НЕТ ПРОДАЖ")</f>
        <v>Темная лошадка</v>
      </c>
      <c r="AC197" s="10" t="str">
        <f>IFERROR(VLOOKUP(VALUE(IF(R197&lt;1,1,0)&amp;IF(P197&lt;'Факт продаж'!$V$24,0,1)),$AB$1:$AC$4,2,FALSE),"НЕТ ПРОДАЖ")</f>
        <v>Темная лошадка</v>
      </c>
      <c r="AD197" s="10" t="str">
        <f>IFERROR(VLOOKUP(VALUE(IF(X197&lt;1,1,0)&amp;IF(V197&lt;'Факт продаж'!$AE$24,0,1)),$AB$1:$AC$4,2,FALSE),"НЕТ ПРОДАЖ")</f>
        <v>Собака</v>
      </c>
      <c r="AE197" s="18" t="str">
        <f>IFERROR(VLOOKUP(VALUE(IF(Z197&lt;1,1,0)&amp;IF(V197&lt;'Факт продаж'!$AE$24,0,1)),$AB$1:$AC$4,2,FALSE),"НЕТ ПРОДАЖ")</f>
        <v>Темная лошадка</v>
      </c>
      <c r="AF197" s="74" t="str">
        <f>VLOOKUP(B197,'ABC расчет'!B:G,6,0)</f>
        <v>C</v>
      </c>
      <c r="AG197" s="74" t="str">
        <f>VLOOKUP(B197,'ABC расчет'!K:P,6,0)</f>
        <v>C</v>
      </c>
      <c r="AH197" s="74" t="str">
        <f>VLOOKUP(B197,'ABC расчет'!T:Y,6,0)</f>
        <v>C</v>
      </c>
      <c r="AI197" s="74" t="str">
        <f>VLOOKUP(B197,'ABC расчет'!AC:AH,6,0)</f>
        <v>C</v>
      </c>
      <c r="AJ197" s="74"/>
      <c r="AK197" s="74"/>
      <c r="AL197" s="19"/>
    </row>
    <row r="198" spans="1:40" x14ac:dyDescent="0.3">
      <c r="A198" s="51" t="s">
        <v>329</v>
      </c>
      <c r="B198" s="21" t="s">
        <v>307</v>
      </c>
      <c r="C198" s="20" t="str">
        <f>IFERROR(VLOOKUP(B198,'Факт продаж'!A:B,2,0),"нет продаж")</f>
        <v>нет продаж</v>
      </c>
      <c r="D198" s="47" t="str">
        <f>IFERROR(VLOOKUP(B198,'Факт продаж'!A:C,3,0),"нет продаж")</f>
        <v>нет продаж</v>
      </c>
      <c r="E198" s="47" t="str">
        <f>IFERROR(VLOOKUP(B198,'Факт продаж'!A:E,5,0),"нет продаж")</f>
        <v>нет продаж</v>
      </c>
      <c r="F198" s="25">
        <f>IFERROR(VLOOKUP(B198,'Факт продаж'!A:C,3,0)/SUM('План Антонова'!$C$11:$C$13),0)</f>
        <v>0</v>
      </c>
      <c r="G198" s="5">
        <f>IFERROR(VLOOKUP(B198,'Факт продаж'!J:K,2,0),"нет продаж")</f>
        <v>22</v>
      </c>
      <c r="H198" s="48">
        <f>IFERROR(VLOOKUP(B198,'Факт продаж'!J:L,3,0),"нет продаж")</f>
        <v>35265.699999999997</v>
      </c>
      <c r="I198" s="48">
        <f>IFERROR(VLOOKUP(B198,'Факт продаж'!J:N,5,0),"нет продаж")</f>
        <v>10050.125562007355</v>
      </c>
      <c r="J198" s="7">
        <f>IFERROR(VLOOKUP(B198,'Факт продаж'!J:L,3,0)/SUM('План Антонова'!$C$14:$C$16),0)</f>
        <v>2.4350472944114406E-4</v>
      </c>
      <c r="K198" s="44">
        <f>IFERROR(VLOOKUP(B198,'Факт продаж'!J:O,6,0),"-")</f>
        <v>1</v>
      </c>
      <c r="L198" s="44">
        <f>IF(AND(F198=0,J198&gt;0),5,IF(J198/F198&gt;5,5,IF(J198/F198=0,0.0000001,J198/F198)))</f>
        <v>5</v>
      </c>
      <c r="M198" s="5">
        <f>IFERROR(VLOOKUP(B198,'Факт продаж'!S:T,2,0),"нет продаж")</f>
        <v>154</v>
      </c>
      <c r="N198" s="48">
        <f>IFERROR(VLOOKUP(B198,'Факт продаж'!S:U,3,0),"нет продаж")</f>
        <v>272965.45</v>
      </c>
      <c r="O198" s="48">
        <f>IFERROR(VLOOKUP(B198,'Факт продаж'!S:W,5,0),"нет продаж")</f>
        <v>80104.302250639623</v>
      </c>
      <c r="P198" s="7">
        <f>IFERROR(VLOOKUP(B198,'Факт продаж'!S:U,3,0)/SUM('План Антонова'!$C$17:$C$19),0)</f>
        <v>1.6626463045276143E-3</v>
      </c>
      <c r="Q198" s="44">
        <f>IFERROR(VLOOKUP(B198,'Факт продаж'!S:X,6,0),"-")</f>
        <v>6.9704777573584904</v>
      </c>
      <c r="R198" s="44">
        <f>IF(AND(J198=0,P198&gt;0),5,IF(P198/J198&gt;5,5,IF(P198/J198=0,0.0000001,P198/J198)))</f>
        <v>5</v>
      </c>
      <c r="S198" s="16">
        <f>IFERROR(VLOOKUP(B198,'Факт продаж'!AB:AD,2,0),"нет продаж")</f>
        <v>34</v>
      </c>
      <c r="T198" s="16">
        <f>IFERROR(VLOOKUP(B198,'Факт продаж'!AB:AD,3,0),"нет продаж")</f>
        <v>53269.65</v>
      </c>
      <c r="U198" s="16">
        <f>IFERROR(VLOOKUP(B198,'Факт продаж'!AB:AF,5,0),"нет продаж")</f>
        <v>17555.028157898403</v>
      </c>
      <c r="V198" s="7">
        <f>IFERROR(VLOOKUP(B198,'Факт продаж'!AB:AD,3,0)/SUM('План Антонова'!$C$20:$C$22),0)</f>
        <v>3.4618332640828106E-4</v>
      </c>
      <c r="W198" s="44">
        <f>IFERROR(VLOOKUP(B198,'Факт продаж'!AB:AG,6,0),"-")</f>
        <v>-0.78084787377623988</v>
      </c>
      <c r="X198" s="44">
        <f>IF(AND(P198=0,V198&gt;0),5,IF(V198/P198&gt;5,5,IF(V198/P198=0,0.0000001,V198/P198)))</f>
        <v>0.20821224903070262</v>
      </c>
      <c r="Y198" s="44">
        <f>IFERROR(VLOOKUP(B198,'Факт продаж'!AB:AH,7,0),"-")</f>
        <v>1</v>
      </c>
      <c r="Z198" s="44">
        <f>IF(AND(F198=0,V198&gt;0),5,IF(V198/F198&gt;5,5,IF(V198/F198=0,0.0000001,V198/F198)))</f>
        <v>5</v>
      </c>
      <c r="AB198" s="10" t="str">
        <f>IFERROR(VLOOKUP(VALUE(IF(L198&lt;1,1,0)&amp;IF(J198&lt;'Факт продаж'!$M$24,0,1)),$AB$1:$AC$4,2,FALSE),"НЕТ ПРОДАЖ")</f>
        <v>Темная лошадка</v>
      </c>
      <c r="AC198" s="10" t="str">
        <f>IFERROR(VLOOKUP(VALUE(IF(R198&lt;1,1,0)&amp;IF(P198&lt;'Факт продаж'!$V$24,0,1)),$AB$1:$AC$4,2,FALSE),"НЕТ ПРОДАЖ")</f>
        <v>Звезда</v>
      </c>
      <c r="AD198" s="10" t="str">
        <f>IFERROR(VLOOKUP(VALUE(IF(X198&lt;1,1,0)&amp;IF(V198&lt;'Факт продаж'!$AE$24,0,1)),$AB$1:$AC$4,2,FALSE),"НЕТ ПРОДАЖ")</f>
        <v>Собака</v>
      </c>
      <c r="AE198" s="18" t="str">
        <f>IFERROR(VLOOKUP(VALUE(IF(Z198&lt;1,1,0)&amp;IF(V198&lt;'Факт продаж'!$AE$24,0,1)),$AB$1:$AC$4,2,FALSE),"НЕТ ПРОДАЖ")</f>
        <v>Темная лошадка</v>
      </c>
      <c r="AF198" s="74" t="str">
        <f>VLOOKUP(B198,'ABC расчет'!B:G,6,0)</f>
        <v>C</v>
      </c>
      <c r="AG198" s="74" t="str">
        <f>VLOOKUP(B198,'ABC расчет'!K:P,6,0)</f>
        <v>C</v>
      </c>
      <c r="AH198" s="74" t="str">
        <f>VLOOKUP(B198,'ABC расчет'!T:Y,6,0)</f>
        <v>A</v>
      </c>
      <c r="AI198" s="74" t="str">
        <f>VLOOKUP(B198,'ABC расчет'!AC:AH,6,0)</f>
        <v>B</v>
      </c>
      <c r="AJ198" s="74"/>
      <c r="AK198" s="74"/>
      <c r="AL198" s="19"/>
    </row>
    <row r="199" spans="1:40" x14ac:dyDescent="0.3">
      <c r="A199" s="51" t="s">
        <v>329</v>
      </c>
      <c r="B199" s="21" t="s">
        <v>172</v>
      </c>
      <c r="C199" s="20" t="str">
        <f>IFERROR(VLOOKUP(B199,'Факт продаж'!A:B,2,0),"нет продаж")</f>
        <v>нет продаж</v>
      </c>
      <c r="D199" s="47" t="str">
        <f>IFERROR(VLOOKUP(B199,'Факт продаж'!A:C,3,0),"нет продаж")</f>
        <v>нет продаж</v>
      </c>
      <c r="E199" s="47" t="str">
        <f>IFERROR(VLOOKUP(B199,'Факт продаж'!A:E,5,0),"нет продаж")</f>
        <v>нет продаж</v>
      </c>
      <c r="F199" s="25">
        <f>IFERROR(VLOOKUP(B199,'Факт продаж'!A:C,3,0)/SUM('План Антонова'!$C$11:$C$13),0)</f>
        <v>0</v>
      </c>
      <c r="G199" s="5">
        <f>IFERROR(VLOOKUP(B199,'Факт продаж'!J:K,2,0),"нет продаж")</f>
        <v>15</v>
      </c>
      <c r="H199" s="48">
        <f>IFERROR(VLOOKUP(B199,'Факт продаж'!J:L,3,0),"нет продаж")</f>
        <v>35366.31</v>
      </c>
      <c r="I199" s="48">
        <f>IFERROR(VLOOKUP(B199,'Факт продаж'!J:N,5,0),"нет продаж")</f>
        <v>15394.225356797331</v>
      </c>
      <c r="J199" s="7">
        <f>IFERROR(VLOOKUP(B199,'Факт продаж'!J:L,3,0)/SUM('План Антонова'!$C$14:$C$16),0)</f>
        <v>2.4419942742896436E-4</v>
      </c>
      <c r="K199" s="44">
        <f>IFERROR(VLOOKUP(B199,'Факт продаж'!J:O,6,0),"-")</f>
        <v>1</v>
      </c>
      <c r="L199" s="44">
        <f>IF(AND(F199=0,J199&gt;0),5,IF(J199/F199&gt;5,5,IF(J199/F199=0,0.0000001,J199/F199)))</f>
        <v>5</v>
      </c>
      <c r="M199" s="5">
        <f>IFERROR(VLOOKUP(B199,'Факт продаж'!S:T,2,0),"нет продаж")</f>
        <v>30</v>
      </c>
      <c r="N199" s="48">
        <f>IFERROR(VLOOKUP(B199,'Факт продаж'!S:U,3,0),"нет продаж")</f>
        <v>71891.899999999994</v>
      </c>
      <c r="O199" s="48">
        <f>IFERROR(VLOOKUP(B199,'Факт продаж'!S:W,5,0),"нет продаж")</f>
        <v>29856.227680647404</v>
      </c>
      <c r="P199" s="7">
        <f>IFERROR(VLOOKUP(B199,'Факт продаж'!S:U,3,0)/SUM('План Антонова'!$C$17:$C$19),0)</f>
        <v>4.378971839127215E-4</v>
      </c>
      <c r="Q199" s="44">
        <f>IFERROR(VLOOKUP(B199,'Факт продаж'!S:X,6,0),"-")</f>
        <v>0.93944332947317588</v>
      </c>
      <c r="R199" s="44">
        <f>IF(AND(J199=0,P199&gt;0),5,IF(P199/J199&gt;5,5,IF(P199/J199=0,0.0000001,P199/J199)))</f>
        <v>1.7931949657830473</v>
      </c>
      <c r="S199" s="16">
        <f>IFERROR(VLOOKUP(B199,'Факт продаж'!AB:AD,2,0),"нет продаж")</f>
        <v>16</v>
      </c>
      <c r="T199" s="16">
        <f>IFERROR(VLOOKUP(B199,'Факт продаж'!AB:AD,3,0),"нет продаж")</f>
        <v>39756.300000000003</v>
      </c>
      <c r="U199" s="16">
        <f>IFERROR(VLOOKUP(B199,'Факт продаж'!AB:AF,5,0),"нет продаж")</f>
        <v>17498.781986295697</v>
      </c>
      <c r="V199" s="7">
        <f>IFERROR(VLOOKUP(B199,'Факт продаж'!AB:AD,3,0)/SUM('План Антонова'!$C$20:$C$22),0)</f>
        <v>2.5836415631950923E-4</v>
      </c>
      <c r="W199" s="44">
        <f>IFERROR(VLOOKUP(B199,'Факт продаж'!AB:AG,6,0),"-")</f>
        <v>-0.41389842770932905</v>
      </c>
      <c r="X199" s="44">
        <f>IF(AND(P199=0,V199&gt;0),5,IF(V199/P199&gt;5,5,IF(V199/P199=0,0.0000001,V199/P199)))</f>
        <v>0.59001100215114533</v>
      </c>
      <c r="Y199" s="44">
        <f>IFERROR(VLOOKUP(B199,'Факт продаж'!AB:AH,7,0),"-")</f>
        <v>1</v>
      </c>
      <c r="Z199" s="44">
        <f>IF(AND(F199=0,V199&gt;0),5,IF(V199/F199&gt;5,5,IF(V199/F199=0,0.0000001,V199/F199)))</f>
        <v>5</v>
      </c>
      <c r="AB199" s="10" t="str">
        <f>IFERROR(VLOOKUP(VALUE(IF(L199&lt;1,1,0)&amp;IF(J199&lt;'Факт продаж'!$M$24,0,1)),$AB$1:$AC$4,2,FALSE),"НЕТ ПРОДАЖ")</f>
        <v>Темная лошадка</v>
      </c>
      <c r="AC199" s="10" t="str">
        <f>IFERROR(VLOOKUP(VALUE(IF(R199&lt;1,1,0)&amp;IF(P199&lt;'Факт продаж'!$V$24,0,1)),$AB$1:$AC$4,2,FALSE),"НЕТ ПРОДАЖ")</f>
        <v>Темная лошадка</v>
      </c>
      <c r="AD199" s="10" t="str">
        <f>IFERROR(VLOOKUP(VALUE(IF(X199&lt;1,1,0)&amp;IF(V199&lt;'Факт продаж'!$AE$24,0,1)),$AB$1:$AC$4,2,FALSE),"НЕТ ПРОДАЖ")</f>
        <v>Собака</v>
      </c>
      <c r="AE199" s="18" t="str">
        <f>IFERROR(VLOOKUP(VALUE(IF(Z199&lt;1,1,0)&amp;IF(V199&lt;'Факт продаж'!$AE$24,0,1)),$AB$1:$AC$4,2,FALSE),"НЕТ ПРОДАЖ")</f>
        <v>Темная лошадка</v>
      </c>
      <c r="AF199" s="74" t="str">
        <f>VLOOKUP(B199,'ABC расчет'!B:G,6,0)</f>
        <v>C</v>
      </c>
      <c r="AG199" s="74" t="str">
        <f>VLOOKUP(B199,'ABC расчет'!K:P,6,0)</f>
        <v>B</v>
      </c>
      <c r="AH199" s="74" t="str">
        <f>VLOOKUP(B199,'ABC расчет'!T:Y,6,0)</f>
        <v>C</v>
      </c>
      <c r="AI199" s="74" t="str">
        <f>VLOOKUP(B199,'ABC расчет'!AC:AH,6,0)</f>
        <v>C</v>
      </c>
      <c r="AJ199" s="74"/>
      <c r="AK199" s="74"/>
      <c r="AL199" s="19"/>
    </row>
    <row r="200" spans="1:40" x14ac:dyDescent="0.3">
      <c r="A200" s="51" t="s">
        <v>251</v>
      </c>
      <c r="B200" s="21" t="s">
        <v>322</v>
      </c>
      <c r="C200" s="20">
        <f>IFERROR(VLOOKUP(B200,'Факт продаж'!A:B,2,0),"нет продаж")</f>
        <v>15</v>
      </c>
      <c r="D200" s="47">
        <f>IFERROR(VLOOKUP(B200,'Факт продаж'!A:C,3,0),"нет продаж")</f>
        <v>63953.136800000007</v>
      </c>
      <c r="E200" s="47">
        <f>IFERROR(VLOOKUP(B200,'Факт продаж'!A:E,5,0),"нет продаж")</f>
        <v>20033.405031266731</v>
      </c>
      <c r="F200" s="25">
        <f>IFERROR(VLOOKUP(B200,'Факт продаж'!A:C,3,0)/SUM('План Антонова'!$C$11:$C$13),0)</f>
        <v>4.8560294217467418E-4</v>
      </c>
      <c r="G200" s="5">
        <f>IFERROR(VLOOKUP(B200,'Факт продаж'!J:K,2,0),"нет продаж")</f>
        <v>22</v>
      </c>
      <c r="H200" s="48">
        <f>IFERROR(VLOOKUP(B200,'Факт продаж'!J:L,3,0),"нет продаж")</f>
        <v>126236.80000000002</v>
      </c>
      <c r="I200" s="48">
        <f>IFERROR(VLOOKUP(B200,'Факт продаж'!J:N,5,0),"нет продаж")</f>
        <v>52646.131863540766</v>
      </c>
      <c r="J200" s="7">
        <f>IFERROR(VLOOKUP(B200,'Факт продаж'!J:L,3,0)/SUM('План Антонова'!$C$14:$C$16),0)</f>
        <v>8.716474599828112E-4</v>
      </c>
      <c r="K200" s="44">
        <f>IFERROR(VLOOKUP(B200,'Факт продаж'!J:O,6,0),"-")</f>
        <v>1.6279173101813886</v>
      </c>
      <c r="L200" s="44">
        <f>IF(AND(F200=0,J200&gt;0),5,IF(J200/F200&gt;5,5,IF(J200/F200=0,0.0000001,J200/F200)))</f>
        <v>1.79497977520341</v>
      </c>
      <c r="M200" s="5">
        <f>IFERROR(VLOOKUP(B200,'Факт продаж'!S:T,2,0),"нет продаж")</f>
        <v>6</v>
      </c>
      <c r="N200" s="48">
        <f>IFERROR(VLOOKUP(B200,'Факт продаж'!S:U,3,0),"нет продаж")</f>
        <v>36645.199999999997</v>
      </c>
      <c r="O200" s="48">
        <f>IFERROR(VLOOKUP(B200,'Факт продаж'!S:W,5,0),"нет продаж")</f>
        <v>12003.312221542252</v>
      </c>
      <c r="P200" s="7">
        <f>IFERROR(VLOOKUP(B200,'Факт продаж'!S:U,3,0)/SUM('План Антонова'!$C$17:$C$19),0)</f>
        <v>2.232077589258103E-4</v>
      </c>
      <c r="Q200" s="44">
        <f>IFERROR(VLOOKUP(B200,'Факт продаж'!S:X,6,0),"-")</f>
        <v>-0.7720001109928657</v>
      </c>
      <c r="R200" s="44">
        <f>IF(AND(J200=0,P200&gt;0),5,IF(P200/J200&gt;5,5,IF(P200/J200=0,0.0000001,P200/J200)))</f>
        <v>0.25607572920617694</v>
      </c>
      <c r="S200" s="16">
        <f>IFERROR(VLOOKUP(B200,'Факт продаж'!AB:AD,2,0),"нет продаж")</f>
        <v>6</v>
      </c>
      <c r="T200" s="16">
        <f>IFERROR(VLOOKUP(B200,'Факт продаж'!AB:AD,3,0),"нет продаж")</f>
        <v>37285.9</v>
      </c>
      <c r="U200" s="16">
        <f>IFERROR(VLOOKUP(B200,'Факт продаж'!AB:AF,5,0),"нет продаж")</f>
        <v>16698.860587871059</v>
      </c>
      <c r="V200" s="7">
        <f>IFERROR(VLOOKUP(B200,'Факт продаж'!AB:AD,3,0)/SUM('План Антонова'!$C$20:$C$22),0)</f>
        <v>2.4230977470523135E-4</v>
      </c>
      <c r="W200" s="44">
        <f>IFERROR(VLOOKUP(B200,'Факт продаж'!AB:AG,6,0),"-")</f>
        <v>0.39118772216070008</v>
      </c>
      <c r="X200" s="44">
        <f>IF(AND(P200=0,V200&gt;0),5,IF(V200/P200&gt;5,5,IF(V200/P200=0,0.0000001,V200/P200)))</f>
        <v>1.085579533038411</v>
      </c>
      <c r="Y200" s="44">
        <f>IFERROR(VLOOKUP(B200,'Факт продаж'!AB:AH,7,0),"-")</f>
        <v>-0.16644921011637059</v>
      </c>
      <c r="Z200" s="44">
        <f>IF(AND(F200=0,V200&gt;0),5,IF(V200/F200&gt;5,5,IF(V200/F200=0,0.0000001,V200/F200)))</f>
        <v>0.4989874518059883</v>
      </c>
      <c r="AB200" s="10" t="str">
        <f>IFERROR(VLOOKUP(VALUE(IF(L200&lt;1,1,0)&amp;IF(J200&lt;'Факт продаж'!$M$24,0,1)),$AB$1:$AC$4,2,FALSE),"НЕТ ПРОДАЖ")</f>
        <v>Звезда</v>
      </c>
      <c r="AC200" s="10" t="str">
        <f>IFERROR(VLOOKUP(VALUE(IF(R200&lt;1,1,0)&amp;IF(P200&lt;'Факт продаж'!$V$24,0,1)),$AB$1:$AC$4,2,FALSE),"НЕТ ПРОДАЖ")</f>
        <v>Собака</v>
      </c>
      <c r="AD200" s="10" t="str">
        <f>IFERROR(VLOOKUP(VALUE(IF(X200&lt;1,1,0)&amp;IF(V200&lt;'Факт продаж'!$AE$24,0,1)),$AB$1:$AC$4,2,FALSE),"НЕТ ПРОДАЖ")</f>
        <v>Темная лошадка</v>
      </c>
      <c r="AE200" s="18" t="str">
        <f>IFERROR(VLOOKUP(VALUE(IF(Z200&lt;1,1,0)&amp;IF(V200&lt;'Факт продаж'!$AE$24,0,1)),$AB$1:$AC$4,2,FALSE),"НЕТ ПРОДАЖ")</f>
        <v>Собака</v>
      </c>
      <c r="AF200" s="74" t="str">
        <f>VLOOKUP(B200,'ABC расчет'!B:G,6,0)</f>
        <v>C</v>
      </c>
      <c r="AG200" s="74" t="str">
        <f>VLOOKUP(B200,'ABC расчет'!K:P,6,0)</f>
        <v>C</v>
      </c>
      <c r="AH200" s="74" t="str">
        <f>VLOOKUP(B200,'ABC расчет'!T:Y,6,0)</f>
        <v>C</v>
      </c>
      <c r="AI200" s="74" t="str">
        <f>VLOOKUP(B200,'ABC расчет'!AC:AH,6,0)</f>
        <v>C</v>
      </c>
      <c r="AJ200" s="74" t="s">
        <v>452</v>
      </c>
      <c r="AK200" s="74"/>
      <c r="AL200" s="19"/>
    </row>
    <row r="201" spans="1:40" s="22" customFormat="1" x14ac:dyDescent="0.3">
      <c r="A201" s="51" t="s">
        <v>254</v>
      </c>
      <c r="B201" s="21" t="s">
        <v>282</v>
      </c>
      <c r="C201" s="20" t="str">
        <f>IFERROR(VLOOKUP(B201,'Факт продаж'!A:B,2,0),"нет продаж")</f>
        <v>нет продаж</v>
      </c>
      <c r="D201" s="47" t="str">
        <f>IFERROR(VLOOKUP(B201,'Факт продаж'!A:C,3,0),"нет продаж")</f>
        <v>нет продаж</v>
      </c>
      <c r="E201" s="47" t="str">
        <f>IFERROR(VLOOKUP(B201,'Факт продаж'!A:E,5,0),"нет продаж")</f>
        <v>нет продаж</v>
      </c>
      <c r="F201" s="25">
        <f>IFERROR(VLOOKUP(B201,'Факт продаж'!A:C,3,0)/SUM('План Антонова'!$C$11:$C$13),0)</f>
        <v>0</v>
      </c>
      <c r="G201" s="5" t="str">
        <f>IFERROR(VLOOKUP(B201,'Факт продаж'!J:K,2,0),"нет продаж")</f>
        <v>нет продаж</v>
      </c>
      <c r="H201" s="48" t="str">
        <f>IFERROR(VLOOKUP(B201,'Факт продаж'!J:L,3,0),"нет продаж")</f>
        <v>нет продаж</v>
      </c>
      <c r="I201" s="48" t="str">
        <f>IFERROR(VLOOKUP(B201,'Факт продаж'!J:N,5,0),"нет продаж")</f>
        <v>нет продаж</v>
      </c>
      <c r="J201" s="7">
        <f>IFERROR(VLOOKUP(B201,'Факт продаж'!J:L,3,0)/SUM('План Антонова'!$C$14:$C$16),0)</f>
        <v>0</v>
      </c>
      <c r="K201" s="44" t="str">
        <f>IFERROR(VLOOKUP(B201,'Факт продаж'!J:O,6,0),"-")</f>
        <v>-</v>
      </c>
      <c r="L201" s="44" t="e">
        <f>IF(AND(F201=0,J201&gt;0),5,IF(J201/F201&gt;5,5,IF(J201/F201=0,0.0000001,J201/F201)))</f>
        <v>#DIV/0!</v>
      </c>
      <c r="M201" s="5" t="str">
        <f>IFERROR(VLOOKUP(B201,'Факт продаж'!S:T,2,0),"нет продаж")</f>
        <v>нет продаж</v>
      </c>
      <c r="N201" s="48" t="str">
        <f>IFERROR(VLOOKUP(B201,'Факт продаж'!S:U,3,0),"нет продаж")</f>
        <v>нет продаж</v>
      </c>
      <c r="O201" s="48" t="str">
        <f>IFERROR(VLOOKUP(B201,'Факт продаж'!S:W,5,0),"нет продаж")</f>
        <v>нет продаж</v>
      </c>
      <c r="P201" s="7">
        <f>IFERROR(VLOOKUP(B201,'Факт продаж'!S:U,3,0)/SUM('План Антонова'!$C$17:$C$19),0)</f>
        <v>0</v>
      </c>
      <c r="Q201" s="44" t="str">
        <f>IFERROR(VLOOKUP(B201,'Факт продаж'!S:X,6,0),"-")</f>
        <v>-</v>
      </c>
      <c r="R201" s="44" t="e">
        <f>IF(AND(J201=0,P201&gt;0),5,IF(P201/J201&gt;5,5,IF(P201/J201=0,0.0000001,P201/J201)))</f>
        <v>#DIV/0!</v>
      </c>
      <c r="S201" s="16">
        <f>IFERROR(VLOOKUP(B201,'Факт продаж'!AB:AD,2,0),"нет продаж")</f>
        <v>31</v>
      </c>
      <c r="T201" s="16">
        <f>IFERROR(VLOOKUP(B201,'Факт продаж'!AB:AD,3,0),"нет продаж")</f>
        <v>43710</v>
      </c>
      <c r="U201" s="16">
        <f>IFERROR(VLOOKUP(B201,'Факт продаж'!AB:AF,5,0),"нет продаж")</f>
        <v>16272.161768690014</v>
      </c>
      <c r="V201" s="7">
        <f>IFERROR(VLOOKUP(B201,'Факт продаж'!AB:AD,3,0)/SUM('План Антонова'!$C$20:$C$22),0)</f>
        <v>2.840580555214079E-4</v>
      </c>
      <c r="W201" s="44">
        <f>IFERROR(VLOOKUP(B201,'Факт продаж'!AB:AG,6,0),"-")</f>
        <v>1</v>
      </c>
      <c r="X201" s="44">
        <f>IF(AND(P201=0,V201&gt;0),5,IF(V201/P201&gt;5,5,IF(V201/P201=0,0.0000001,V201/P201)))</f>
        <v>5</v>
      </c>
      <c r="Y201" s="44">
        <f>IFERROR(VLOOKUP(B201,'Факт продаж'!AB:AH,7,0),"-")</f>
        <v>1</v>
      </c>
      <c r="Z201" s="44">
        <f>IF(AND(F201=0,V201&gt;0),5,IF(V201/F201&gt;5,5,IF(V201/F201=0,0.0000001,V201/F201)))</f>
        <v>5</v>
      </c>
      <c r="AA201" s="23"/>
      <c r="AB201" s="10" t="str">
        <f>IFERROR(VLOOKUP(VALUE(IF(L201&lt;1,1,0)&amp;IF(J201&lt;'Факт продаж'!$M$24,0,1)),$AB$1:$AC$4,2,FALSE),"НЕТ ПРОДАЖ")</f>
        <v>НЕТ ПРОДАЖ</v>
      </c>
      <c r="AC201" s="10" t="str">
        <f>IFERROR(VLOOKUP(VALUE(IF(R201&lt;1,1,0)&amp;IF(P201&lt;'Факт продаж'!$V$24,0,1)),$AB$1:$AC$4,2,FALSE),"НЕТ ПРОДАЖ")</f>
        <v>НЕТ ПРОДАЖ</v>
      </c>
      <c r="AD201" s="10" t="str">
        <f>IFERROR(VLOOKUP(VALUE(IF(X201&lt;1,1,0)&amp;IF(V201&lt;'Факт продаж'!$AE$24,0,1)),$AB$1:$AC$4,2,FALSE),"НЕТ ПРОДАЖ")</f>
        <v>Темная лошадка</v>
      </c>
      <c r="AE201" s="18" t="str">
        <f>IFERROR(VLOOKUP(VALUE(IF(Z201&lt;1,1,0)&amp;IF(V201&lt;'Факт продаж'!$AE$24,0,1)),$AB$1:$AC$4,2,FALSE),"НЕТ ПРОДАЖ")</f>
        <v>Темная лошадка</v>
      </c>
      <c r="AF201" s="74" t="str">
        <f>VLOOKUP(B201,'ABC расчет'!B:G,6,0)</f>
        <v>C</v>
      </c>
      <c r="AG201" s="74" t="str">
        <f>VLOOKUP(B201,'ABC расчет'!K:P,6,0)</f>
        <v>C</v>
      </c>
      <c r="AH201" s="74" t="str">
        <f>VLOOKUP(B201,'ABC расчет'!T:Y,6,0)</f>
        <v>C</v>
      </c>
      <c r="AI201" s="74" t="str">
        <f>VLOOKUP(B201,'ABC расчет'!AC:AH,6,0)</f>
        <v>B</v>
      </c>
      <c r="AJ201" s="74"/>
      <c r="AK201" s="74"/>
      <c r="AL201" s="19"/>
      <c r="AM201"/>
      <c r="AN201"/>
    </row>
    <row r="202" spans="1:40" x14ac:dyDescent="0.3">
      <c r="A202" s="51" t="s">
        <v>259</v>
      </c>
      <c r="B202" s="21" t="s">
        <v>161</v>
      </c>
      <c r="C202" s="20">
        <f>IFERROR(VLOOKUP(B202,'Факт продаж'!A:B,2,0),"нет продаж")</f>
        <v>110</v>
      </c>
      <c r="D202" s="47">
        <f>IFERROR(VLOOKUP(B202,'Факт продаж'!A:C,3,0),"нет продаж")</f>
        <v>89285.367700000003</v>
      </c>
      <c r="E202" s="47">
        <f>IFERROR(VLOOKUP(B202,'Факт продаж'!A:E,5,0),"нет продаж")</f>
        <v>29960.246330430942</v>
      </c>
      <c r="F202" s="25">
        <f>IFERROR(VLOOKUP(B202,'Факт продаж'!A:C,3,0)/SUM('План Антонова'!$C$11:$C$13),0)</f>
        <v>6.7795325480059351E-4</v>
      </c>
      <c r="G202" s="5">
        <f>IFERROR(VLOOKUP(B202,'Факт продаж'!J:K,2,0),"нет продаж")</f>
        <v>100</v>
      </c>
      <c r="H202" s="48">
        <f>IFERROR(VLOOKUP(B202,'Факт продаж'!J:L,3,0),"нет продаж")</f>
        <v>133850.03999999998</v>
      </c>
      <c r="I202" s="48">
        <f>IFERROR(VLOOKUP(B202,'Факт продаж'!J:N,5,0),"нет продаж")</f>
        <v>58687.256872511025</v>
      </c>
      <c r="J202" s="7">
        <f>IFERROR(VLOOKUP(B202,'Факт продаж'!J:L,3,0)/SUM('План Антонова'!$C$14:$C$16),0)</f>
        <v>9.2421581808630794E-4</v>
      </c>
      <c r="K202" s="44">
        <f>IFERROR(VLOOKUP(B202,'Факт продаж'!J:O,6,0),"-")</f>
        <v>0.9588375951669581</v>
      </c>
      <c r="L202" s="44">
        <f>IF(AND(F202=0,J202&gt;0),5,IF(J202/F202&gt;5,5,IF(J202/F202=0,0.0000001,J202/F202)))</f>
        <v>1.3632441640215263</v>
      </c>
      <c r="M202" s="5">
        <f>IFERROR(VLOOKUP(B202,'Факт продаж'!S:T,2,0),"нет продаж")</f>
        <v>70</v>
      </c>
      <c r="N202" s="48">
        <f>IFERROR(VLOOKUP(B202,'Факт продаж'!S:U,3,0),"нет продаж")</f>
        <v>76343.649999999994</v>
      </c>
      <c r="O202" s="48">
        <f>IFERROR(VLOOKUP(B202,'Факт продаж'!S:W,5,0),"нет продаж")</f>
        <v>26443.634220139018</v>
      </c>
      <c r="P202" s="7">
        <f>IFERROR(VLOOKUP(B202,'Факт продаж'!S:U,3,0)/SUM('План Антонова'!$C$17:$C$19),0)</f>
        <v>4.6501301738608163E-4</v>
      </c>
      <c r="Q202" s="44">
        <f>IFERROR(VLOOKUP(B202,'Факт продаж'!S:X,6,0),"-")</f>
        <v>-0.54941437665788817</v>
      </c>
      <c r="R202" s="44">
        <f>IF(AND(J202=0,P202&gt;0),5,IF(P202/J202&gt;5,5,IF(P202/J202=0,0.0000001,P202/J202)))</f>
        <v>0.50314332246438176</v>
      </c>
      <c r="S202" s="16">
        <f>IFERROR(VLOOKUP(B202,'Факт продаж'!AB:AD,2,0),"нет продаж")</f>
        <v>41</v>
      </c>
      <c r="T202" s="16">
        <f>IFERROR(VLOOKUP(B202,'Факт продаж'!AB:AD,3,0),"нет продаж")</f>
        <v>42209.3</v>
      </c>
      <c r="U202" s="16">
        <f>IFERROR(VLOOKUP(B202,'Факт продаж'!AB:AF,5,0),"нет продаж")</f>
        <v>16211.960455187571</v>
      </c>
      <c r="V202" s="7">
        <f>IFERROR(VLOOKUP(B202,'Факт продаж'!AB:AD,3,0)/SUM('План Антонова'!$C$20:$C$22),0)</f>
        <v>2.743054606021451E-4</v>
      </c>
      <c r="W202" s="44">
        <f>IFERROR(VLOOKUP(B202,'Факт продаж'!AB:AG,6,0),"-")</f>
        <v>-0.38692388798659072</v>
      </c>
      <c r="X202" s="44">
        <f>IF(AND(P202=0,V202&gt;0),5,IF(V202/P202&gt;5,5,IF(V202/P202=0,0.0000001,V202/P202)))</f>
        <v>0.58988770280897385</v>
      </c>
      <c r="Y202" s="44">
        <f>IFERROR(VLOOKUP(B202,'Факт продаж'!AB:AH,7,0),"-")</f>
        <v>-0.45888427363426221</v>
      </c>
      <c r="Z202" s="44">
        <f>IF(AND(F202=0,V202&gt;0),5,IF(V202/F202&gt;5,5,IF(V202/F202=0,0.0000001,V202/F202)))</f>
        <v>0.40460822137778008</v>
      </c>
      <c r="AB202" s="10" t="str">
        <f>IFERROR(VLOOKUP(VALUE(IF(L202&lt;1,1,0)&amp;IF(J202&lt;'Факт продаж'!$M$24,0,1)),$AB$1:$AC$4,2,FALSE),"НЕТ ПРОДАЖ")</f>
        <v>Звезда</v>
      </c>
      <c r="AC202" s="10" t="str">
        <f>IFERROR(VLOOKUP(VALUE(IF(R202&lt;1,1,0)&amp;IF(P202&lt;'Факт продаж'!$V$24,0,1)),$AB$1:$AC$4,2,FALSE),"НЕТ ПРОДАЖ")</f>
        <v>Собака</v>
      </c>
      <c r="AD202" s="10" t="str">
        <f>IFERROR(VLOOKUP(VALUE(IF(X202&lt;1,1,0)&amp;IF(V202&lt;'Факт продаж'!$AE$24,0,1)),$AB$1:$AC$4,2,FALSE),"НЕТ ПРОДАЖ")</f>
        <v>Собака</v>
      </c>
      <c r="AE202" s="18" t="str">
        <f>IFERROR(VLOOKUP(VALUE(IF(Z202&lt;1,1,0)&amp;IF(V202&lt;'Факт продаж'!$AE$24,0,1)),$AB$1:$AC$4,2,FALSE),"НЕТ ПРОДАЖ")</f>
        <v>Собака</v>
      </c>
      <c r="AF202" s="74" t="str">
        <f>VLOOKUP(B202,'ABC расчет'!B:G,6,0)</f>
        <v>C</v>
      </c>
      <c r="AG202" s="74" t="str">
        <f>VLOOKUP(B202,'ABC расчет'!K:P,6,0)</f>
        <v>C</v>
      </c>
      <c r="AH202" s="74" t="str">
        <f>VLOOKUP(B202,'ABC расчет'!T:Y,6,0)</f>
        <v>C</v>
      </c>
      <c r="AI202" s="74" t="str">
        <f>VLOOKUP(B202,'ABC расчет'!AC:AH,6,0)</f>
        <v>C</v>
      </c>
      <c r="AJ202" s="74"/>
      <c r="AK202" s="74"/>
      <c r="AL202" s="5"/>
    </row>
    <row r="203" spans="1:40" x14ac:dyDescent="0.3">
      <c r="A203" s="51" t="s">
        <v>116</v>
      </c>
      <c r="B203" s="21" t="s">
        <v>190</v>
      </c>
      <c r="C203" s="20">
        <f>IFERROR(VLOOKUP(B203,'Факт продаж'!A:B,2,0),"нет продаж")</f>
        <v>13</v>
      </c>
      <c r="D203" s="47">
        <f>IFERROR(VLOOKUP(B203,'Факт продаж'!A:C,3,0),"нет продаж")</f>
        <v>65148.373800000001</v>
      </c>
      <c r="E203" s="47">
        <f>IFERROR(VLOOKUP(B203,'Факт продаж'!A:E,5,0),"нет продаж")</f>
        <v>20635.900155818239</v>
      </c>
      <c r="F203" s="25">
        <f>IFERROR(VLOOKUP(B203,'Факт продаж'!A:C,3,0)/SUM('План Антонова'!$C$11:$C$13),0)</f>
        <v>4.9467850332519502E-4</v>
      </c>
      <c r="G203" s="5">
        <f>IFERROR(VLOOKUP(B203,'Факт продаж'!J:K,2,0),"нет продаж")</f>
        <v>1</v>
      </c>
      <c r="H203" s="48">
        <f>IFERROR(VLOOKUP(B203,'Факт продаж'!J:L,3,0),"нет продаж")</f>
        <v>3715</v>
      </c>
      <c r="I203" s="48">
        <f>IFERROR(VLOOKUP(B203,'Факт продаж'!J:N,5,0),"нет продаж")</f>
        <v>310.4905500120708</v>
      </c>
      <c r="J203" s="7">
        <f>IFERROR(VLOOKUP(B203,'Факт продаж'!J:L,3,0)/SUM('План Антонова'!$C$14:$C$16),0)</f>
        <v>2.5651555757403096E-5</v>
      </c>
      <c r="K203" s="44">
        <f>IFERROR(VLOOKUP(B203,'Факт продаж'!J:O,6,0),"-")</f>
        <v>-0.984953864495001</v>
      </c>
      <c r="L203" s="44">
        <f>IF(AND(F203=0,J203&gt;0),5,IF(J203/F203&gt;5,5,IF(J203/F203=0,0.0000001,J203/F203)))</f>
        <v>5.1855003977280385E-2</v>
      </c>
      <c r="M203" s="5">
        <f>IFERROR(VLOOKUP(B203,'Факт продаж'!S:T,2,0),"нет продаж")</f>
        <v>47</v>
      </c>
      <c r="N203" s="48">
        <f>IFERROR(VLOOKUP(B203,'Факт продаж'!S:U,3,0),"нет продаж")</f>
        <v>215664.25</v>
      </c>
      <c r="O203" s="48">
        <f>IFERROR(VLOOKUP(B203,'Факт продаж'!S:W,5,0),"нет продаж")</f>
        <v>81081.708583990549</v>
      </c>
      <c r="P203" s="7">
        <f>IFERROR(VLOOKUP(B203,'Факт продаж'!S:U,3,0)/SUM('План Антонова'!$C$17:$C$19),0)</f>
        <v>1.3136218092114572E-3</v>
      </c>
      <c r="Q203" s="44">
        <f>IFERROR(VLOOKUP(B203,'Факт продаж'!S:X,6,0),"-")</f>
        <v>260.14066460585798</v>
      </c>
      <c r="R203" s="44">
        <f>IF(AND(J203=0,P203&gt;0),5,IF(P203/J203&gt;5,5,IF(P203/J203=0,0.0000001,P203/J203)))</f>
        <v>5</v>
      </c>
      <c r="S203" s="16">
        <f>IFERROR(VLOOKUP(B203,'Факт продаж'!AB:AD,2,0),"нет продаж")</f>
        <v>7</v>
      </c>
      <c r="T203" s="16">
        <f>IFERROR(VLOOKUP(B203,'Факт продаж'!AB:AD,3,0),"нет продаж")</f>
        <v>37533.5</v>
      </c>
      <c r="U203" s="16">
        <f>IFERROR(VLOOKUP(B203,'Факт продаж'!AB:AF,5,0),"нет продаж")</f>
        <v>15765.776787967396</v>
      </c>
      <c r="V203" s="7">
        <f>IFERROR(VLOOKUP(B203,'Факт продаж'!AB:AD,3,0)/SUM('План Антонова'!$C$20:$C$22),0)</f>
        <v>2.439188521371028E-4</v>
      </c>
      <c r="W203" s="44">
        <f>IFERROR(VLOOKUP(B203,'Факт продаж'!AB:AG,6,0),"-")</f>
        <v>-0.80555692444941496</v>
      </c>
      <c r="X203" s="44">
        <f>IF(AND(P203=0,V203&gt;0),5,IF(V203/P203&gt;5,5,IF(V203/P203=0,0.0000001,V203/P203)))</f>
        <v>0.18568422846414431</v>
      </c>
      <c r="Y203" s="44">
        <f>IFERROR(VLOOKUP(B203,'Факт продаж'!AB:AH,7,0),"-")</f>
        <v>-0.23600246808122516</v>
      </c>
      <c r="Z203" s="44">
        <f>IF(AND(F203=0,V203&gt;0),5,IF(V203/F203&gt;5,5,IF(V203/F203=0,0.0000001,V203/F203)))</f>
        <v>0.49308561115451144</v>
      </c>
      <c r="AB203" s="10" t="str">
        <f>IFERROR(VLOOKUP(VALUE(IF(L203&lt;1,1,0)&amp;IF(J203&lt;'Факт продаж'!$M$24,0,1)),$AB$1:$AC$4,2,FALSE),"НЕТ ПРОДАЖ")</f>
        <v>Собака</v>
      </c>
      <c r="AC203" s="10" t="str">
        <f>IFERROR(VLOOKUP(VALUE(IF(R203&lt;1,1,0)&amp;IF(P203&lt;'Факт продаж'!$V$24,0,1)),$AB$1:$AC$4,2,FALSE),"НЕТ ПРОДАЖ")</f>
        <v>Звезда</v>
      </c>
      <c r="AD203" s="10" t="str">
        <f>IFERROR(VLOOKUP(VALUE(IF(X203&lt;1,1,0)&amp;IF(V203&lt;'Факт продаж'!$AE$24,0,1)),$AB$1:$AC$4,2,FALSE),"НЕТ ПРОДАЖ")</f>
        <v>Собака</v>
      </c>
      <c r="AE203" s="18" t="str">
        <f>IFERROR(VLOOKUP(VALUE(IF(Z203&lt;1,1,0)&amp;IF(V203&lt;'Факт продаж'!$AE$24,0,1)),$AB$1:$AC$4,2,FALSE),"НЕТ ПРОДАЖ")</f>
        <v>Собака</v>
      </c>
      <c r="AF203" s="74" t="str">
        <f>VLOOKUP(B203,'ABC расчет'!B:G,6,0)</f>
        <v>C</v>
      </c>
      <c r="AG203" s="74" t="str">
        <f>VLOOKUP(B203,'ABC расчет'!K:P,6,0)</f>
        <v>C</v>
      </c>
      <c r="AH203" s="74" t="str">
        <f>VLOOKUP(B203,'ABC расчет'!T:Y,6,0)</f>
        <v>C</v>
      </c>
      <c r="AI203" s="74" t="str">
        <f>VLOOKUP(B203,'ABC расчет'!AC:AH,6,0)</f>
        <v>C</v>
      </c>
      <c r="AJ203" s="74"/>
      <c r="AK203" s="74"/>
      <c r="AL203" s="19"/>
    </row>
    <row r="204" spans="1:40" x14ac:dyDescent="0.3">
      <c r="A204" s="51" t="s">
        <v>252</v>
      </c>
      <c r="B204" s="54" t="s">
        <v>84</v>
      </c>
      <c r="C204" s="20">
        <f>IFERROR(VLOOKUP(B204,'Факт продаж'!A:B,2,0),"нет продаж")</f>
        <v>58</v>
      </c>
      <c r="D204" s="47">
        <f>IFERROR(VLOOKUP(B204,'Факт продаж'!A:C,3,0),"нет продаж")</f>
        <v>62196.559699999998</v>
      </c>
      <c r="E204" s="47">
        <f>IFERROR(VLOOKUP(B204,'Факт продаж'!A:E,5,0),"нет продаж")</f>
        <v>28463.293982459974</v>
      </c>
      <c r="F204" s="25">
        <f>IFERROR(VLOOKUP(B204,'Факт продаж'!A:C,3,0)/SUM('План Антонова'!$C$11:$C$13),0)</f>
        <v>4.7226506618300486E-4</v>
      </c>
      <c r="G204" s="5">
        <f>IFERROR(VLOOKUP(B204,'Факт продаж'!J:K,2,0),"нет продаж")</f>
        <v>4</v>
      </c>
      <c r="H204" s="48">
        <f>IFERROR(VLOOKUP(B204,'Факт продаж'!J:L,3,0),"нет продаж")</f>
        <v>5364</v>
      </c>
      <c r="I204" s="48">
        <f>IFERROR(VLOOKUP(B204,'Факт продаж'!J:N,5,0),"нет продаж")</f>
        <v>2286.1771388785774</v>
      </c>
      <c r="J204" s="7">
        <f>IFERROR(VLOOKUP(B204,'Факт продаж'!J:L,3,0)/SUM('План Антонова'!$C$14:$C$16),0)</f>
        <v>3.7037670277983905E-5</v>
      </c>
      <c r="K204" s="44">
        <f>IFERROR(VLOOKUP(B204,'Факт продаж'!J:O,6,0),"-")</f>
        <v>-0.91967981146920674</v>
      </c>
      <c r="L204" s="44">
        <f>IF(AND(F204=0,J204&gt;0),5,IF(J204/F204&gt;5,5,IF(J204/F204=0,0.0000001,J204/F204)))</f>
        <v>7.8425598101790658E-2</v>
      </c>
      <c r="M204" s="5" t="str">
        <f>IFERROR(VLOOKUP(B204,'Факт продаж'!S:T,2,0),"нет продаж")</f>
        <v>нет продаж</v>
      </c>
      <c r="N204" s="48" t="str">
        <f>IFERROR(VLOOKUP(B204,'Факт продаж'!S:U,3,0),"нет продаж")</f>
        <v>нет продаж</v>
      </c>
      <c r="O204" s="48" t="str">
        <f>IFERROR(VLOOKUP(B204,'Факт продаж'!S:W,5,0),"нет продаж")</f>
        <v>нет продаж</v>
      </c>
      <c r="P204" s="7">
        <f>IFERROR(VLOOKUP(B204,'Факт продаж'!S:U,3,0)/SUM('План Антонова'!$C$17:$C$19),0)</f>
        <v>0</v>
      </c>
      <c r="Q204" s="44" t="str">
        <f>IFERROR(VLOOKUP(B204,'Факт продаж'!S:X,6,0),"-")</f>
        <v>-</v>
      </c>
      <c r="R204" s="44">
        <f>IF(AND(J204=0,P204&gt;0),5,IF(P204/J204&gt;5,5,IF(P204/J204=0,0.0000001,P204/J204)))</f>
        <v>9.9999999999999995E-8</v>
      </c>
      <c r="S204" s="16">
        <f>IFERROR(VLOOKUP(B204,'Факт продаж'!AB:AD,2,0),"нет продаж")</f>
        <v>26</v>
      </c>
      <c r="T204" s="16">
        <f>IFERROR(VLOOKUP(B204,'Факт продаж'!AB:AD,3,0),"нет продаж")</f>
        <v>33567</v>
      </c>
      <c r="U204" s="16">
        <f>IFERROR(VLOOKUP(B204,'Факт продаж'!AB:AF,5,0),"нет продаж")</f>
        <v>14747.161012564884</v>
      </c>
      <c r="V204" s="7">
        <f>IFERROR(VLOOKUP(B204,'Факт продаж'!AB:AD,3,0)/SUM('План Антонова'!$C$20:$C$22),0)</f>
        <v>2.1814176961077781E-4</v>
      </c>
      <c r="W204" s="44">
        <f>IFERROR(VLOOKUP(B204,'Факт продаж'!AB:AG,6,0),"-")</f>
        <v>1</v>
      </c>
      <c r="X204" s="44">
        <f>IF(AND(P204=0,V204&gt;0),5,IF(V204/P204&gt;5,5,IF(V204/P204=0,0.0000001,V204/P204)))</f>
        <v>5</v>
      </c>
      <c r="Y204" s="44">
        <f>IFERROR(VLOOKUP(B204,'Факт продаж'!AB:AH,7,0),"-")</f>
        <v>-0.48188846232440374</v>
      </c>
      <c r="Z204" s="44">
        <f>IF(AND(F204=0,V204&gt;0),5,IF(V204/F204&gt;5,5,IF(V204/F204=0,0.0000001,V204/F204)))</f>
        <v>0.46190536889350797</v>
      </c>
      <c r="AB204" s="10" t="str">
        <f>IFERROR(VLOOKUP(VALUE(IF(L204&lt;1,1,0)&amp;IF(J204&lt;'Факт продаж'!$M$24,0,1)),$AB$1:$AC$4,2,FALSE),"НЕТ ПРОДАЖ")</f>
        <v>Собака</v>
      </c>
      <c r="AC204" s="10" t="str">
        <f>IFERROR(VLOOKUP(VALUE(IF(R204&lt;1,1,0)&amp;IF(P204&lt;'Факт продаж'!$V$24,0,1)),$AB$1:$AC$4,2,FALSE),"НЕТ ПРОДАЖ")</f>
        <v>Собака</v>
      </c>
      <c r="AD204" s="10" t="str">
        <f>IFERROR(VLOOKUP(VALUE(IF(X204&lt;1,1,0)&amp;IF(V204&lt;'Факт продаж'!$AE$24,0,1)),$AB$1:$AC$4,2,FALSE),"НЕТ ПРОДАЖ")</f>
        <v>Темная лошадка</v>
      </c>
      <c r="AE204" s="18" t="str">
        <f>IFERROR(VLOOKUP(VALUE(IF(Z204&lt;1,1,0)&amp;IF(V204&lt;'Факт продаж'!$AE$24,0,1)),$AB$1:$AC$4,2,FALSE),"НЕТ ПРОДАЖ")</f>
        <v>Собака</v>
      </c>
      <c r="AF204" s="74" t="str">
        <f>VLOOKUP(B204,'ABC расчет'!B:G,6,0)</f>
        <v>B</v>
      </c>
      <c r="AG204" s="74" t="str">
        <f>VLOOKUP(B204,'ABC расчет'!K:P,6,0)</f>
        <v>C</v>
      </c>
      <c r="AH204" s="74" t="str">
        <f>VLOOKUP(B204,'ABC расчет'!T:Y,6,0)</f>
        <v>C</v>
      </c>
      <c r="AI204" s="74" t="str">
        <f>VLOOKUP(B204,'ABC расчет'!AC:AH,6,0)</f>
        <v>C</v>
      </c>
      <c r="AJ204" s="74"/>
      <c r="AK204" s="74"/>
      <c r="AL204" s="19"/>
    </row>
    <row r="205" spans="1:40" x14ac:dyDescent="0.3">
      <c r="A205" s="51" t="s">
        <v>271</v>
      </c>
      <c r="B205" s="21" t="s">
        <v>296</v>
      </c>
      <c r="C205" s="20" t="str">
        <f>IFERROR(VLOOKUP(B205,'Факт продаж'!A:B,2,0),"нет продаж")</f>
        <v>нет продаж</v>
      </c>
      <c r="D205" s="47" t="str">
        <f>IFERROR(VLOOKUP(B205,'Факт продаж'!A:C,3,0),"нет продаж")</f>
        <v>нет продаж</v>
      </c>
      <c r="E205" s="47" t="str">
        <f>IFERROR(VLOOKUP(B205,'Факт продаж'!A:E,5,0),"нет продаж")</f>
        <v>нет продаж</v>
      </c>
      <c r="F205" s="25">
        <f>IFERROR(VLOOKUP(B205,'Факт продаж'!A:C,3,0)/SUM('План Антонова'!$C$11:$C$13),0)</f>
        <v>0</v>
      </c>
      <c r="G205" s="5" t="str">
        <f>IFERROR(VLOOKUP(B205,'Факт продаж'!J:K,2,0),"нет продаж")</f>
        <v>нет продаж</v>
      </c>
      <c r="H205" s="48" t="str">
        <f>IFERROR(VLOOKUP(B205,'Факт продаж'!J:L,3,0),"нет продаж")</f>
        <v>нет продаж</v>
      </c>
      <c r="I205" s="48" t="str">
        <f>IFERROR(VLOOKUP(B205,'Факт продаж'!J:N,5,0),"нет продаж")</f>
        <v>нет продаж</v>
      </c>
      <c r="J205" s="7">
        <f>IFERROR(VLOOKUP(B205,'Факт продаж'!J:L,3,0)/SUM('План Антонова'!$C$14:$C$16),0)</f>
        <v>0</v>
      </c>
      <c r="K205" s="44" t="str">
        <f>IFERROR(VLOOKUP(B205,'Факт продаж'!J:O,6,0),"-")</f>
        <v>-</v>
      </c>
      <c r="L205" s="44" t="e">
        <f>IF(AND(F205=0,J205&gt;0),5,IF(J205/F205&gt;5,5,IF(J205/F205=0,0.0000001,J205/F205)))</f>
        <v>#DIV/0!</v>
      </c>
      <c r="M205" s="5">
        <f>IFERROR(VLOOKUP(B205,'Факт продаж'!S:T,2,0),"нет продаж")</f>
        <v>1</v>
      </c>
      <c r="N205" s="48">
        <f>IFERROR(VLOOKUP(B205,'Факт продаж'!S:U,3,0),"нет продаж")</f>
        <v>1391.75</v>
      </c>
      <c r="O205" s="48">
        <f>IFERROR(VLOOKUP(B205,'Факт продаж'!S:W,5,0),"нет продаж")</f>
        <v>745.69253700909019</v>
      </c>
      <c r="P205" s="7">
        <f>IFERROR(VLOOKUP(B205,'Факт продаж'!S:U,3,0)/SUM('План Антонова'!$C$17:$C$19),0)</f>
        <v>8.4772193489187269E-6</v>
      </c>
      <c r="Q205" s="44">
        <f>IFERROR(VLOOKUP(B205,'Факт продаж'!S:X,6,0),"-")</f>
        <v>1</v>
      </c>
      <c r="R205" s="44">
        <f>IF(AND(J205=0,P205&gt;0),5,IF(P205/J205&gt;5,5,IF(P205/J205=0,0.0000001,P205/J205)))</f>
        <v>5</v>
      </c>
      <c r="S205" s="16">
        <f>IFERROR(VLOOKUP(B205,'Факт продаж'!AB:AD,2,0),"нет продаж")</f>
        <v>18</v>
      </c>
      <c r="T205" s="16">
        <f>IFERROR(VLOOKUP(B205,'Факт продаж'!AB:AD,3,0),"нет продаж")</f>
        <v>29125</v>
      </c>
      <c r="U205" s="16">
        <f>IFERROR(VLOOKUP(B205,'Факт продаж'!AB:AF,5,0),"нет продаж")</f>
        <v>14648.665058602561</v>
      </c>
      <c r="V205" s="7">
        <f>IFERROR(VLOOKUP(B205,'Факт продаж'!AB:AD,3,0)/SUM('План Антонова'!$C$20:$C$22),0)</f>
        <v>1.8927455655595984E-4</v>
      </c>
      <c r="W205" s="44">
        <f>IFERROR(VLOOKUP(B205,'Факт продаж'!AB:AG,6,0),"-")</f>
        <v>18.644376645308963</v>
      </c>
      <c r="X205" s="44">
        <f>IF(AND(P205=0,V205&gt;0),5,IF(V205/P205&gt;5,5,IF(V205/P205=0,0.0000001,V205/P205)))</f>
        <v>5</v>
      </c>
      <c r="Y205" s="44">
        <f>IFERROR(VLOOKUP(B205,'Факт продаж'!AB:AH,7,0),"-")</f>
        <v>1</v>
      </c>
      <c r="Z205" s="44">
        <f>IF(AND(F205=0,V205&gt;0),5,IF(V205/F205&gt;5,5,IF(V205/F205=0,0.0000001,V205/F205)))</f>
        <v>5</v>
      </c>
      <c r="AB205" s="10" t="str">
        <f>IFERROR(VLOOKUP(VALUE(IF(L205&lt;1,1,0)&amp;IF(J205&lt;'Факт продаж'!$M$24,0,1)),$AB$1:$AC$4,2,FALSE),"НЕТ ПРОДАЖ")</f>
        <v>НЕТ ПРОДАЖ</v>
      </c>
      <c r="AC205" s="10" t="str">
        <f>IFERROR(VLOOKUP(VALUE(IF(R205&lt;1,1,0)&amp;IF(P205&lt;'Факт продаж'!$V$24,0,1)),$AB$1:$AC$4,2,FALSE),"НЕТ ПРОДАЖ")</f>
        <v>Темная лошадка</v>
      </c>
      <c r="AD205" s="10" t="str">
        <f>IFERROR(VLOOKUP(VALUE(IF(X205&lt;1,1,0)&amp;IF(V205&lt;'Факт продаж'!$AE$24,0,1)),$AB$1:$AC$4,2,FALSE),"НЕТ ПРОДАЖ")</f>
        <v>Темная лошадка</v>
      </c>
      <c r="AE205" s="18" t="str">
        <f>IFERROR(VLOOKUP(VALUE(IF(Z205&lt;1,1,0)&amp;IF(V205&lt;'Факт продаж'!$AE$24,0,1)),$AB$1:$AC$4,2,FALSE),"НЕТ ПРОДАЖ")</f>
        <v>Темная лошадка</v>
      </c>
      <c r="AF205" s="74" t="str">
        <f>VLOOKUP(B205,'ABC расчет'!B:G,6,0)</f>
        <v>C</v>
      </c>
      <c r="AG205" s="74" t="str">
        <f>VLOOKUP(B205,'ABC расчет'!K:P,6,0)</f>
        <v>C</v>
      </c>
      <c r="AH205" s="74" t="str">
        <f>VLOOKUP(B205,'ABC расчет'!T:Y,6,0)</f>
        <v>C</v>
      </c>
      <c r="AI205" s="74" t="str">
        <f>VLOOKUP(B205,'ABC расчет'!AC:AH,6,0)</f>
        <v>C</v>
      </c>
      <c r="AJ205" s="74"/>
      <c r="AK205" s="74"/>
      <c r="AL205" s="19"/>
    </row>
    <row r="206" spans="1:40" x14ac:dyDescent="0.3">
      <c r="A206" s="51" t="s">
        <v>247</v>
      </c>
      <c r="B206" s="21" t="s">
        <v>209</v>
      </c>
      <c r="C206" s="20">
        <f>IFERROR(VLOOKUP(B206,'Факт продаж'!A:B,2,0),"нет продаж")</f>
        <v>302</v>
      </c>
      <c r="D206" s="47">
        <f>IFERROR(VLOOKUP(B206,'Факт продаж'!A:C,3,0),"нет продаж")</f>
        <v>148869.7138</v>
      </c>
      <c r="E206" s="47">
        <f>IFERROR(VLOOKUP(B206,'Факт продаж'!A:E,5,0),"нет продаж")</f>
        <v>65831.794537204973</v>
      </c>
      <c r="F206" s="25">
        <f>IFERROR(VLOOKUP(B206,'Факт продаж'!A:C,3,0)/SUM('План Антонова'!$C$11:$C$13),0)</f>
        <v>1.1303835064112395E-3</v>
      </c>
      <c r="G206" s="5">
        <f>IFERROR(VLOOKUP(B206,'Факт продаж'!J:K,2,0),"нет продаж")</f>
        <v>346</v>
      </c>
      <c r="H206" s="48">
        <f>IFERROR(VLOOKUP(B206,'Факт продаж'!J:L,3,0),"нет продаж")</f>
        <v>180237.5</v>
      </c>
      <c r="I206" s="48">
        <f>IFERROR(VLOOKUP(B206,'Факт продаж'!J:N,5,0),"нет продаж")</f>
        <v>64007.967018150157</v>
      </c>
      <c r="J206" s="7">
        <f>IFERROR(VLOOKUP(B206,'Факт продаж'!J:L,3,0)/SUM('План Антонова'!$C$14:$C$16),0)</f>
        <v>1.2445147458478977E-3</v>
      </c>
      <c r="K206" s="44">
        <f>IFERROR(VLOOKUP(B206,'Факт продаж'!J:O,6,0),"-")</f>
        <v>-2.7704356715113954E-2</v>
      </c>
      <c r="L206" s="44">
        <f>IF(AND(F206=0,J206&gt;0),5,IF(J206/F206&gt;5,5,IF(J206/F206=0,0.0000001,J206/F206)))</f>
        <v>1.1009668300973392</v>
      </c>
      <c r="M206" s="5">
        <f>IFERROR(VLOOKUP(B206,'Факт продаж'!S:T,2,0),"нет продаж")</f>
        <v>115</v>
      </c>
      <c r="N206" s="48">
        <f>IFERROR(VLOOKUP(B206,'Факт продаж'!S:U,3,0),"нет продаж")</f>
        <v>64005.100000000006</v>
      </c>
      <c r="O206" s="48">
        <f>IFERROR(VLOOKUP(B206,'Факт продаж'!S:W,5,0),"нет продаж")</f>
        <v>21189.117839697225</v>
      </c>
      <c r="P206" s="7">
        <f>IFERROR(VLOOKUP(B206,'Факт продаж'!S:U,3,0)/SUM('План Антонова'!$C$17:$C$19),0)</f>
        <v>3.898582878746025E-4</v>
      </c>
      <c r="Q206" s="44">
        <f>IFERROR(VLOOKUP(B206,'Факт продаж'!S:X,6,0),"-")</f>
        <v>-0.66896124300137794</v>
      </c>
      <c r="R206" s="44">
        <f>IF(AND(J206=0,P206&gt;0),5,IF(P206/J206&gt;5,5,IF(P206/J206=0,0.0000001,P206/J206)))</f>
        <v>0.31326128450891833</v>
      </c>
      <c r="S206" s="16">
        <f>IFERROR(VLOOKUP(B206,'Факт продаж'!AB:AD,2,0),"нет продаж")</f>
        <v>58</v>
      </c>
      <c r="T206" s="16">
        <f>IFERROR(VLOOKUP(B206,'Факт продаж'!AB:AD,3,0),"нет продаж")</f>
        <v>36998.800000000003</v>
      </c>
      <c r="U206" s="16">
        <f>IFERROR(VLOOKUP(B206,'Факт продаж'!AB:AF,5,0),"нет продаж")</f>
        <v>14428.594379682218</v>
      </c>
      <c r="V206" s="7">
        <f>IFERROR(VLOOKUP(B206,'Факт продаж'!AB:AD,3,0)/SUM('План Антонова'!$C$20:$C$22),0)</f>
        <v>2.4044399873313812E-4</v>
      </c>
      <c r="W206" s="44">
        <f>IFERROR(VLOOKUP(B206,'Факт продаж'!AB:AG,6,0),"-")</f>
        <v>-0.31905639069831182</v>
      </c>
      <c r="X206" s="44">
        <f>IF(AND(P206=0,V206&gt;0),5,IF(V206/P206&gt;5,5,IF(V206/P206=0,0.0000001,V206/P206)))</f>
        <v>0.61674717765773568</v>
      </c>
      <c r="Y206" s="44">
        <f>IFERROR(VLOOKUP(B206,'Факт продаж'!AB:AH,7,0),"-")</f>
        <v>-0.7808263547862444</v>
      </c>
      <c r="Z206" s="44">
        <f>IF(AND(F206=0,V206&gt;0),5,IF(V206/F206&gt;5,5,IF(V206/F206=0,0.0000001,V206/F206)))</f>
        <v>0.21271010888729591</v>
      </c>
      <c r="AB206" s="10" t="str">
        <f>IFERROR(VLOOKUP(VALUE(IF(L206&lt;1,1,0)&amp;IF(J206&lt;'Факт продаж'!$M$24,0,1)),$AB$1:$AC$4,2,FALSE),"НЕТ ПРОДАЖ")</f>
        <v>Звезда</v>
      </c>
      <c r="AC206" s="10" t="str">
        <f>IFERROR(VLOOKUP(VALUE(IF(R206&lt;1,1,0)&amp;IF(P206&lt;'Факт продаж'!$V$24,0,1)),$AB$1:$AC$4,2,FALSE),"НЕТ ПРОДАЖ")</f>
        <v>Собака</v>
      </c>
      <c r="AD206" s="10" t="str">
        <f>IFERROR(VLOOKUP(VALUE(IF(X206&lt;1,1,0)&amp;IF(V206&lt;'Факт продаж'!$AE$24,0,1)),$AB$1:$AC$4,2,FALSE),"НЕТ ПРОДАЖ")</f>
        <v>Собака</v>
      </c>
      <c r="AE206" s="18" t="str">
        <f>IFERROR(VLOOKUP(VALUE(IF(Z206&lt;1,1,0)&amp;IF(V206&lt;'Факт продаж'!$AE$24,0,1)),$AB$1:$AC$4,2,FALSE),"НЕТ ПРОДАЖ")</f>
        <v>Собака</v>
      </c>
      <c r="AF206" s="74" t="str">
        <f>VLOOKUP(B206,'ABC расчет'!B:G,6,0)</f>
        <v>A</v>
      </c>
      <c r="AG206" s="74" t="str">
        <f>VLOOKUP(B206,'ABC расчет'!K:P,6,0)</f>
        <v>A</v>
      </c>
      <c r="AH206" s="74" t="str">
        <f>VLOOKUP(B206,'ABC расчет'!T:Y,6,0)</f>
        <v>B</v>
      </c>
      <c r="AI206" s="74" t="str">
        <f>VLOOKUP(B206,'ABC расчет'!AC:AH,6,0)</f>
        <v>B</v>
      </c>
      <c r="AJ206" s="74"/>
      <c r="AK206" s="74"/>
      <c r="AL206" s="19"/>
    </row>
    <row r="207" spans="1:40" x14ac:dyDescent="0.3">
      <c r="A207" s="51" t="s">
        <v>249</v>
      </c>
      <c r="B207" s="21" t="s">
        <v>232</v>
      </c>
      <c r="C207" s="20">
        <f>IFERROR(VLOOKUP(B207,'Факт продаж'!A:B,2,0),"нет продаж")</f>
        <v>5</v>
      </c>
      <c r="D207" s="47">
        <f>IFERROR(VLOOKUP(B207,'Факт продаж'!A:C,3,0),"нет продаж")</f>
        <v>14228.501799999998</v>
      </c>
      <c r="E207" s="47">
        <f>IFERROR(VLOOKUP(B207,'Факт продаж'!A:E,5,0),"нет продаж")</f>
        <v>7612.9309704308889</v>
      </c>
      <c r="F207" s="25">
        <f>IFERROR(VLOOKUP(B207,'Факт продаж'!A:C,3,0)/SUM('План Антонова'!$C$11:$C$13),0)</f>
        <v>1.0803852136956706E-4</v>
      </c>
      <c r="G207" s="5">
        <f>IFERROR(VLOOKUP(B207,'Факт продаж'!J:K,2,0),"нет продаж")</f>
        <v>6</v>
      </c>
      <c r="H207" s="48">
        <f>IFERROR(VLOOKUP(B207,'Факт продаж'!J:L,3,0),"нет продаж")</f>
        <v>15196.6</v>
      </c>
      <c r="I207" s="48">
        <f>IFERROR(VLOOKUP(B207,'Факт продаж'!J:N,5,0),"нет продаж")</f>
        <v>6896.7543499914163</v>
      </c>
      <c r="J207" s="7">
        <f>IFERROR(VLOOKUP(B207,'Факт продаж'!J:L,3,0)/SUM('План Антонова'!$C$14:$C$16),0)</f>
        <v>1.0493039898329795E-4</v>
      </c>
      <c r="K207" s="44">
        <f>IFERROR(VLOOKUP(B207,'Факт продаж'!J:O,6,0),"-")</f>
        <v>-9.4073704755914478E-2</v>
      </c>
      <c r="L207" s="44">
        <f>IF(AND(F207=0,J207&gt;0),5,IF(J207/F207&gt;5,5,IF(J207/F207=0,0.0000001,J207/F207)))</f>
        <v>0.97123135019927598</v>
      </c>
      <c r="M207" s="5">
        <f>IFERROR(VLOOKUP(B207,'Факт продаж'!S:T,2,0),"нет продаж")</f>
        <v>15</v>
      </c>
      <c r="N207" s="48">
        <f>IFERROR(VLOOKUP(B207,'Факт продаж'!S:U,3,0),"нет продаж")</f>
        <v>40406.699999999997</v>
      </c>
      <c r="O207" s="48">
        <f>IFERROR(VLOOKUP(B207,'Факт продаж'!S:W,5,0),"нет продаж")</f>
        <v>12759.807016186756</v>
      </c>
      <c r="P207" s="7">
        <f>IFERROR(VLOOKUP(B207,'Факт продаж'!S:U,3,0)/SUM('План Антонова'!$C$17:$C$19),0)</f>
        <v>2.4611924488302807E-4</v>
      </c>
      <c r="Q207" s="44">
        <f>IFERROR(VLOOKUP(B207,'Факт продаж'!S:X,6,0),"-")</f>
        <v>0.85011765950495777</v>
      </c>
      <c r="R207" s="44">
        <f>IF(AND(J207=0,P207&gt;0),5,IF(P207/J207&gt;5,5,IF(P207/J207=0,0.0000001,P207/J207)))</f>
        <v>2.3455475940980985</v>
      </c>
      <c r="S207" s="16">
        <f>IFERROR(VLOOKUP(B207,'Факт продаж'!AB:AD,2,0),"нет продаж")</f>
        <v>13</v>
      </c>
      <c r="T207" s="16">
        <f>IFERROR(VLOOKUP(B207,'Факт продаж'!AB:AD,3,0),"нет продаж")</f>
        <v>37934.300000000003</v>
      </c>
      <c r="U207" s="16">
        <f>IFERROR(VLOOKUP(B207,'Факт продаж'!AB:AF,5,0),"нет продаж")</f>
        <v>14389.551331345414</v>
      </c>
      <c r="V207" s="7">
        <f>IFERROR(VLOOKUP(B207,'Факт продаж'!AB:AD,3,0)/SUM('План Антонова'!$C$20:$C$22),0)</f>
        <v>2.4652352998320165E-4</v>
      </c>
      <c r="W207" s="44">
        <f>IFERROR(VLOOKUP(B207,'Факт продаж'!AB:AG,6,0),"-")</f>
        <v>0.12772484043772825</v>
      </c>
      <c r="X207" s="44">
        <f>IF(AND(P207=0,V207&gt;0),5,IF(V207/P207&gt;5,5,IF(V207/P207=0,0.0000001,V207/P207)))</f>
        <v>1.0016426391213971</v>
      </c>
      <c r="Y207" s="44">
        <f>IFERROR(VLOOKUP(B207,'Факт продаж'!AB:AH,7,0),"-")</f>
        <v>0.89014604062947011</v>
      </c>
      <c r="Z207" s="44">
        <f>IF(AND(F207=0,V207&gt;0),5,IF(V207/F207&gt;5,5,IF(V207/F207=0,0.0000001,V207/F207)))</f>
        <v>2.2818114026192502</v>
      </c>
      <c r="AB207" s="10" t="str">
        <f>IFERROR(VLOOKUP(VALUE(IF(L207&lt;1,1,0)&amp;IF(J207&lt;'Факт продаж'!$M$24,0,1)),$AB$1:$AC$4,2,FALSE),"НЕТ ПРОДАЖ")</f>
        <v>Собака</v>
      </c>
      <c r="AC207" s="10" t="str">
        <f>IFERROR(VLOOKUP(VALUE(IF(R207&lt;1,1,0)&amp;IF(P207&lt;'Факт продаж'!$V$24,0,1)),$AB$1:$AC$4,2,FALSE),"НЕТ ПРОДАЖ")</f>
        <v>Темная лошадка</v>
      </c>
      <c r="AD207" s="10" t="str">
        <f>IFERROR(VLOOKUP(VALUE(IF(X207&lt;1,1,0)&amp;IF(V207&lt;'Факт продаж'!$AE$24,0,1)),$AB$1:$AC$4,2,FALSE),"НЕТ ПРОДАЖ")</f>
        <v>Темная лошадка</v>
      </c>
      <c r="AE207" s="18" t="str">
        <f>IFERROR(VLOOKUP(VALUE(IF(Z207&lt;1,1,0)&amp;IF(V207&lt;'Факт продаж'!$AE$24,0,1)),$AB$1:$AC$4,2,FALSE),"НЕТ ПРОДАЖ")</f>
        <v>Темная лошадка</v>
      </c>
      <c r="AF207" s="74" t="str">
        <f>VLOOKUP(B207,'ABC расчет'!B:G,6,0)</f>
        <v>C</v>
      </c>
      <c r="AG207" s="74" t="str">
        <f>VLOOKUP(B207,'ABC расчет'!K:P,6,0)</f>
        <v>C</v>
      </c>
      <c r="AH207" s="74" t="str">
        <f>VLOOKUP(B207,'ABC расчет'!T:Y,6,0)</f>
        <v>C</v>
      </c>
      <c r="AI207" s="74" t="str">
        <f>VLOOKUP(B207,'ABC расчет'!AC:AH,6,0)</f>
        <v>C</v>
      </c>
      <c r="AJ207" s="74"/>
      <c r="AK207" s="74"/>
      <c r="AL207" s="19"/>
    </row>
    <row r="208" spans="1:40" x14ac:dyDescent="0.3">
      <c r="A208" s="51" t="s">
        <v>271</v>
      </c>
      <c r="B208" s="21" t="s">
        <v>297</v>
      </c>
      <c r="C208" s="20" t="str">
        <f>IFERROR(VLOOKUP(B208,'Факт продаж'!A:B,2,0),"нет продаж")</f>
        <v>нет продаж</v>
      </c>
      <c r="D208" s="47" t="str">
        <f>IFERROR(VLOOKUP(B208,'Факт продаж'!A:C,3,0),"нет продаж")</f>
        <v>нет продаж</v>
      </c>
      <c r="E208" s="47" t="str">
        <f>IFERROR(VLOOKUP(B208,'Факт продаж'!A:E,5,0),"нет продаж")</f>
        <v>нет продаж</v>
      </c>
      <c r="F208" s="25">
        <f>IFERROR(VLOOKUP(B208,'Факт продаж'!A:C,3,0)/SUM('План Антонова'!$C$11:$C$13),0)</f>
        <v>0</v>
      </c>
      <c r="G208" s="5" t="str">
        <f>IFERROR(VLOOKUP(B208,'Факт продаж'!J:K,2,0),"нет продаж")</f>
        <v>нет продаж</v>
      </c>
      <c r="H208" s="48" t="str">
        <f>IFERROR(VLOOKUP(B208,'Факт продаж'!J:L,3,0),"нет продаж")</f>
        <v>нет продаж</v>
      </c>
      <c r="I208" s="48" t="str">
        <f>IFERROR(VLOOKUP(B208,'Факт продаж'!J:N,5,0),"нет продаж")</f>
        <v>нет продаж</v>
      </c>
      <c r="J208" s="7">
        <f>IFERROR(VLOOKUP(B208,'Факт продаж'!J:L,3,0)/SUM('План Антонова'!$C$14:$C$16),0)</f>
        <v>0</v>
      </c>
      <c r="K208" s="44" t="str">
        <f>IFERROR(VLOOKUP(B208,'Факт продаж'!J:O,6,0),"-")</f>
        <v>-</v>
      </c>
      <c r="L208" s="44" t="e">
        <f>IF(AND(F208=0,J208&gt;0),5,IF(J208/F208&gt;5,5,IF(J208/F208=0,0.0000001,J208/F208)))</f>
        <v>#DIV/0!</v>
      </c>
      <c r="M208" s="5">
        <f>IFERROR(VLOOKUP(B208,'Факт продаж'!S:T,2,0),"нет продаж")</f>
        <v>2</v>
      </c>
      <c r="N208" s="48">
        <f>IFERROR(VLOOKUP(B208,'Факт продаж'!S:U,3,0),"нет продаж")</f>
        <v>2723.2</v>
      </c>
      <c r="O208" s="48">
        <f>IFERROR(VLOOKUP(B208,'Факт продаж'!S:W,5,0),"нет продаж")</f>
        <v>856.56946022919294</v>
      </c>
      <c r="P208" s="7">
        <f>IFERROR(VLOOKUP(B208,'Факт продаж'!S:U,3,0)/SUM('План Антонова'!$C$17:$C$19),0)</f>
        <v>1.6587148360679342E-5</v>
      </c>
      <c r="Q208" s="44">
        <f>IFERROR(VLOOKUP(B208,'Факт продаж'!S:X,6,0),"-")</f>
        <v>1</v>
      </c>
      <c r="R208" s="44">
        <f>IF(AND(J208=0,P208&gt;0),5,IF(P208/J208&gt;5,5,IF(P208/J208=0,0.0000001,P208/J208)))</f>
        <v>5</v>
      </c>
      <c r="S208" s="16">
        <f>IFERROR(VLOOKUP(B208,'Факт продаж'!AB:AD,2,0),"нет продаж")</f>
        <v>22</v>
      </c>
      <c r="T208" s="16">
        <f>IFERROR(VLOOKUP(B208,'Факт продаж'!AB:AD,3,0),"нет продаж")</f>
        <v>38183.1</v>
      </c>
      <c r="U208" s="16">
        <f>IFERROR(VLOOKUP(B208,'Факт продаж'!AB:AF,5,0),"нет продаж")</f>
        <v>13946.596983345997</v>
      </c>
      <c r="V208" s="7">
        <f>IFERROR(VLOOKUP(B208,'Факт продаж'!AB:AD,3,0)/SUM('План Антонова'!$C$20:$C$22),0)</f>
        <v>2.4814040585173801E-4</v>
      </c>
      <c r="W208" s="44">
        <f>IFERROR(VLOOKUP(B208,'Факт продаж'!AB:AG,6,0),"-")</f>
        <v>15.281921818242616</v>
      </c>
      <c r="X208" s="44">
        <f>IF(AND(P208=0,V208&gt;0),5,IF(V208/P208&gt;5,5,IF(V208/P208=0,0.0000001,V208/P208)))</f>
        <v>5</v>
      </c>
      <c r="Y208" s="44">
        <f>IFERROR(VLOOKUP(B208,'Факт продаж'!AB:AH,7,0),"-")</f>
        <v>1</v>
      </c>
      <c r="Z208" s="44">
        <f>IF(AND(F208=0,V208&gt;0),5,IF(V208/F208&gt;5,5,IF(V208/F208=0,0.0000001,V208/F208)))</f>
        <v>5</v>
      </c>
      <c r="AB208" s="10" t="str">
        <f>IFERROR(VLOOKUP(VALUE(IF(L208&lt;1,1,0)&amp;IF(J208&lt;'Факт продаж'!$M$24,0,1)),$AB$1:$AC$4,2,FALSE),"НЕТ ПРОДАЖ")</f>
        <v>НЕТ ПРОДАЖ</v>
      </c>
      <c r="AC208" s="10" t="str">
        <f>IFERROR(VLOOKUP(VALUE(IF(R208&lt;1,1,0)&amp;IF(P208&lt;'Факт продаж'!$V$24,0,1)),$AB$1:$AC$4,2,FALSE),"НЕТ ПРОДАЖ")</f>
        <v>Темная лошадка</v>
      </c>
      <c r="AD208" s="10" t="str">
        <f>IFERROR(VLOOKUP(VALUE(IF(X208&lt;1,1,0)&amp;IF(V208&lt;'Факт продаж'!$AE$24,0,1)),$AB$1:$AC$4,2,FALSE),"НЕТ ПРОДАЖ")</f>
        <v>Темная лошадка</v>
      </c>
      <c r="AE208" s="18" t="str">
        <f>IFERROR(VLOOKUP(VALUE(IF(Z208&lt;1,1,0)&amp;IF(V208&lt;'Факт продаж'!$AE$24,0,1)),$AB$1:$AC$4,2,FALSE),"НЕТ ПРОДАЖ")</f>
        <v>Темная лошадка</v>
      </c>
      <c r="AF208" s="74" t="str">
        <f>VLOOKUP(B208,'ABC расчет'!B:G,6,0)</f>
        <v>C</v>
      </c>
      <c r="AG208" s="74" t="str">
        <f>VLOOKUP(B208,'ABC расчет'!K:P,6,0)</f>
        <v>C</v>
      </c>
      <c r="AH208" s="74" t="str">
        <f>VLOOKUP(B208,'ABC расчет'!T:Y,6,0)</f>
        <v>C</v>
      </c>
      <c r="AI208" s="74" t="str">
        <f>VLOOKUP(B208,'ABC расчет'!AC:AH,6,0)</f>
        <v>B</v>
      </c>
      <c r="AJ208" s="74"/>
      <c r="AK208" s="74"/>
      <c r="AL208" s="19"/>
    </row>
    <row r="209" spans="1:38" x14ac:dyDescent="0.3">
      <c r="A209" s="51" t="s">
        <v>252</v>
      </c>
      <c r="B209" s="21" t="s">
        <v>17</v>
      </c>
      <c r="C209" s="20">
        <f>IFERROR(VLOOKUP(B209,'Факт продаж'!A:B,2,0),"нет продаж")</f>
        <v>168</v>
      </c>
      <c r="D209" s="47">
        <f>IFERROR(VLOOKUP(B209,'Факт продаж'!A:C,3,0),"нет продаж")</f>
        <v>52275.488599999997</v>
      </c>
      <c r="E209" s="47">
        <f>IFERROR(VLOOKUP(B209,'Факт продаж'!A:E,5,0),"нет продаж")</f>
        <v>25089.736597649455</v>
      </c>
      <c r="F209" s="25">
        <f>IFERROR(VLOOKUP(B209,'Факт продаж'!A:C,3,0)/SUM('План Антонова'!$C$11:$C$13),0)</f>
        <v>3.9693332239770031E-4</v>
      </c>
      <c r="G209" s="5">
        <f>IFERROR(VLOOKUP(B209,'Факт продаж'!J:K,2,0),"нет продаж")</f>
        <v>138</v>
      </c>
      <c r="H209" s="48">
        <f>IFERROR(VLOOKUP(B209,'Факт продаж'!J:L,3,0),"нет продаж")</f>
        <v>35624</v>
      </c>
      <c r="I209" s="48">
        <f>IFERROR(VLOOKUP(B209,'Факт продаж'!J:N,5,0),"нет продаж")</f>
        <v>14792.654311776199</v>
      </c>
      <c r="J209" s="7">
        <f>IFERROR(VLOOKUP(B209,'Факт продаж'!J:L,3,0)/SUM('План Антонова'!$C$14:$C$16),0)</f>
        <v>2.4597874086183791E-4</v>
      </c>
      <c r="K209" s="44">
        <f>IFERROR(VLOOKUP(B209,'Факт продаж'!J:O,6,0),"-")</f>
        <v>-0.41041013905414792</v>
      </c>
      <c r="L209" s="44">
        <f>IF(AND(F209=0,J209&gt;0),5,IF(J209/F209&gt;5,5,IF(J209/F209=0,0.0000001,J209/F209)))</f>
        <v>0.61969788622428601</v>
      </c>
      <c r="M209" s="5">
        <f>IFERROR(VLOOKUP(B209,'Факт продаж'!S:T,2,0),"нет продаж")</f>
        <v>166</v>
      </c>
      <c r="N209" s="48">
        <f>IFERROR(VLOOKUP(B209,'Факт продаж'!S:U,3,0),"нет продаж")</f>
        <v>50070</v>
      </c>
      <c r="O209" s="48">
        <f>IFERROR(VLOOKUP(B209,'Факт продаж'!S:W,5,0),"нет продаж")</f>
        <v>23942.254926198384</v>
      </c>
      <c r="P209" s="7">
        <f>IFERROR(VLOOKUP(B209,'Факт продаж'!S:U,3,0)/SUM('План Антонова'!$C$17:$C$19),0)</f>
        <v>3.0497889189894784E-4</v>
      </c>
      <c r="Q209" s="44">
        <f>IFERROR(VLOOKUP(B209,'Факт продаж'!S:X,6,0),"-")</f>
        <v>0.61852324955220039</v>
      </c>
      <c r="R209" s="44">
        <f>IF(AND(J209=0,P209&gt;0),5,IF(P209/J209&gt;5,5,IF(P209/J209=0,0.0000001,P209/J209)))</f>
        <v>1.2398587407610535</v>
      </c>
      <c r="S209" s="16">
        <f>IFERROR(VLOOKUP(B209,'Факт продаж'!AB:AD,2,0),"нет продаж")</f>
        <v>70</v>
      </c>
      <c r="T209" s="16">
        <f>IFERROR(VLOOKUP(B209,'Факт продаж'!AB:AD,3,0),"нет продаж")</f>
        <v>25102.5</v>
      </c>
      <c r="U209" s="16">
        <f>IFERROR(VLOOKUP(B209,'Факт продаж'!AB:AF,5,0),"нет продаж")</f>
        <v>13801.104295397501</v>
      </c>
      <c r="V209" s="7">
        <f>IFERROR(VLOOKUP(B209,'Факт продаж'!AB:AD,3,0)/SUM('План Антонова'!$C$20:$C$22),0)</f>
        <v>1.6313354698526978E-4</v>
      </c>
      <c r="W209" s="44">
        <f>IFERROR(VLOOKUP(B209,'Факт продаж'!AB:AG,6,0),"-")</f>
        <v>-0.42356706425776591</v>
      </c>
      <c r="X209" s="44">
        <f>IF(AND(P209=0,V209&gt;0),5,IF(V209/P209&gt;5,5,IF(V209/P209=0,0.0000001,V209/P209)))</f>
        <v>0.53490110731769169</v>
      </c>
      <c r="Y209" s="44">
        <f>IFERROR(VLOOKUP(B209,'Факт продаж'!AB:AH,7,0),"-")</f>
        <v>-0.44993028357697207</v>
      </c>
      <c r="Z209" s="44">
        <f>IF(AND(F209=0,V209&gt;0),5,IF(V209/F209&gt;5,5,IF(V209/F209=0,0.0000001,V209/F209)))</f>
        <v>0.41098476187348415</v>
      </c>
      <c r="AB209" s="10" t="str">
        <f>IFERROR(VLOOKUP(VALUE(IF(L209&lt;1,1,0)&amp;IF(J209&lt;'Факт продаж'!$M$24,0,1)),$AB$1:$AC$4,2,FALSE),"НЕТ ПРОДАЖ")</f>
        <v>Собака</v>
      </c>
      <c r="AC209" s="10" t="str">
        <f>IFERROR(VLOOKUP(VALUE(IF(R209&lt;1,1,0)&amp;IF(P209&lt;'Факт продаж'!$V$24,0,1)),$AB$1:$AC$4,2,FALSE),"НЕТ ПРОДАЖ")</f>
        <v>Темная лошадка</v>
      </c>
      <c r="AD209" s="10" t="str">
        <f>IFERROR(VLOOKUP(VALUE(IF(X209&lt;1,1,0)&amp;IF(V209&lt;'Факт продаж'!$AE$24,0,1)),$AB$1:$AC$4,2,FALSE),"НЕТ ПРОДАЖ")</f>
        <v>Собака</v>
      </c>
      <c r="AE209" s="18" t="str">
        <f>IFERROR(VLOOKUP(VALUE(IF(Z209&lt;1,1,0)&amp;IF(V209&lt;'Факт продаж'!$AE$24,0,1)),$AB$1:$AC$4,2,FALSE),"НЕТ ПРОДАЖ")</f>
        <v>Собака</v>
      </c>
      <c r="AF209" s="74" t="str">
        <f>VLOOKUP(B209,'ABC расчет'!B:G,6,0)</f>
        <v>C</v>
      </c>
      <c r="AG209" s="74" t="str">
        <f>VLOOKUP(B209,'ABC расчет'!K:P,6,0)</f>
        <v>C</v>
      </c>
      <c r="AH209" s="74" t="str">
        <f>VLOOKUP(B209,'ABC расчет'!T:Y,6,0)</f>
        <v>C</v>
      </c>
      <c r="AI209" s="74" t="str">
        <f>VLOOKUP(B209,'ABC расчет'!AC:AH,6,0)</f>
        <v>C</v>
      </c>
      <c r="AJ209" s="74"/>
      <c r="AK209" s="74"/>
      <c r="AL209" s="19"/>
    </row>
    <row r="210" spans="1:38" x14ac:dyDescent="0.3">
      <c r="A210" s="51" t="s">
        <v>116</v>
      </c>
      <c r="B210" s="21" t="s">
        <v>40</v>
      </c>
      <c r="C210" s="20">
        <f>IFERROR(VLOOKUP(B210,'Факт продаж'!A:B,2,0),"нет продаж")</f>
        <v>591</v>
      </c>
      <c r="D210" s="47">
        <f>IFERROR(VLOOKUP(B210,'Факт продаж'!A:C,3,0),"нет продаж")</f>
        <v>898312.90839999984</v>
      </c>
      <c r="E210" s="47">
        <f>IFERROR(VLOOKUP(B210,'Факт продаж'!A:E,5,0),"нет продаж")</f>
        <v>464475.82549014181</v>
      </c>
      <c r="F210" s="25">
        <f>IFERROR(VLOOKUP(B210,'Факт продаж'!A:C,3,0)/SUM('План Антонова'!$C$11:$C$13),0)</f>
        <v>6.8209850703136801E-3</v>
      </c>
      <c r="G210" s="5">
        <f>IFERROR(VLOOKUP(B210,'Факт продаж'!J:K,2,0),"нет продаж")</f>
        <v>118</v>
      </c>
      <c r="H210" s="48">
        <f>IFERROR(VLOOKUP(B210,'Факт продаж'!J:L,3,0),"нет продаж")</f>
        <v>173011</v>
      </c>
      <c r="I210" s="48">
        <f>IFERROR(VLOOKUP(B210,'Факт продаж'!J:N,5,0),"нет продаж")</f>
        <v>70313.478615688975</v>
      </c>
      <c r="J210" s="7">
        <f>IFERROR(VLOOKUP(B210,'Факт продаж'!J:L,3,0)/SUM('План Антонова'!$C$14:$C$16),0)</f>
        <v>1.1946167733900583E-3</v>
      </c>
      <c r="K210" s="44">
        <f>IFERROR(VLOOKUP(B210,'Факт продаж'!J:O,6,0),"-")</f>
        <v>-0.84861757112657021</v>
      </c>
      <c r="L210" s="44">
        <f>IF(AND(F210=0,J210&gt;0),5,IF(J210/F210&gt;5,5,IF(J210/F210=0,0.0000001,J210/F210)))</f>
        <v>0.17513845303507178</v>
      </c>
      <c r="M210" s="5">
        <f>IFERROR(VLOOKUP(B210,'Факт продаж'!S:T,2,0),"нет продаж")</f>
        <v>78</v>
      </c>
      <c r="N210" s="48">
        <f>IFERROR(VLOOKUP(B210,'Факт продаж'!S:U,3,0),"нет продаж")</f>
        <v>120211.1</v>
      </c>
      <c r="O210" s="48">
        <f>IFERROR(VLOOKUP(B210,'Факт продаж'!S:W,5,0),"нет продаж")</f>
        <v>50896.530742658164</v>
      </c>
      <c r="P210" s="7">
        <f>IFERROR(VLOOKUP(B210,'Факт продаж'!S:U,3,0)/SUM('План Антонова'!$C$17:$C$19),0)</f>
        <v>7.3221186482831256E-4</v>
      </c>
      <c r="Q210" s="44">
        <f>IFERROR(VLOOKUP(B210,'Факт продаж'!S:X,6,0),"-")</f>
        <v>-0.27614830407065549</v>
      </c>
      <c r="R210" s="44">
        <f>IF(AND(J210=0,P210&gt;0),5,IF(P210/J210&gt;5,5,IF(P210/J210=0,0.0000001,P210/J210)))</f>
        <v>0.61292615434358688</v>
      </c>
      <c r="S210" s="16">
        <f>IFERROR(VLOOKUP(B210,'Факт продаж'!AB:AD,2,0),"нет продаж")</f>
        <v>15</v>
      </c>
      <c r="T210" s="16">
        <f>IFERROR(VLOOKUP(B210,'Факт продаж'!AB:AD,3,0),"нет продаж")</f>
        <v>28429.9</v>
      </c>
      <c r="U210" s="16">
        <f>IFERROR(VLOOKUP(B210,'Факт продаж'!AB:AF,5,0),"нет продаж")</f>
        <v>13668.233627800641</v>
      </c>
      <c r="V210" s="7">
        <f>IFERROR(VLOOKUP(B210,'Факт продаж'!AB:AD,3,0)/SUM('План Антонова'!$C$20:$C$22),0)</f>
        <v>1.8475731211777796E-4</v>
      </c>
      <c r="W210" s="44">
        <f>IFERROR(VLOOKUP(B210,'Факт продаж'!AB:AG,6,0),"-")</f>
        <v>-0.73145058359852388</v>
      </c>
      <c r="X210" s="44">
        <f>IF(AND(P210=0,V210&gt;0),5,IF(V210/P210&gt;5,5,IF(V210/P210=0,0.0000001,V210/P210)))</f>
        <v>0.25232766770461912</v>
      </c>
      <c r="Y210" s="44">
        <f>IFERROR(VLOOKUP(B210,'Факт продаж'!AB:AH,7,0),"-")</f>
        <v>-0.97057277714426338</v>
      </c>
      <c r="Z210" s="44">
        <f>IF(AND(F210=0,V210&gt;0),5,IF(V210/F210&gt;5,5,IF(V210/F210=0,0.0000001,V210/F210)))</f>
        <v>2.7086602626045835E-2</v>
      </c>
      <c r="AB210" s="10" t="str">
        <f>IFERROR(VLOOKUP(VALUE(IF(L210&lt;1,1,0)&amp;IF(J210&lt;'Факт продаж'!$M$24,0,1)),$AB$1:$AC$4,2,FALSE),"НЕТ ПРОДАЖ")</f>
        <v>Корова</v>
      </c>
      <c r="AC210" s="10" t="str">
        <f>IFERROR(VLOOKUP(VALUE(IF(R210&lt;1,1,0)&amp;IF(P210&lt;'Факт продаж'!$V$24,0,1)),$AB$1:$AC$4,2,FALSE),"НЕТ ПРОДАЖ")</f>
        <v>Собака</v>
      </c>
      <c r="AD210" s="10" t="str">
        <f>IFERROR(VLOOKUP(VALUE(IF(X210&lt;1,1,0)&amp;IF(V210&lt;'Факт продаж'!$AE$24,0,1)),$AB$1:$AC$4,2,FALSE),"НЕТ ПРОДАЖ")</f>
        <v>Собака</v>
      </c>
      <c r="AE210" s="18" t="str">
        <f>IFERROR(VLOOKUP(VALUE(IF(Z210&lt;1,1,0)&amp;IF(V210&lt;'Факт продаж'!$AE$24,0,1)),$AB$1:$AC$4,2,FALSE),"НЕТ ПРОДАЖ")</f>
        <v>Собака</v>
      </c>
      <c r="AF210" s="74" t="str">
        <f>VLOOKUP(B210,'ABC расчет'!B:G,6,0)</f>
        <v>A</v>
      </c>
      <c r="AG210" s="74" t="str">
        <f>VLOOKUP(B210,'ABC расчет'!K:P,6,0)</f>
        <v>C</v>
      </c>
      <c r="AH210" s="74" t="str">
        <f>VLOOKUP(B210,'ABC расчет'!T:Y,6,0)</f>
        <v>C</v>
      </c>
      <c r="AI210" s="74" t="str">
        <f>VLOOKUP(B210,'ABC расчет'!AC:AH,6,0)</f>
        <v>C</v>
      </c>
      <c r="AJ210" s="74"/>
      <c r="AK210" s="74"/>
      <c r="AL210" s="19"/>
    </row>
    <row r="211" spans="1:38" x14ac:dyDescent="0.3">
      <c r="A211" s="51" t="s">
        <v>252</v>
      </c>
      <c r="B211" s="21" t="s">
        <v>63</v>
      </c>
      <c r="C211" s="20">
        <f>IFERROR(VLOOKUP(B211,'Факт продаж'!A:B,2,0),"нет продаж")</f>
        <v>6</v>
      </c>
      <c r="D211" s="47">
        <f>IFERROR(VLOOKUP(B211,'Факт продаж'!A:C,3,0),"нет продаж")</f>
        <v>9761.6744999999992</v>
      </c>
      <c r="E211" s="47">
        <f>IFERROR(VLOOKUP(B211,'Факт продаж'!A:E,5,0),"нет продаж")</f>
        <v>4762.9514215844511</v>
      </c>
      <c r="F211" s="25">
        <f>IFERROR(VLOOKUP(B211,'Факт продаж'!A:C,3,0)/SUM('План Антонова'!$C$11:$C$13),0)</f>
        <v>7.4121428516880661E-5</v>
      </c>
      <c r="G211" s="5">
        <f>IFERROR(VLOOKUP(B211,'Факт продаж'!J:K,2,0),"нет продаж")</f>
        <v>21</v>
      </c>
      <c r="H211" s="48">
        <f>IFERROR(VLOOKUP(B211,'Факт продаж'!J:L,3,0),"нет продаж")</f>
        <v>33741.1</v>
      </c>
      <c r="I211" s="48">
        <f>IFERROR(VLOOKUP(B211,'Факт продаж'!J:N,5,0),"нет продаж")</f>
        <v>16034.540690876429</v>
      </c>
      <c r="J211" s="7">
        <f>IFERROR(VLOOKUP(B211,'Факт продаж'!J:L,3,0)/SUM('План Антонова'!$C$14:$C$16),0)</f>
        <v>2.3297757953327417E-4</v>
      </c>
      <c r="K211" s="44">
        <f>IFERROR(VLOOKUP(B211,'Факт продаж'!J:O,6,0),"-")</f>
        <v>2.3665135903364627</v>
      </c>
      <c r="L211" s="44">
        <f>IF(AND(F211=0,J211&gt;0),5,IF(J211/F211&gt;5,5,IF(J211/F211=0,0.0000001,J211/F211)))</f>
        <v>3.1431879308723127</v>
      </c>
      <c r="M211" s="5">
        <f>IFERROR(VLOOKUP(B211,'Факт продаж'!S:T,2,0),"нет продаж")</f>
        <v>31</v>
      </c>
      <c r="N211" s="48">
        <f>IFERROR(VLOOKUP(B211,'Факт продаж'!S:U,3,0),"нет продаж")</f>
        <v>51730.100000000006</v>
      </c>
      <c r="O211" s="48">
        <f>IFERROR(VLOOKUP(B211,'Факт продаж'!S:W,5,0),"нет продаж")</f>
        <v>20625.75223100635</v>
      </c>
      <c r="P211" s="7">
        <f>IFERROR(VLOOKUP(B211,'Факт продаж'!S:U,3,0)/SUM('План Антонова'!$C$17:$C$19),0)</f>
        <v>3.1509064461397572E-4</v>
      </c>
      <c r="Q211" s="44">
        <f>IFERROR(VLOOKUP(B211,'Факт продаж'!S:X,6,0),"-")</f>
        <v>0.28633258841909304</v>
      </c>
      <c r="R211" s="44">
        <f>IF(AND(J211=0,P211&gt;0),5,IF(P211/J211&gt;5,5,IF(P211/J211=0,0.0000001,P211/J211)))</f>
        <v>1.352450502941954</v>
      </c>
      <c r="S211" s="16">
        <f>IFERROR(VLOOKUP(B211,'Факт продаж'!AB:AD,2,0),"нет продаж")</f>
        <v>26</v>
      </c>
      <c r="T211" s="16">
        <f>IFERROR(VLOOKUP(B211,'Факт продаж'!AB:AD,3,0),"нет продаж")</f>
        <v>41098.6</v>
      </c>
      <c r="U211" s="16">
        <f>IFERROR(VLOOKUP(B211,'Факт продаж'!AB:AF,5,0),"нет продаж")</f>
        <v>13568.948815611719</v>
      </c>
      <c r="V211" s="7">
        <f>IFERROR(VLOOKUP(B211,'Факт продаж'!AB:AD,3,0)/SUM('План Антонова'!$C$20:$C$22),0)</f>
        <v>2.6708735759899642E-4</v>
      </c>
      <c r="W211" s="44">
        <f>IFERROR(VLOOKUP(B211,'Факт продаж'!AB:AG,6,0),"-")</f>
        <v>-0.34213556608065221</v>
      </c>
      <c r="X211" s="44">
        <f>IF(AND(P211=0,V211&gt;0),5,IF(V211/P211&gt;5,5,IF(V211/P211=0,0.0000001,V211/P211)))</f>
        <v>0.84765245228467778</v>
      </c>
      <c r="Y211" s="44">
        <f>IFERROR(VLOOKUP(B211,'Факт продаж'!AB:AH,7,0),"-")</f>
        <v>1.8488530775520382</v>
      </c>
      <c r="Z211" s="44">
        <f>IF(AND(F211=0,V211&gt;0),5,IF(V211/F211&gt;5,5,IF(V211/F211=0,0.0000001,V211/F211)))</f>
        <v>3.6033757436038765</v>
      </c>
      <c r="AB211" s="10" t="str">
        <f>IFERROR(VLOOKUP(VALUE(IF(L211&lt;1,1,0)&amp;IF(J211&lt;'Факт продаж'!$M$24,0,1)),$AB$1:$AC$4,2,FALSE),"НЕТ ПРОДАЖ")</f>
        <v>Темная лошадка</v>
      </c>
      <c r="AC211" s="10" t="str">
        <f>IFERROR(VLOOKUP(VALUE(IF(R211&lt;1,1,0)&amp;IF(P211&lt;'Факт продаж'!$V$24,0,1)),$AB$1:$AC$4,2,FALSE),"НЕТ ПРОДАЖ")</f>
        <v>Темная лошадка</v>
      </c>
      <c r="AD211" s="10" t="str">
        <f>IFERROR(VLOOKUP(VALUE(IF(X211&lt;1,1,0)&amp;IF(V211&lt;'Факт продаж'!$AE$24,0,1)),$AB$1:$AC$4,2,FALSE),"НЕТ ПРОДАЖ")</f>
        <v>Собака</v>
      </c>
      <c r="AE211" s="18" t="str">
        <f>IFERROR(VLOOKUP(VALUE(IF(Z211&lt;1,1,0)&amp;IF(V211&lt;'Факт продаж'!$AE$24,0,1)),$AB$1:$AC$4,2,FALSE),"НЕТ ПРОДАЖ")</f>
        <v>Темная лошадка</v>
      </c>
      <c r="AF211" s="74" t="str">
        <f>VLOOKUP(B211,'ABC расчет'!B:G,6,0)</f>
        <v>C</v>
      </c>
      <c r="AG211" s="74" t="str">
        <f>VLOOKUP(B211,'ABC расчет'!K:P,6,0)</f>
        <v>C</v>
      </c>
      <c r="AH211" s="74" t="str">
        <f>VLOOKUP(B211,'ABC расчет'!T:Y,6,0)</f>
        <v>C</v>
      </c>
      <c r="AI211" s="74" t="str">
        <f>VLOOKUP(B211,'ABC расчет'!AC:AH,6,0)</f>
        <v>C</v>
      </c>
      <c r="AJ211" s="74"/>
      <c r="AK211" s="74"/>
      <c r="AL211" s="19"/>
    </row>
    <row r="212" spans="1:38" x14ac:dyDescent="0.3">
      <c r="A212" s="51" t="s">
        <v>116</v>
      </c>
      <c r="B212" s="21" t="s">
        <v>156</v>
      </c>
      <c r="C212" s="20">
        <f>IFERROR(VLOOKUP(B212,'Факт продаж'!A:B,2,0),"нет продаж")</f>
        <v>26</v>
      </c>
      <c r="D212" s="47">
        <f>IFERROR(VLOOKUP(B212,'Факт продаж'!A:C,3,0),"нет продаж")</f>
        <v>58547.687599999997</v>
      </c>
      <c r="E212" s="47">
        <f>IFERROR(VLOOKUP(B212,'Факт продаж'!A:E,5,0),"нет продаж")</f>
        <v>14749.859142406884</v>
      </c>
      <c r="F212" s="25">
        <f>IFERROR(VLOOKUP(B212,'Факт продаж'!A:C,3,0)/SUM('План Антонова'!$C$11:$C$13),0)</f>
        <v>4.4455879380858897E-4</v>
      </c>
      <c r="G212" s="5">
        <f>IFERROR(VLOOKUP(B212,'Факт продаж'!J:K,2,0),"нет продаж")</f>
        <v>65</v>
      </c>
      <c r="H212" s="48">
        <f>IFERROR(VLOOKUP(B212,'Факт продаж'!J:L,3,0),"нет продаж")</f>
        <v>239793.7</v>
      </c>
      <c r="I212" s="48">
        <f>IFERROR(VLOOKUP(B212,'Факт продаж'!J:N,5,0),"нет продаж")</f>
        <v>130473.66218962248</v>
      </c>
      <c r="J212" s="7">
        <f>IFERROR(VLOOKUP(B212,'Факт продаж'!J:L,3,0)/SUM('План Антонова'!$C$14:$C$16),0)</f>
        <v>1.6557419827251656E-3</v>
      </c>
      <c r="K212" s="44">
        <f>IFERROR(VLOOKUP(B212,'Факт продаж'!J:O,6,0),"-")</f>
        <v>7.8457564868874936</v>
      </c>
      <c r="L212" s="44">
        <f>IF(AND(F212=0,J212&gt;0),5,IF(J212/F212&gt;5,5,IF(J212/F212=0,0.0000001,J212/F212)))</f>
        <v>3.7244612091467673</v>
      </c>
      <c r="M212" s="5">
        <f>IFERROR(VLOOKUP(B212,'Факт продаж'!S:T,2,0),"нет продаж")</f>
        <v>21</v>
      </c>
      <c r="N212" s="48">
        <f>IFERROR(VLOOKUP(B212,'Факт продаж'!S:U,3,0),"нет продаж")</f>
        <v>80630.950000000012</v>
      </c>
      <c r="O212" s="48">
        <f>IFERROR(VLOOKUP(B212,'Факт продаж'!S:W,5,0),"нет продаж")</f>
        <v>35392.082605646152</v>
      </c>
      <c r="P212" s="7">
        <f>IFERROR(VLOOKUP(B212,'Факт продаж'!S:U,3,0)/SUM('План Антонова'!$C$17:$C$19),0)</f>
        <v>4.911271776265123E-4</v>
      </c>
      <c r="Q212" s="44">
        <f>IFERROR(VLOOKUP(B212,'Факт продаж'!S:X,6,0),"-")</f>
        <v>-0.72874155586888145</v>
      </c>
      <c r="R212" s="44">
        <f>IF(AND(J212=0,P212&gt;0),5,IF(P212/J212&gt;5,5,IF(P212/J212=0,0.0000001,P212/J212)))</f>
        <v>0.29662059834840454</v>
      </c>
      <c r="S212" s="16">
        <f>IFERROR(VLOOKUP(B212,'Факт продаж'!AB:AD,2,0),"нет продаж")</f>
        <v>6</v>
      </c>
      <c r="T212" s="16">
        <f>IFERROR(VLOOKUP(B212,'Факт продаж'!AB:AD,3,0),"нет продаж")</f>
        <v>25120.559999999998</v>
      </c>
      <c r="U212" s="16">
        <f>IFERROR(VLOOKUP(B212,'Факт продаж'!AB:AF,5,0),"нет продаж")</f>
        <v>13138.488688685848</v>
      </c>
      <c r="V212" s="7">
        <f>IFERROR(VLOOKUP(B212,'Факт продаж'!AB:AD,3,0)/SUM('План Антонова'!$C$20:$C$22),0)</f>
        <v>1.6325091345707749E-4</v>
      </c>
      <c r="W212" s="44">
        <f>IFERROR(VLOOKUP(B212,'Факт продаж'!AB:AG,6,0),"-")</f>
        <v>-0.62877322493054288</v>
      </c>
      <c r="X212" s="44">
        <f>IF(AND(P212=0,V212&gt;0),5,IF(V212/P212&gt;5,5,IF(V212/P212=0,0.0000001,V212/P212)))</f>
        <v>0.33240048788589943</v>
      </c>
      <c r="Y212" s="44">
        <f>IFERROR(VLOOKUP(B212,'Факт продаж'!AB:AH,7,0),"-")</f>
        <v>-0.10924649775727235</v>
      </c>
      <c r="Z212" s="44">
        <f>IF(AND(F212=0,V212&gt;0),5,IF(V212/F212&gt;5,5,IF(V212/F212=0,0.0000001,V212/F212)))</f>
        <v>0.36722007466883549</v>
      </c>
      <c r="AB212" s="10" t="str">
        <f>IFERROR(VLOOKUP(VALUE(IF(L212&lt;1,1,0)&amp;IF(J212&lt;'Факт продаж'!$M$24,0,1)),$AB$1:$AC$4,2,FALSE),"НЕТ ПРОДАЖ")</f>
        <v>Звезда</v>
      </c>
      <c r="AC212" s="10" t="str">
        <f>IFERROR(VLOOKUP(VALUE(IF(R212&lt;1,1,0)&amp;IF(P212&lt;'Факт продаж'!$V$24,0,1)),$AB$1:$AC$4,2,FALSE),"НЕТ ПРОДАЖ")</f>
        <v>Собака</v>
      </c>
      <c r="AD212" s="10" t="str">
        <f>IFERROR(VLOOKUP(VALUE(IF(X212&lt;1,1,0)&amp;IF(V212&lt;'Факт продаж'!$AE$24,0,1)),$AB$1:$AC$4,2,FALSE),"НЕТ ПРОДАЖ")</f>
        <v>Собака</v>
      </c>
      <c r="AE212" s="18" t="str">
        <f>IFERROR(VLOOKUP(VALUE(IF(Z212&lt;1,1,0)&amp;IF(V212&lt;'Факт продаж'!$AE$24,0,1)),$AB$1:$AC$4,2,FALSE),"НЕТ ПРОДАЖ")</f>
        <v>Собака</v>
      </c>
      <c r="AF212" s="74" t="str">
        <f>VLOOKUP(B212,'ABC расчет'!B:G,6,0)</f>
        <v>C</v>
      </c>
      <c r="AG212" s="74" t="str">
        <f>VLOOKUP(B212,'ABC расчет'!K:P,6,0)</f>
        <v>C</v>
      </c>
      <c r="AH212" s="74" t="str">
        <f>VLOOKUP(B212,'ABC расчет'!T:Y,6,0)</f>
        <v>C</v>
      </c>
      <c r="AI212" s="74" t="str">
        <f>VLOOKUP(B212,'ABC расчет'!AC:AH,6,0)</f>
        <v>C</v>
      </c>
      <c r="AJ212" s="74"/>
      <c r="AK212" s="74"/>
      <c r="AL212" s="19"/>
    </row>
    <row r="213" spans="1:38" x14ac:dyDescent="0.3">
      <c r="A213" s="51" t="s">
        <v>260</v>
      </c>
      <c r="B213" s="21" t="s">
        <v>223</v>
      </c>
      <c r="C213" s="20">
        <f>IFERROR(VLOOKUP(B213,'Факт продаж'!A:B,2,0),"нет продаж")</f>
        <v>22</v>
      </c>
      <c r="D213" s="47">
        <f>IFERROR(VLOOKUP(B213,'Факт продаж'!A:C,3,0),"нет продаж")</f>
        <v>17580.5468</v>
      </c>
      <c r="E213" s="47">
        <f>IFERROR(VLOOKUP(B213,'Факт продаж'!A:E,5,0),"нет продаж")</f>
        <v>7788.9241962804463</v>
      </c>
      <c r="F213" s="25">
        <f>IFERROR(VLOOKUP(B213,'Факт продаж'!A:C,3,0)/SUM('План Антонова'!$C$11:$C$13),0)</f>
        <v>1.334909541312687E-4</v>
      </c>
      <c r="G213" s="5">
        <f>IFERROR(VLOOKUP(B213,'Факт продаж'!J:K,2,0),"нет продаж")</f>
        <v>28</v>
      </c>
      <c r="H213" s="48">
        <f>IFERROR(VLOOKUP(B213,'Факт продаж'!J:L,3,0),"нет продаж")</f>
        <v>28728</v>
      </c>
      <c r="I213" s="48">
        <f>IFERROR(VLOOKUP(B213,'Факт продаж'!J:N,5,0),"нет продаж")</f>
        <v>11214.325033416666</v>
      </c>
      <c r="J213" s="7">
        <f>IFERROR(VLOOKUP(B213,'Факт продаж'!J:L,3,0)/SUM('План Антонова'!$C$14:$C$16),0)</f>
        <v>1.9836282471027619E-4</v>
      </c>
      <c r="K213" s="44">
        <f>IFERROR(VLOOKUP(B213,'Факт продаж'!J:O,6,0),"-")</f>
        <v>0.43977842777979514</v>
      </c>
      <c r="L213" s="44">
        <f>IF(AND(F213=0,J213&gt;0),5,IF(J213/F213&gt;5,5,IF(J213/F213=0,0.0000001,J213/F213)))</f>
        <v>1.4859645434492554</v>
      </c>
      <c r="M213" s="5">
        <f>IFERROR(VLOOKUP(B213,'Факт продаж'!S:T,2,0),"нет продаж")</f>
        <v>320</v>
      </c>
      <c r="N213" s="48">
        <f>IFERROR(VLOOKUP(B213,'Факт продаж'!S:U,3,0),"нет продаж")</f>
        <v>235868</v>
      </c>
      <c r="O213" s="48">
        <f>IFERROR(VLOOKUP(B213,'Факт продаж'!S:W,5,0),"нет продаж")</f>
        <v>48950.373385564861</v>
      </c>
      <c r="P213" s="7">
        <f>IFERROR(VLOOKUP(B213,'Факт продаж'!S:U,3,0)/SUM('План Антонова'!$C$17:$C$19),0)</f>
        <v>1.4366838680731182E-3</v>
      </c>
      <c r="Q213" s="44">
        <f>IFERROR(VLOOKUP(B213,'Факт продаж'!S:X,6,0),"-")</f>
        <v>3.3649861440346678</v>
      </c>
      <c r="R213" s="44">
        <f>IF(AND(J213=0,P213&gt;0),5,IF(P213/J213&gt;5,5,IF(P213/J213=0,0.0000001,P213/J213)))</f>
        <v>5</v>
      </c>
      <c r="S213" s="16">
        <f>IFERROR(VLOOKUP(B213,'Факт продаж'!AB:AD,2,0),"нет продаж")</f>
        <v>114</v>
      </c>
      <c r="T213" s="16">
        <f>IFERROR(VLOOKUP(B213,'Факт продаж'!AB:AD,3,0),"нет продаж")</f>
        <v>79458</v>
      </c>
      <c r="U213" s="16">
        <f>IFERROR(VLOOKUP(B213,'Факт продаж'!AB:AF,5,0),"нет продаж")</f>
        <v>12661.300574051487</v>
      </c>
      <c r="V213" s="7">
        <f>IFERROR(VLOOKUP(B213,'Факт продаж'!AB:AD,3,0)/SUM('План Антонова'!$C$20:$C$22),0)</f>
        <v>5.1637348377076247E-4</v>
      </c>
      <c r="W213" s="44">
        <f>IFERROR(VLOOKUP(B213,'Факт продаж'!AB:AG,6,0),"-")</f>
        <v>-0.74134414717691977</v>
      </c>
      <c r="X213" s="44">
        <f>IF(AND(P213=0,V213&gt;0),5,IF(V213/P213&gt;5,5,IF(V213/P213=0,0.0000001,V213/P213)))</f>
        <v>0.35942039529080472</v>
      </c>
      <c r="Y213" s="44">
        <f>IFERROR(VLOOKUP(B213,'Факт продаж'!AB:AH,7,0),"-")</f>
        <v>0.62555190614100664</v>
      </c>
      <c r="Z213" s="44">
        <f>IF(AND(F213=0,V213&gt;0),5,IF(V213/F213&gt;5,5,IF(V213/F213=0,0.0000001,V213/F213)))</f>
        <v>3.8682282790711433</v>
      </c>
      <c r="AB213" s="10" t="str">
        <f>IFERROR(VLOOKUP(VALUE(IF(L213&lt;1,1,0)&amp;IF(J213&lt;'Факт продаж'!$M$24,0,1)),$AB$1:$AC$4,2,FALSE),"НЕТ ПРОДАЖ")</f>
        <v>Темная лошадка</v>
      </c>
      <c r="AC213" s="10" t="str">
        <f>IFERROR(VLOOKUP(VALUE(IF(R213&lt;1,1,0)&amp;IF(P213&lt;'Факт продаж'!$V$24,0,1)),$AB$1:$AC$4,2,FALSE),"НЕТ ПРОДАЖ")</f>
        <v>Звезда</v>
      </c>
      <c r="AD213" s="10" t="str">
        <f>IFERROR(VLOOKUP(VALUE(IF(X213&lt;1,1,0)&amp;IF(V213&lt;'Факт продаж'!$AE$24,0,1)),$AB$1:$AC$4,2,FALSE),"НЕТ ПРОДАЖ")</f>
        <v>Собака</v>
      </c>
      <c r="AE213" s="18" t="str">
        <f>IFERROR(VLOOKUP(VALUE(IF(Z213&lt;1,1,0)&amp;IF(V213&lt;'Факт продаж'!$AE$24,0,1)),$AB$1:$AC$4,2,FALSE),"НЕТ ПРОДАЖ")</f>
        <v>Темная лошадка</v>
      </c>
      <c r="AF213" s="74" t="str">
        <f>VLOOKUP(B213,'ABC расчет'!B:G,6,0)</f>
        <v>C</v>
      </c>
      <c r="AG213" s="74" t="str">
        <f>VLOOKUP(B213,'ABC расчет'!K:P,6,0)</f>
        <v>C</v>
      </c>
      <c r="AH213" s="74" t="str">
        <f>VLOOKUP(B213,'ABC расчет'!T:Y,6,0)</f>
        <v>A</v>
      </c>
      <c r="AI213" s="74" t="str">
        <f>VLOOKUP(B213,'ABC расчет'!AC:AH,6,0)</f>
        <v>A</v>
      </c>
      <c r="AJ213" s="74"/>
      <c r="AK213" s="74"/>
      <c r="AL213" s="5"/>
    </row>
    <row r="214" spans="1:38" x14ac:dyDescent="0.3">
      <c r="A214" s="51" t="s">
        <v>271</v>
      </c>
      <c r="B214" s="21" t="s">
        <v>25</v>
      </c>
      <c r="C214" s="20">
        <f>IFERROR(VLOOKUP(B214,'Факт продаж'!A:B,2,0),"нет продаж")</f>
        <v>87</v>
      </c>
      <c r="D214" s="47">
        <f>IFERROR(VLOOKUP(B214,'Факт продаж'!A:C,3,0),"нет продаж")</f>
        <v>284409.4522</v>
      </c>
      <c r="E214" s="47">
        <f>IFERROR(VLOOKUP(B214,'Факт продаж'!A:E,5,0),"нет продаж")</f>
        <v>115248.91632121385</v>
      </c>
      <c r="F214" s="25">
        <f>IFERROR(VLOOKUP(B214,'Факт продаж'!A:C,3,0)/SUM('План Антонова'!$C$11:$C$13),0)</f>
        <v>2.1595510975875596E-3</v>
      </c>
      <c r="G214" s="5">
        <f>IFERROR(VLOOKUP(B214,'Факт продаж'!J:K,2,0),"нет продаж")</f>
        <v>10</v>
      </c>
      <c r="H214" s="48">
        <f>IFERROR(VLOOKUP(B214,'Факт продаж'!J:L,3,0),"нет продаж")</f>
        <v>35965.599999999999</v>
      </c>
      <c r="I214" s="48">
        <f>IFERROR(VLOOKUP(B214,'Факт продаж'!J:N,5,0),"нет продаж")</f>
        <v>15394.004694919071</v>
      </c>
      <c r="J214" s="7">
        <f>IFERROR(VLOOKUP(B214,'Факт продаж'!J:L,3,0)/SUM('План Антонова'!$C$14:$C$16),0)</f>
        <v>2.4833744111667742E-4</v>
      </c>
      <c r="K214" s="44">
        <f>IFERROR(VLOOKUP(B214,'Факт продаж'!J:O,6,0),"-")</f>
        <v>-0.86642820439184032</v>
      </c>
      <c r="L214" s="44">
        <f>IF(AND(F214=0,J214&gt;0),5,IF(J214/F214&gt;5,5,IF(J214/F214=0,0.0000001,J214/F214)))</f>
        <v>0.11499493639863204</v>
      </c>
      <c r="M214" s="5">
        <f>IFERROR(VLOOKUP(B214,'Факт продаж'!S:T,2,0),"нет продаж")</f>
        <v>3</v>
      </c>
      <c r="N214" s="48">
        <f>IFERROR(VLOOKUP(B214,'Факт продаж'!S:U,3,0),"нет продаж")</f>
        <v>13608.9</v>
      </c>
      <c r="O214" s="48">
        <f>IFERROR(VLOOKUP(B214,'Факт продаж'!S:W,5,0),"нет продаж")</f>
        <v>3215.0699302696839</v>
      </c>
      <c r="P214" s="7">
        <f>IFERROR(VLOOKUP(B214,'Факт продаж'!S:U,3,0)/SUM('План Антонова'!$C$17:$C$19),0)</f>
        <v>8.2892495345787722E-5</v>
      </c>
      <c r="Q214" s="44">
        <f>IFERROR(VLOOKUP(B214,'Факт продаж'!S:X,6,0),"-")</f>
        <v>-0.79114791803780293</v>
      </c>
      <c r="R214" s="44">
        <f>IF(AND(J214=0,P214&gt;0),5,IF(P214/J214&gt;5,5,IF(P214/J214=0,0.0000001,P214/J214)))</f>
        <v>0.3337897619185099</v>
      </c>
      <c r="S214" s="16">
        <f>IFERROR(VLOOKUP(B214,'Факт продаж'!AB:AD,2,0),"нет продаж")</f>
        <v>9</v>
      </c>
      <c r="T214" s="16">
        <f>IFERROR(VLOOKUP(B214,'Факт продаж'!AB:AD,3,0),"нет продаж")</f>
        <v>35015</v>
      </c>
      <c r="U214" s="16">
        <f>IFERROR(VLOOKUP(B214,'Факт продаж'!AB:AF,5,0),"нет продаж")</f>
        <v>12358.909772556999</v>
      </c>
      <c r="V214" s="7">
        <f>IFERROR(VLOOKUP(B214,'Факт продаж'!AB:AD,3,0)/SUM('План Антонова'!$C$20:$C$22),0)</f>
        <v>2.2755188318650417E-4</v>
      </c>
      <c r="W214" s="44">
        <f>IFERROR(VLOOKUP(B214,'Факт продаж'!AB:AG,6,0),"-")</f>
        <v>2.8440562851210887</v>
      </c>
      <c r="X214" s="44">
        <f>IF(AND(P214=0,V214&gt;0),5,IF(V214/P214&gt;5,5,IF(V214/P214=0,0.0000001,V214/P214)))</f>
        <v>2.7451445663116654</v>
      </c>
      <c r="Y214" s="44">
        <f>IFERROR(VLOOKUP(B214,'Факт продаж'!AB:AH,7,0),"-")</f>
        <v>-0.89276333203766445</v>
      </c>
      <c r="Z214" s="44">
        <f>IF(AND(F214=0,V214&gt;0),5,IF(V214/F214&gt;5,5,IF(V214/F214=0,0.0000001,V214/F214)))</f>
        <v>0.10536999260665932</v>
      </c>
      <c r="AB214" s="10" t="str">
        <f>IFERROR(VLOOKUP(VALUE(IF(L214&lt;1,1,0)&amp;IF(J214&lt;'Факт продаж'!$M$24,0,1)),$AB$1:$AC$4,2,FALSE),"НЕТ ПРОДАЖ")</f>
        <v>Собака</v>
      </c>
      <c r="AC214" s="10" t="str">
        <f>IFERROR(VLOOKUP(VALUE(IF(R214&lt;1,1,0)&amp;IF(P214&lt;'Факт продаж'!$V$24,0,1)),$AB$1:$AC$4,2,FALSE),"НЕТ ПРОДАЖ")</f>
        <v>Собака</v>
      </c>
      <c r="AD214" s="10" t="str">
        <f>IFERROR(VLOOKUP(VALUE(IF(X214&lt;1,1,0)&amp;IF(V214&lt;'Факт продаж'!$AE$24,0,1)),$AB$1:$AC$4,2,FALSE),"НЕТ ПРОДАЖ")</f>
        <v>Темная лошадка</v>
      </c>
      <c r="AE214" s="18" t="str">
        <f>IFERROR(VLOOKUP(VALUE(IF(Z214&lt;1,1,0)&amp;IF(V214&lt;'Факт продаж'!$AE$24,0,1)),$AB$1:$AC$4,2,FALSE),"НЕТ ПРОДАЖ")</f>
        <v>Собака</v>
      </c>
      <c r="AF214" s="74" t="str">
        <f>VLOOKUP(B214,'ABC расчет'!B:G,6,0)</f>
        <v>A</v>
      </c>
      <c r="AG214" s="74" t="str">
        <f>VLOOKUP(B214,'ABC расчет'!K:P,6,0)</f>
        <v>C</v>
      </c>
      <c r="AH214" s="74" t="str">
        <f>VLOOKUP(B214,'ABC расчет'!T:Y,6,0)</f>
        <v>C</v>
      </c>
      <c r="AI214" s="74" t="str">
        <f>VLOOKUP(B214,'ABC расчет'!AC:AH,6,0)</f>
        <v>C</v>
      </c>
      <c r="AJ214" s="74"/>
      <c r="AK214" s="74"/>
      <c r="AL214" s="19"/>
    </row>
    <row r="215" spans="1:38" x14ac:dyDescent="0.3">
      <c r="A215" s="51" t="s">
        <v>260</v>
      </c>
      <c r="B215" s="21" t="s">
        <v>221</v>
      </c>
      <c r="C215" s="20" t="str">
        <f>IFERROR(VLOOKUP(B215,'Факт продаж'!A:B,2,0),"нет продаж")</f>
        <v>нет продаж</v>
      </c>
      <c r="D215" s="47" t="str">
        <f>IFERROR(VLOOKUP(B215,'Факт продаж'!A:C,3,0),"нет продаж")</f>
        <v>нет продаж</v>
      </c>
      <c r="E215" s="47" t="str">
        <f>IFERROR(VLOOKUP(B215,'Факт продаж'!A:E,5,0),"нет продаж")</f>
        <v>нет продаж</v>
      </c>
      <c r="F215" s="25">
        <f>IFERROR(VLOOKUP(B215,'Факт продаж'!A:C,3,0)/SUM('План Антонова'!$C$11:$C$13),0)</f>
        <v>0</v>
      </c>
      <c r="G215" s="5">
        <f>IFERROR(VLOOKUP(B215,'Факт продаж'!J:K,2,0),"нет продаж")</f>
        <v>872</v>
      </c>
      <c r="H215" s="48">
        <f>IFERROR(VLOOKUP(B215,'Факт продаж'!J:L,3,0),"нет продаж")</f>
        <v>564718.4</v>
      </c>
      <c r="I215" s="48">
        <f>IFERROR(VLOOKUP(B215,'Факт продаж'!J:N,5,0),"нет продаж")</f>
        <v>231541.1419079591</v>
      </c>
      <c r="J215" s="7">
        <f>IFERROR(VLOOKUP(B215,'Факт продаж'!J:L,3,0)/SUM('План Антонова'!$C$14:$C$16),0)</f>
        <v>3.8993016217581332E-3</v>
      </c>
      <c r="K215" s="44">
        <f>IFERROR(VLOOKUP(B215,'Факт продаж'!J:O,6,0),"-")</f>
        <v>1</v>
      </c>
      <c r="L215" s="44">
        <f>IF(AND(F215=0,J215&gt;0),5,IF(J215/F215&gt;5,5,IF(J215/F215=0,0.0000001,J215/F215)))</f>
        <v>5</v>
      </c>
      <c r="M215" s="5">
        <f>IFERROR(VLOOKUP(B215,'Факт продаж'!S:T,2,0),"нет продаж")</f>
        <v>120</v>
      </c>
      <c r="N215" s="48">
        <f>IFERROR(VLOOKUP(B215,'Факт продаж'!S:U,3,0),"нет продаж")</f>
        <v>106362.3</v>
      </c>
      <c r="O215" s="48">
        <f>IFERROR(VLOOKUP(B215,'Факт продаж'!S:W,5,0),"нет продаж")</f>
        <v>56206.400014609608</v>
      </c>
      <c r="P215" s="7">
        <f>IFERROR(VLOOKUP(B215,'Факт продаж'!S:U,3,0)/SUM('План Антонова'!$C$17:$C$19),0)</f>
        <v>6.4785812649937008E-4</v>
      </c>
      <c r="Q215" s="44">
        <f>IFERROR(VLOOKUP(B215,'Факт продаж'!S:X,6,0),"-")</f>
        <v>-0.75725091639673936</v>
      </c>
      <c r="R215" s="44">
        <f>IF(AND(J215=0,P215&gt;0),5,IF(P215/J215&gt;5,5,IF(P215/J215=0,0.0000001,P215/J215)))</f>
        <v>0.166147220539267</v>
      </c>
      <c r="S215" s="16">
        <f>IFERROR(VLOOKUP(B215,'Факт продаж'!AB:AD,2,0),"нет продаж")</f>
        <v>30</v>
      </c>
      <c r="T215" s="16">
        <f>IFERROR(VLOOKUP(B215,'Факт продаж'!AB:AD,3,0),"нет продаж")</f>
        <v>24165</v>
      </c>
      <c r="U215" s="16">
        <f>IFERROR(VLOOKUP(B215,'Факт продаж'!AB:AF,5,0),"нет продаж")</f>
        <v>11919.50262466753</v>
      </c>
      <c r="V215" s="7">
        <f>IFERROR(VLOOKUP(B215,'Факт продаж'!AB:AD,3,0)/SUM('План Антонова'!$C$20:$C$22),0)</f>
        <v>1.5704101834076463E-4</v>
      </c>
      <c r="W215" s="44">
        <f>IFERROR(VLOOKUP(B215,'Факт продаж'!AB:AG,6,0),"-")</f>
        <v>-0.78793335596000957</v>
      </c>
      <c r="X215" s="44">
        <f>IF(AND(P215=0,V215&gt;0),5,IF(V215/P215&gt;5,5,IF(V215/P215=0,0.0000001,V215/P215)))</f>
        <v>0.24240032179470905</v>
      </c>
      <c r="Y215" s="44">
        <f>IFERROR(VLOOKUP(B215,'Факт продаж'!AB:AH,7,0),"-")</f>
        <v>1</v>
      </c>
      <c r="Z215" s="44">
        <f>IF(AND(F215=0,V215&gt;0),5,IF(V215/F215&gt;5,5,IF(V215/F215=0,0.0000001,V215/F215)))</f>
        <v>5</v>
      </c>
      <c r="AB215" s="10" t="str">
        <f>IFERROR(VLOOKUP(VALUE(IF(L215&lt;1,1,0)&amp;IF(J215&lt;'Факт продаж'!$M$24,0,1)),$AB$1:$AC$4,2,FALSE),"НЕТ ПРОДАЖ")</f>
        <v>Звезда</v>
      </c>
      <c r="AC215" s="10" t="str">
        <f>IFERROR(VLOOKUP(VALUE(IF(R215&lt;1,1,0)&amp;IF(P215&lt;'Факт продаж'!$V$24,0,1)),$AB$1:$AC$4,2,FALSE),"НЕТ ПРОДАЖ")</f>
        <v>Собака</v>
      </c>
      <c r="AD215" s="10" t="str">
        <f>IFERROR(VLOOKUP(VALUE(IF(X215&lt;1,1,0)&amp;IF(V215&lt;'Факт продаж'!$AE$24,0,1)),$AB$1:$AC$4,2,FALSE),"НЕТ ПРОДАЖ")</f>
        <v>Собака</v>
      </c>
      <c r="AE215" s="18" t="str">
        <f>IFERROR(VLOOKUP(VALUE(IF(Z215&lt;1,1,0)&amp;IF(V215&lt;'Факт продаж'!$AE$24,0,1)),$AB$1:$AC$4,2,FALSE),"НЕТ ПРОДАЖ")</f>
        <v>Темная лошадка</v>
      </c>
      <c r="AF215" s="74" t="str">
        <f>VLOOKUP(B215,'ABC расчет'!B:G,6,0)</f>
        <v>C</v>
      </c>
      <c r="AG215" s="74" t="str">
        <f>VLOOKUP(B215,'ABC расчет'!K:P,6,0)</f>
        <v>A</v>
      </c>
      <c r="AH215" s="74" t="str">
        <f>VLOOKUP(B215,'ABC расчет'!T:Y,6,0)</f>
        <v>B</v>
      </c>
      <c r="AI215" s="74" t="str">
        <f>VLOOKUP(B215,'ABC расчет'!AC:AH,6,0)</f>
        <v>C</v>
      </c>
      <c r="AJ215" s="74"/>
      <c r="AK215" s="74"/>
      <c r="AL215" s="5"/>
    </row>
    <row r="216" spans="1:38" x14ac:dyDescent="0.3">
      <c r="A216" s="51" t="s">
        <v>258</v>
      </c>
      <c r="B216" s="21" t="s">
        <v>80</v>
      </c>
      <c r="C216" s="20">
        <f>IFERROR(VLOOKUP(B216,'Факт продаж'!A:B,2,0),"нет продаж")</f>
        <v>4</v>
      </c>
      <c r="D216" s="47">
        <f>IFERROR(VLOOKUP(B216,'Факт продаж'!A:C,3,0),"нет продаж")</f>
        <v>9669.2330000000002</v>
      </c>
      <c r="E216" s="47">
        <f>IFERROR(VLOOKUP(B216,'Факт продаж'!A:E,5,0),"нет продаж")</f>
        <v>4237.7784080689562</v>
      </c>
      <c r="F216" s="25">
        <f>IFERROR(VLOOKUP(B216,'Факт продаж'!A:C,3,0)/SUM('План Антонова'!$C$11:$C$13),0)</f>
        <v>7.3419510415202193E-5</v>
      </c>
      <c r="G216" s="5">
        <f>IFERROR(VLOOKUP(B216,'Факт продаж'!J:K,2,0),"нет продаж")</f>
        <v>10</v>
      </c>
      <c r="H216" s="48">
        <f>IFERROR(VLOOKUP(B216,'Факт продаж'!J:L,3,0),"нет продаж")</f>
        <v>23828.6</v>
      </c>
      <c r="I216" s="48">
        <f>IFERROR(VLOOKUP(B216,'Факт продаж'!J:N,5,0),"нет продаж")</f>
        <v>9202.5944798893815</v>
      </c>
      <c r="J216" s="7">
        <f>IFERROR(VLOOKUP(B216,'Факт продаж'!J:L,3,0)/SUM('План Антонова'!$C$14:$C$16),0)</f>
        <v>1.6453315249551959E-4</v>
      </c>
      <c r="K216" s="44">
        <f>IFERROR(VLOOKUP(B216,'Факт продаж'!J:O,6,0),"-")</f>
        <v>1.1715610382947705</v>
      </c>
      <c r="L216" s="44">
        <f>IF(AND(F216=0,J216&gt;0),5,IF(J216/F216&gt;5,5,IF(J216/F216=0,0.0000001,J216/F216)))</f>
        <v>2.2410004039124112</v>
      </c>
      <c r="M216" s="5">
        <f>IFERROR(VLOOKUP(B216,'Факт продаж'!S:T,2,0),"нет продаж")</f>
        <v>17</v>
      </c>
      <c r="N216" s="48">
        <f>IFERROR(VLOOKUP(B216,'Факт продаж'!S:U,3,0),"нет продаж")</f>
        <v>42618.9</v>
      </c>
      <c r="O216" s="48">
        <f>IFERROR(VLOOKUP(B216,'Факт продаж'!S:W,5,0),"нет продаж")</f>
        <v>16648.13833201224</v>
      </c>
      <c r="P216" s="7">
        <f>IFERROR(VLOOKUP(B216,'Факт продаж'!S:U,3,0)/SUM('План Антонова'!$C$17:$C$19),0)</f>
        <v>2.5959386650593305E-4</v>
      </c>
      <c r="Q216" s="44">
        <f>IFERROR(VLOOKUP(B216,'Факт продаж'!S:X,6,0),"-")</f>
        <v>0.80907008000773684</v>
      </c>
      <c r="R216" s="44">
        <f>IF(AND(J216=0,P216&gt;0),5,IF(P216/J216&gt;5,5,IF(P216/J216=0,0.0000001,P216/J216)))</f>
        <v>1.5777602420460646</v>
      </c>
      <c r="S216" s="16">
        <f>IFERROR(VLOOKUP(B216,'Факт продаж'!AB:AD,2,0),"нет продаж")</f>
        <v>9</v>
      </c>
      <c r="T216" s="16">
        <f>IFERROR(VLOOKUP(B216,'Факт продаж'!AB:AD,3,0),"нет продаж")</f>
        <v>24865.599999999999</v>
      </c>
      <c r="U216" s="16">
        <f>IFERROR(VLOOKUP(B216,'Факт продаж'!AB:AF,5,0),"нет продаж")</f>
        <v>11174.119971723872</v>
      </c>
      <c r="V216" s="7">
        <f>IFERROR(VLOOKUP(B216,'Факт продаж'!AB:AD,3,0)/SUM('План Антонова'!$C$20:$C$22),0)</f>
        <v>1.6159400561366094E-4</v>
      </c>
      <c r="W216" s="44">
        <f>IFERROR(VLOOKUP(B216,'Факт продаж'!AB:AG,6,0),"-")</f>
        <v>-0.32880663598058479</v>
      </c>
      <c r="X216" s="44">
        <f>IF(AND(P216=0,V216&gt;0),5,IF(V216/P216&gt;5,5,IF(V216/P216=0,0.0000001,V216/P216)))</f>
        <v>0.62248776440165887</v>
      </c>
      <c r="Y216" s="44">
        <f>IFERROR(VLOOKUP(B216,'Факт продаж'!AB:AH,7,0),"-")</f>
        <v>1.6367872256953673</v>
      </c>
      <c r="Z216" s="44">
        <f>IF(AND(F216=0,V216&gt;0),5,IF(V216/F216&gt;5,5,IF(V216/F216=0,0.0000001,V216/F216)))</f>
        <v>2.2009681718090208</v>
      </c>
      <c r="AB216" s="10" t="str">
        <f>IFERROR(VLOOKUP(VALUE(IF(L216&lt;1,1,0)&amp;IF(J216&lt;'Факт продаж'!$M$24,0,1)),$AB$1:$AC$4,2,FALSE),"НЕТ ПРОДАЖ")</f>
        <v>Темная лошадка</v>
      </c>
      <c r="AC216" s="10" t="str">
        <f>IFERROR(VLOOKUP(VALUE(IF(R216&lt;1,1,0)&amp;IF(P216&lt;'Факт продаж'!$V$24,0,1)),$AB$1:$AC$4,2,FALSE),"НЕТ ПРОДАЖ")</f>
        <v>Темная лошадка</v>
      </c>
      <c r="AD216" s="10" t="str">
        <f>IFERROR(VLOOKUP(VALUE(IF(X216&lt;1,1,0)&amp;IF(V216&lt;'Факт продаж'!$AE$24,0,1)),$AB$1:$AC$4,2,FALSE),"НЕТ ПРОДАЖ")</f>
        <v>Собака</v>
      </c>
      <c r="AE216" s="18" t="str">
        <f>IFERROR(VLOOKUP(VALUE(IF(Z216&lt;1,1,0)&amp;IF(V216&lt;'Факт продаж'!$AE$24,0,1)),$AB$1:$AC$4,2,FALSE),"НЕТ ПРОДАЖ")</f>
        <v>Темная лошадка</v>
      </c>
      <c r="AF216" s="74" t="str">
        <f>VLOOKUP(B216,'ABC расчет'!B:G,6,0)</f>
        <v>A</v>
      </c>
      <c r="AG216" s="74" t="str">
        <f>VLOOKUP(B216,'ABC расчет'!K:P,6,0)</f>
        <v>C</v>
      </c>
      <c r="AH216" s="74" t="str">
        <f>VLOOKUP(B216,'ABC расчет'!T:Y,6,0)</f>
        <v>B</v>
      </c>
      <c r="AI216" s="74" t="str">
        <f>VLOOKUP(B216,'ABC расчет'!AC:AH,6,0)</f>
        <v>B</v>
      </c>
      <c r="AJ216" s="74"/>
      <c r="AK216" s="74"/>
      <c r="AL216" s="19"/>
    </row>
    <row r="217" spans="1:38" ht="13.95" customHeight="1" x14ac:dyDescent="0.3">
      <c r="A217" s="51" t="s">
        <v>247</v>
      </c>
      <c r="B217" s="21" t="s">
        <v>234</v>
      </c>
      <c r="C217" s="20">
        <f>IFERROR(VLOOKUP(B217,'Факт продаж'!A:B,2,0),"нет продаж")</f>
        <v>60</v>
      </c>
      <c r="D217" s="47">
        <f>IFERROR(VLOOKUP(B217,'Факт продаж'!A:C,3,0),"нет продаж")</f>
        <v>20121.12</v>
      </c>
      <c r="E217" s="47">
        <f>IFERROR(VLOOKUP(B217,'Факт продаж'!A:E,5,0),"нет продаж")</f>
        <v>6928.6909944218851</v>
      </c>
      <c r="F217" s="25">
        <f>IFERROR(VLOOKUP(B217,'Факт продаж'!A:C,3,0)/SUM('План Антонова'!$C$11:$C$13),0)</f>
        <v>1.5278179555767589E-4</v>
      </c>
      <c r="G217" s="5">
        <f>IFERROR(VLOOKUP(B217,'Факт продаж'!J:K,2,0),"нет продаж")</f>
        <v>192</v>
      </c>
      <c r="H217" s="48">
        <f>IFERROR(VLOOKUP(B217,'Факт продаж'!J:L,3,0),"нет продаж")</f>
        <v>77753</v>
      </c>
      <c r="I217" s="48">
        <f>IFERROR(VLOOKUP(B217,'Факт продаж'!J:N,5,0),"нет продаж")</f>
        <v>31311.212597646496</v>
      </c>
      <c r="J217" s="7">
        <f>IFERROR(VLOOKUP(B217,'Факт продаж'!J:L,3,0)/SUM('План Антонова'!$C$14:$C$16),0)</f>
        <v>5.3687359752499671E-4</v>
      </c>
      <c r="K217" s="44">
        <f>IFERROR(VLOOKUP(B217,'Факт продаж'!J:O,6,0),"-")</f>
        <v>3.5190661010650306</v>
      </c>
      <c r="L217" s="44">
        <f>IF(AND(F217=0,J217&gt;0),5,IF(J217/F217&gt;5,5,IF(J217/F217=0,0.0000001,J217/F217)))</f>
        <v>3.5139893176757715</v>
      </c>
      <c r="M217" s="5">
        <f>IFERROR(VLOOKUP(B217,'Факт продаж'!S:T,2,0),"нет продаж")</f>
        <v>115</v>
      </c>
      <c r="N217" s="48">
        <f>IFERROR(VLOOKUP(B217,'Факт продаж'!S:U,3,0),"нет продаж")</f>
        <v>46560</v>
      </c>
      <c r="O217" s="48">
        <f>IFERROR(VLOOKUP(B217,'Факт продаж'!S:W,5,0),"нет продаж")</f>
        <v>12011.059603878151</v>
      </c>
      <c r="P217" s="7">
        <f>IFERROR(VLOOKUP(B217,'Факт продаж'!S:U,3,0)/SUM('План Антонова'!$C$17:$C$19),0)</f>
        <v>2.8359930510914741E-4</v>
      </c>
      <c r="Q217" s="44">
        <f>IFERROR(VLOOKUP(B217,'Факт продаж'!S:X,6,0),"-")</f>
        <v>-0.61639749446238434</v>
      </c>
      <c r="R217" s="44">
        <f>IF(AND(J217=0,P217&gt;0),5,IF(P217/J217&gt;5,5,IF(P217/J217=0,0.0000001,P217/J217)))</f>
        <v>0.52824222762406026</v>
      </c>
      <c r="S217" s="16">
        <f>IFERROR(VLOOKUP(B217,'Факт продаж'!AB:AD,2,0),"нет продаж")</f>
        <v>79</v>
      </c>
      <c r="T217" s="16">
        <f>IFERROR(VLOOKUP(B217,'Факт продаж'!AB:AD,3,0),"нет продаж")</f>
        <v>34395</v>
      </c>
      <c r="U217" s="16">
        <f>IFERROR(VLOOKUP(B217,'Факт продаж'!AB:AF,5,0),"нет продаж")</f>
        <v>10638.11570105188</v>
      </c>
      <c r="V217" s="7">
        <f>IFERROR(VLOOKUP(B217,'Факт продаж'!AB:AD,3,0)/SUM('План Антонова'!$C$20:$C$22),0)</f>
        <v>2.2352269090960476E-4</v>
      </c>
      <c r="W217" s="44">
        <f>IFERROR(VLOOKUP(B217,'Факт продаж'!AB:AG,6,0),"-")</f>
        <v>-0.11430664305278881</v>
      </c>
      <c r="X217" s="44">
        <f>IF(AND(P217=0,V217&gt;0),5,IF(V217/P217&gt;5,5,IF(V217/P217=0,0.0000001,V217/P217)))</f>
        <v>0.78816374681728762</v>
      </c>
      <c r="Y217" s="44">
        <f>IFERROR(VLOOKUP(B217,'Факт продаж'!AB:AH,7,0),"-")</f>
        <v>0.5353716466236349</v>
      </c>
      <c r="Z217" s="44">
        <f>IF(AND(F217=0,V217&gt;0),5,IF(V217/F217&gt;5,5,IF(V217/F217=0,0.0000001,V217/F217)))</f>
        <v>1.4630191384628926</v>
      </c>
      <c r="AB217" s="10" t="str">
        <f>IFERROR(VLOOKUP(VALUE(IF(L217&lt;1,1,0)&amp;IF(J217&lt;'Факт продаж'!$M$24,0,1)),$AB$1:$AC$4,2,FALSE),"НЕТ ПРОДАЖ")</f>
        <v>Темная лошадка</v>
      </c>
      <c r="AC217" s="10" t="str">
        <f>IFERROR(VLOOKUP(VALUE(IF(R217&lt;1,1,0)&amp;IF(P217&lt;'Факт продаж'!$V$24,0,1)),$AB$1:$AC$4,2,FALSE),"НЕТ ПРОДАЖ")</f>
        <v>Собака</v>
      </c>
      <c r="AD217" s="10" t="str">
        <f>IFERROR(VLOOKUP(VALUE(IF(X217&lt;1,1,0)&amp;IF(V217&lt;'Факт продаж'!$AE$24,0,1)),$AB$1:$AC$4,2,FALSE),"НЕТ ПРОДАЖ")</f>
        <v>Собака</v>
      </c>
      <c r="AE217" s="18" t="str">
        <f>IFERROR(VLOOKUP(VALUE(IF(Z217&lt;1,1,0)&amp;IF(V217&lt;'Факт продаж'!$AE$24,0,1)),$AB$1:$AC$4,2,FALSE),"НЕТ ПРОДАЖ")</f>
        <v>Темная лошадка</v>
      </c>
      <c r="AF217" s="74" t="str">
        <f>VLOOKUP(B217,'ABC расчет'!B:G,6,0)</f>
        <v>B</v>
      </c>
      <c r="AG217" s="74" t="str">
        <f>VLOOKUP(B217,'ABC расчет'!K:P,6,0)</f>
        <v>A</v>
      </c>
      <c r="AH217" s="74" t="str">
        <f>VLOOKUP(B217,'ABC расчет'!T:Y,6,0)</f>
        <v>B</v>
      </c>
      <c r="AI217" s="74" t="str">
        <f>VLOOKUP(B217,'ABC расчет'!AC:AH,6,0)</f>
        <v>B</v>
      </c>
      <c r="AJ217" s="74"/>
      <c r="AK217" s="74"/>
      <c r="AL217" s="19"/>
    </row>
    <row r="218" spans="1:38" x14ac:dyDescent="0.3">
      <c r="A218" s="51" t="s">
        <v>252</v>
      </c>
      <c r="B218" s="20" t="s">
        <v>199</v>
      </c>
      <c r="C218" s="20" t="str">
        <f>IFERROR(VLOOKUP(B218,'Факт продаж'!A:B,2,0),"нет продаж")</f>
        <v>нет продаж</v>
      </c>
      <c r="D218" s="47" t="str">
        <f>IFERROR(VLOOKUP(B218,'Факт продаж'!A:C,3,0),"нет продаж")</f>
        <v>нет продаж</v>
      </c>
      <c r="E218" s="47" t="str">
        <f>IFERROR(VLOOKUP(B218,'Факт продаж'!A:E,5,0),"нет продаж")</f>
        <v>нет продаж</v>
      </c>
      <c r="F218" s="25">
        <f>IFERROR(VLOOKUP(B218,'Факт продаж'!A:C,3,0)/SUM('План Антонова'!$C$11:$C$13),0)</f>
        <v>0</v>
      </c>
      <c r="G218" s="5">
        <f>IFERROR(VLOOKUP(B218,'Факт продаж'!J:K,2,0),"нет продаж")</f>
        <v>18</v>
      </c>
      <c r="H218" s="48">
        <f>IFERROR(VLOOKUP(B218,'Факт продаж'!J:L,3,0),"нет продаж")</f>
        <v>54709.8</v>
      </c>
      <c r="I218" s="48">
        <f>IFERROR(VLOOKUP(B218,'Факт продаж'!J:N,5,0),"нет продаж")</f>
        <v>23319.994649956287</v>
      </c>
      <c r="J218" s="7">
        <f>IFERROR(VLOOKUP(B218,'Факт продаж'!J:L,3,0)/SUM('План Антонова'!$C$14:$C$16),0)</f>
        <v>3.7776352225474345E-4</v>
      </c>
      <c r="K218" s="44">
        <f>IFERROR(VLOOKUP(B218,'Факт продаж'!J:O,6,0),"-")</f>
        <v>1</v>
      </c>
      <c r="L218" s="44">
        <f>IF(AND(F218=0,J218&gt;0),5,IF(J218/F218&gt;5,5,IF(J218/F218=0,0.0000001,J218/F218)))</f>
        <v>5</v>
      </c>
      <c r="M218" s="5">
        <f>IFERROR(VLOOKUP(B218,'Факт продаж'!S:T,2,0),"нет продаж")</f>
        <v>2</v>
      </c>
      <c r="N218" s="48">
        <f>IFERROR(VLOOKUP(B218,'Факт продаж'!S:U,3,0),"нет продаж")</f>
        <v>5703</v>
      </c>
      <c r="O218" s="48">
        <f>IFERROR(VLOOKUP(B218,'Факт продаж'!S:W,5,0),"нет продаж")</f>
        <v>2383.9392057080672</v>
      </c>
      <c r="P218" s="7">
        <f>IFERROR(VLOOKUP(B218,'Факт продаж'!S:U,3,0)/SUM('План Антонова'!$C$17:$C$19),0)</f>
        <v>3.4737260245650079E-5</v>
      </c>
      <c r="Q218" s="44">
        <f>IFERROR(VLOOKUP(B218,'Факт продаж'!S:X,6,0),"-")</f>
        <v>-0.89777273788042933</v>
      </c>
      <c r="R218" s="44">
        <f>IF(AND(J218=0,P218&gt;0),5,IF(P218/J218&gt;5,5,IF(P218/J218=0,0.0000001,P218/J218)))</f>
        <v>9.1955041181094072E-2</v>
      </c>
      <c r="S218" s="16">
        <f>IFERROR(VLOOKUP(B218,'Факт продаж'!AB:AD,2,0),"нет продаж")</f>
        <v>6</v>
      </c>
      <c r="T218" s="16">
        <f>IFERROR(VLOOKUP(B218,'Факт продаж'!AB:AD,3,0),"нет продаж")</f>
        <v>28244.75</v>
      </c>
      <c r="U218" s="16">
        <f>IFERROR(VLOOKUP(B218,'Факт продаж'!AB:AF,5,0),"нет продаж")</f>
        <v>10500.178967866423</v>
      </c>
      <c r="V218" s="7">
        <f>IFERROR(VLOOKUP(B218,'Факт продаж'!AB:AD,3,0)/SUM('План Антонова'!$C$20:$C$22),0)</f>
        <v>1.835540783273458E-4</v>
      </c>
      <c r="W218" s="44">
        <f>IFERROR(VLOOKUP(B218,'Факт продаж'!AB:AG,6,0),"-")</f>
        <v>3.404549806775675</v>
      </c>
      <c r="X218" s="44">
        <f>IF(AND(P218=0,V218&gt;0),5,IF(V218/P218&gt;5,5,IF(V218/P218=0,0.0000001,V218/P218)))</f>
        <v>5</v>
      </c>
      <c r="Y218" s="44">
        <f>IFERROR(VLOOKUP(B218,'Факт продаж'!AB:AH,7,0),"-")</f>
        <v>1</v>
      </c>
      <c r="Z218" s="44">
        <f>IF(AND(F218=0,V218&gt;0),5,IF(V218/F218&gt;5,5,IF(V218/F218=0,0.0000001,V218/F218)))</f>
        <v>5</v>
      </c>
      <c r="AB218" s="10" t="str">
        <f>IFERROR(VLOOKUP(VALUE(IF(L218&lt;1,1,0)&amp;IF(J218&lt;'Факт продаж'!$M$24,0,1)),$AB$1:$AC$4,2,FALSE),"НЕТ ПРОДАЖ")</f>
        <v>Темная лошадка</v>
      </c>
      <c r="AC218" s="10" t="str">
        <f>IFERROR(VLOOKUP(VALUE(IF(R218&lt;1,1,0)&amp;IF(P218&lt;'Факт продаж'!$V$24,0,1)),$AB$1:$AC$4,2,FALSE),"НЕТ ПРОДАЖ")</f>
        <v>Собака</v>
      </c>
      <c r="AD218" s="10" t="str">
        <f>IFERROR(VLOOKUP(VALUE(IF(X218&lt;1,1,0)&amp;IF(V218&lt;'Факт продаж'!$AE$24,0,1)),$AB$1:$AC$4,2,FALSE),"НЕТ ПРОДАЖ")</f>
        <v>Темная лошадка</v>
      </c>
      <c r="AE218" s="18" t="str">
        <f>IFERROR(VLOOKUP(VALUE(IF(Z218&lt;1,1,0)&amp;IF(V218&lt;'Факт продаж'!$AE$24,0,1)),$AB$1:$AC$4,2,FALSE),"НЕТ ПРОДАЖ")</f>
        <v>Темная лошадка</v>
      </c>
      <c r="AF218" s="74" t="str">
        <f>VLOOKUP(B218,'ABC расчет'!B:G,6,0)</f>
        <v>C</v>
      </c>
      <c r="AG218" s="74" t="str">
        <f>VLOOKUP(B218,'ABC расчет'!K:P,6,0)</f>
        <v>C</v>
      </c>
      <c r="AH218" s="74" t="str">
        <f>VLOOKUP(B218,'ABC расчет'!T:Y,6,0)</f>
        <v>C</v>
      </c>
      <c r="AI218" s="74" t="str">
        <f>VLOOKUP(B218,'ABC расчет'!AC:AH,6,0)</f>
        <v>C</v>
      </c>
      <c r="AJ218" s="74"/>
      <c r="AK218" s="74"/>
      <c r="AL218" s="19"/>
    </row>
    <row r="219" spans="1:38" x14ac:dyDescent="0.3">
      <c r="A219" s="51" t="s">
        <v>247</v>
      </c>
      <c r="B219" s="21" t="s">
        <v>205</v>
      </c>
      <c r="C219" s="20" t="str">
        <f>IFERROR(VLOOKUP(B219,'Факт продаж'!A:B,2,0),"нет продаж")</f>
        <v>нет продаж</v>
      </c>
      <c r="D219" s="47" t="str">
        <f>IFERROR(VLOOKUP(B219,'Факт продаж'!A:C,3,0),"нет продаж")</f>
        <v>нет продаж</v>
      </c>
      <c r="E219" s="47" t="str">
        <f>IFERROR(VLOOKUP(B219,'Факт продаж'!A:E,5,0),"нет продаж")</f>
        <v>нет продаж</v>
      </c>
      <c r="F219" s="25">
        <f>IFERROR(VLOOKUP(B219,'Факт продаж'!A:C,3,0)/SUM('План Антонова'!$C$11:$C$13),0)</f>
        <v>0</v>
      </c>
      <c r="G219" s="5">
        <f>IFERROR(VLOOKUP(B219,'Факт продаж'!J:K,2,0),"нет продаж")</f>
        <v>134</v>
      </c>
      <c r="H219" s="48">
        <f>IFERROR(VLOOKUP(B219,'Факт продаж'!J:L,3,0),"нет продаж")</f>
        <v>67674.2</v>
      </c>
      <c r="I219" s="48">
        <f>IFERROR(VLOOKUP(B219,'Факт продаж'!J:N,5,0),"нет продаж")</f>
        <v>24419.217038379142</v>
      </c>
      <c r="J219" s="7">
        <f>IFERROR(VLOOKUP(B219,'Факт продаж'!J:L,3,0)/SUM('План Антонова'!$C$14:$C$16),0)</f>
        <v>4.6728089223086096E-4</v>
      </c>
      <c r="K219" s="44">
        <f>IFERROR(VLOOKUP(B219,'Факт продаж'!J:O,6,0),"-")</f>
        <v>1</v>
      </c>
      <c r="L219" s="44">
        <f>IF(AND(F219=0,J219&gt;0),5,IF(J219/F219&gt;5,5,IF(J219/F219=0,0.0000001,J219/F219)))</f>
        <v>5</v>
      </c>
      <c r="M219" s="5">
        <f>IFERROR(VLOOKUP(B219,'Факт продаж'!S:T,2,0),"нет продаж")</f>
        <v>63</v>
      </c>
      <c r="N219" s="48">
        <f>IFERROR(VLOOKUP(B219,'Факт продаж'!S:U,3,0),"нет продаж")</f>
        <v>34487.300000000003</v>
      </c>
      <c r="O219" s="48">
        <f>IFERROR(VLOOKUP(B219,'Факт продаж'!S:W,5,0),"нет продаж")</f>
        <v>10440.117599004303</v>
      </c>
      <c r="P219" s="7">
        <f>IFERROR(VLOOKUP(B219,'Факт продаж'!S:U,3,0)/SUM('План Антонова'!$C$17:$C$19),0)</f>
        <v>2.1006388133785868E-4</v>
      </c>
      <c r="Q219" s="44">
        <f>IFERROR(VLOOKUP(B219,'Факт продаж'!S:X,6,0),"-")</f>
        <v>-0.57246304897508371</v>
      </c>
      <c r="R219" s="44">
        <f>IF(AND(J219=0,P219&gt;0),5,IF(P219/J219&gt;5,5,IF(P219/J219=0,0.0000001,P219/J219)))</f>
        <v>0.44954519825320877</v>
      </c>
      <c r="S219" s="16">
        <f>IFERROR(VLOOKUP(B219,'Факт продаж'!AB:AD,2,0),"нет продаж")</f>
        <v>50</v>
      </c>
      <c r="T219" s="16">
        <f>IFERROR(VLOOKUP(B219,'Факт продаж'!AB:AD,3,0),"нет продаж")</f>
        <v>29558.200000000004</v>
      </c>
      <c r="U219" s="16">
        <f>IFERROR(VLOOKUP(B219,'Факт продаж'!AB:AF,5,0),"нет продаж")</f>
        <v>10219.793312834534</v>
      </c>
      <c r="V219" s="7">
        <f>IFERROR(VLOOKUP(B219,'Факт продаж'!AB:AD,3,0)/SUM('План Антонова'!$C$20:$C$22),0)</f>
        <v>1.920897921920128E-4</v>
      </c>
      <c r="W219" s="44">
        <f>IFERROR(VLOOKUP(B219,'Факт продаж'!AB:AG,6,0),"-")</f>
        <v>-2.1103621111584259E-2</v>
      </c>
      <c r="X219" s="44">
        <f>IF(AND(P219=0,V219&gt;0),5,IF(V219/P219&gt;5,5,IF(V219/P219=0,0.0000001,V219/P219)))</f>
        <v>0.91443512786980718</v>
      </c>
      <c r="Y219" s="44">
        <f>IFERROR(VLOOKUP(B219,'Факт продаж'!AB:AH,7,0),"-")</f>
        <v>1</v>
      </c>
      <c r="Z219" s="44">
        <f>IF(AND(F219=0,V219&gt;0),5,IF(V219/F219&gt;5,5,IF(V219/F219=0,0.0000001,V219/F219)))</f>
        <v>5</v>
      </c>
      <c r="AB219" s="10" t="str">
        <f>IFERROR(VLOOKUP(VALUE(IF(L219&lt;1,1,0)&amp;IF(J219&lt;'Факт продаж'!$M$24,0,1)),$AB$1:$AC$4,2,FALSE),"НЕТ ПРОДАЖ")</f>
        <v>Темная лошадка</v>
      </c>
      <c r="AC219" s="10" t="str">
        <f>IFERROR(VLOOKUP(VALUE(IF(R219&lt;1,1,0)&amp;IF(P219&lt;'Факт продаж'!$V$24,0,1)),$AB$1:$AC$4,2,FALSE),"НЕТ ПРОДАЖ")</f>
        <v>Собака</v>
      </c>
      <c r="AD219" s="10" t="str">
        <f>IFERROR(VLOOKUP(VALUE(IF(X219&lt;1,1,0)&amp;IF(V219&lt;'Факт продаж'!$AE$24,0,1)),$AB$1:$AC$4,2,FALSE),"НЕТ ПРОДАЖ")</f>
        <v>Собака</v>
      </c>
      <c r="AE219" s="18" t="str">
        <f>IFERROR(VLOOKUP(VALUE(IF(Z219&lt;1,1,0)&amp;IF(V219&lt;'Факт продаж'!$AE$24,0,1)),$AB$1:$AC$4,2,FALSE),"НЕТ ПРОДАЖ")</f>
        <v>Темная лошадка</v>
      </c>
      <c r="AF219" s="74" t="str">
        <f>VLOOKUP(B219,'ABC расчет'!B:G,6,0)</f>
        <v>C</v>
      </c>
      <c r="AG219" s="74" t="str">
        <f>VLOOKUP(B219,'ABC расчет'!K:P,6,0)</f>
        <v>B</v>
      </c>
      <c r="AH219" s="74" t="str">
        <f>VLOOKUP(B219,'ABC расчет'!T:Y,6,0)</f>
        <v>B</v>
      </c>
      <c r="AI219" s="74" t="str">
        <f>VLOOKUP(B219,'ABC расчет'!AC:AH,6,0)</f>
        <v>C</v>
      </c>
      <c r="AJ219" s="74"/>
      <c r="AK219" s="74"/>
      <c r="AL219" s="19" t="s">
        <v>455</v>
      </c>
    </row>
    <row r="220" spans="1:38" x14ac:dyDescent="0.3">
      <c r="A220" s="51" t="s">
        <v>254</v>
      </c>
      <c r="B220" s="21" t="s">
        <v>236</v>
      </c>
      <c r="C220" s="20">
        <f>IFERROR(VLOOKUP(B220,'Факт продаж'!A:B,2,0),"нет продаж")</f>
        <v>3</v>
      </c>
      <c r="D220" s="47">
        <f>IFERROR(VLOOKUP(B220,'Факт продаж'!A:C,3,0),"нет продаж")</f>
        <v>3650.5862999999999</v>
      </c>
      <c r="E220" s="47">
        <f>IFERROR(VLOOKUP(B220,'Факт продаж'!A:E,5,0),"нет продаж")</f>
        <v>1479.9313862763665</v>
      </c>
      <c r="F220" s="25">
        <f>IFERROR(VLOOKUP(B220,'Факт продаж'!A:C,3,0)/SUM('План Антонова'!$C$11:$C$13),0)</f>
        <v>2.7719288476598342E-5</v>
      </c>
      <c r="G220" s="5" t="str">
        <f>IFERROR(VLOOKUP(B220,'Факт продаж'!J:K,2,0),"нет продаж")</f>
        <v>нет продаж</v>
      </c>
      <c r="H220" s="48" t="str">
        <f>IFERROR(VLOOKUP(B220,'Факт продаж'!J:L,3,0),"нет продаж")</f>
        <v>нет продаж</v>
      </c>
      <c r="I220" s="48" t="str">
        <f>IFERROR(VLOOKUP(B220,'Факт продаж'!J:N,5,0),"нет продаж")</f>
        <v>нет продаж</v>
      </c>
      <c r="J220" s="7">
        <f>IFERROR(VLOOKUP(B220,'Факт продаж'!J:L,3,0)/SUM('План Антонова'!$C$14:$C$16),0)</f>
        <v>0</v>
      </c>
      <c r="K220" s="44" t="str">
        <f>IFERROR(VLOOKUP(B220,'Факт продаж'!J:O,6,0),"-")</f>
        <v>-</v>
      </c>
      <c r="L220" s="44">
        <f>IF(AND(F220=0,J220&gt;0),5,IF(J220/F220&gt;5,5,IF(J220/F220=0,0.0000001,J220/F220)))</f>
        <v>9.9999999999999995E-8</v>
      </c>
      <c r="M220" s="5" t="str">
        <f>IFERROR(VLOOKUP(B220,'Факт продаж'!S:T,2,0),"нет продаж")</f>
        <v>нет продаж</v>
      </c>
      <c r="N220" s="48" t="str">
        <f>IFERROR(VLOOKUP(B220,'Факт продаж'!S:U,3,0),"нет продаж")</f>
        <v>нет продаж</v>
      </c>
      <c r="O220" s="48" t="str">
        <f>IFERROR(VLOOKUP(B220,'Факт продаж'!S:W,5,0),"нет продаж")</f>
        <v>нет продаж</v>
      </c>
      <c r="P220" s="7">
        <f>IFERROR(VLOOKUP(B220,'Факт продаж'!S:U,3,0)/SUM('План Антонова'!$C$17:$C$19),0)</f>
        <v>0</v>
      </c>
      <c r="Q220" s="44" t="str">
        <f>IFERROR(VLOOKUP(B220,'Факт продаж'!S:X,6,0),"-")</f>
        <v>-</v>
      </c>
      <c r="R220" s="44" t="e">
        <f>IF(AND(J220=0,P220&gt;0),5,IF(P220/J220&gt;5,5,IF(P220/J220=0,0.0000001,P220/J220)))</f>
        <v>#DIV/0!</v>
      </c>
      <c r="S220" s="16">
        <f>IFERROR(VLOOKUP(B220,'Факт продаж'!AB:AD,2,0),"нет продаж")</f>
        <v>13</v>
      </c>
      <c r="T220" s="16">
        <f>IFERROR(VLOOKUP(B220,'Факт продаж'!AB:AD,3,0),"нет продаж")</f>
        <v>27433.9</v>
      </c>
      <c r="U220" s="16">
        <f>IFERROR(VLOOKUP(B220,'Факт продаж'!AB:AF,5,0),"нет продаж")</f>
        <v>9578.1138493350591</v>
      </c>
      <c r="V220" s="7">
        <f>IFERROR(VLOOKUP(B220,'Факт продаж'!AB:AD,3,0)/SUM('План Антонова'!$C$20:$C$22),0)</f>
        <v>1.7828460968585569E-4</v>
      </c>
      <c r="W220" s="44">
        <f>IFERROR(VLOOKUP(B220,'Факт продаж'!AB:AG,6,0),"-")</f>
        <v>1</v>
      </c>
      <c r="X220" s="44">
        <f>IF(AND(P220=0,V220&gt;0),5,IF(V220/P220&gt;5,5,IF(V220/P220=0,0.0000001,V220/P220)))</f>
        <v>5</v>
      </c>
      <c r="Y220" s="44">
        <f>IFERROR(VLOOKUP(B220,'Факт продаж'!AB:AH,7,0),"-")</f>
        <v>5.4719985927417953</v>
      </c>
      <c r="Z220" s="44">
        <f>IF(AND(F220=0,V220&gt;0),5,IF(V220/F220&gt;5,5,IF(V220/F220=0,0.0000001,V220/F220)))</f>
        <v>5</v>
      </c>
      <c r="AB220" s="10" t="str">
        <f>IFERROR(VLOOKUP(VALUE(IF(L220&lt;1,1,0)&amp;IF(J220&lt;'Факт продаж'!$M$24,0,1)),$AB$1:$AC$4,2,FALSE),"НЕТ ПРОДАЖ")</f>
        <v>Собака</v>
      </c>
      <c r="AC220" s="10" t="str">
        <f>IFERROR(VLOOKUP(VALUE(IF(R220&lt;1,1,0)&amp;IF(P220&lt;'Факт продаж'!$V$24,0,1)),$AB$1:$AC$4,2,FALSE),"НЕТ ПРОДАЖ")</f>
        <v>НЕТ ПРОДАЖ</v>
      </c>
      <c r="AD220" s="10" t="str">
        <f>IFERROR(VLOOKUP(VALUE(IF(X220&lt;1,1,0)&amp;IF(V220&lt;'Факт продаж'!$AE$24,0,1)),$AB$1:$AC$4,2,FALSE),"НЕТ ПРОДАЖ")</f>
        <v>Темная лошадка</v>
      </c>
      <c r="AE220" s="18" t="str">
        <f>IFERROR(VLOOKUP(VALUE(IF(Z220&lt;1,1,0)&amp;IF(V220&lt;'Факт продаж'!$AE$24,0,1)),$AB$1:$AC$4,2,FALSE),"НЕТ ПРОДАЖ")</f>
        <v>Темная лошадка</v>
      </c>
      <c r="AF220" s="74" t="str">
        <f>VLOOKUP(B220,'ABC расчет'!B:G,6,0)</f>
        <v>C</v>
      </c>
      <c r="AG220" s="74" t="str">
        <f>VLOOKUP(B220,'ABC расчет'!K:P,6,0)</f>
        <v>C</v>
      </c>
      <c r="AH220" s="74" t="str">
        <f>VLOOKUP(B220,'ABC расчет'!T:Y,6,0)</f>
        <v>C</v>
      </c>
      <c r="AI220" s="74" t="str">
        <f>VLOOKUP(B220,'ABC расчет'!AC:AH,6,0)</f>
        <v>C</v>
      </c>
      <c r="AJ220" s="74"/>
      <c r="AK220" s="74"/>
      <c r="AL220" s="19"/>
    </row>
    <row r="221" spans="1:38" x14ac:dyDescent="0.3">
      <c r="A221" s="51" t="s">
        <v>329</v>
      </c>
      <c r="B221" s="21" t="s">
        <v>306</v>
      </c>
      <c r="C221" s="20" t="str">
        <f>IFERROR(VLOOKUP(B221,'Факт продаж'!A:B,2,0),"нет продаж")</f>
        <v>нет продаж</v>
      </c>
      <c r="D221" s="47" t="str">
        <f>IFERROR(VLOOKUP(B221,'Факт продаж'!A:C,3,0),"нет продаж")</f>
        <v>нет продаж</v>
      </c>
      <c r="E221" s="47" t="str">
        <f>IFERROR(VLOOKUP(B221,'Факт продаж'!A:E,5,0),"нет продаж")</f>
        <v>нет продаж</v>
      </c>
      <c r="F221" s="25">
        <f>IFERROR(VLOOKUP(B221,'Факт продаж'!A:C,3,0)/SUM('План Антонова'!$C$11:$C$13),0)</f>
        <v>0</v>
      </c>
      <c r="G221" s="5">
        <f>IFERROR(VLOOKUP(B221,'Факт продаж'!J:K,2,0),"нет продаж")</f>
        <v>2</v>
      </c>
      <c r="H221" s="48">
        <f>IFERROR(VLOOKUP(B221,'Факт продаж'!J:L,3,0),"нет продаж")</f>
        <v>4103.2</v>
      </c>
      <c r="I221" s="48">
        <f>IFERROR(VLOOKUP(B221,'Факт продаж'!J:N,5,0),"нет продаж")</f>
        <v>1697.5552795911995</v>
      </c>
      <c r="J221" s="7">
        <f>IFERROR(VLOOKUP(B221,'Факт продаж'!J:L,3,0)/SUM('План Антонова'!$C$14:$C$16),0)</f>
        <v>2.8332022498997676E-5</v>
      </c>
      <c r="K221" s="44">
        <f>IFERROR(VLOOKUP(B221,'Факт продаж'!J:O,6,0),"-")</f>
        <v>1</v>
      </c>
      <c r="L221" s="44">
        <f>IF(AND(F221=0,J221&gt;0),5,IF(J221/F221&gt;5,5,IF(J221/F221=0,0.0000001,J221/F221)))</f>
        <v>5</v>
      </c>
      <c r="M221" s="5">
        <f>IFERROR(VLOOKUP(B221,'Факт продаж'!S:T,2,0),"нет продаж")</f>
        <v>64</v>
      </c>
      <c r="N221" s="48">
        <f>IFERROR(VLOOKUP(B221,'Факт продаж'!S:U,3,0),"нет продаж")</f>
        <v>141713.60000000001</v>
      </c>
      <c r="O221" s="48">
        <f>IFERROR(VLOOKUP(B221,'Факт продаж'!S:W,5,0),"нет продаж")</f>
        <v>54567.073752575074</v>
      </c>
      <c r="P221" s="7">
        <f>IFERROR(VLOOKUP(B221,'Факт продаж'!S:U,3,0)/SUM('План Антонова'!$C$17:$C$19),0)</f>
        <v>8.6318467535471813E-4</v>
      </c>
      <c r="Q221" s="44">
        <f>IFERROR(VLOOKUP(B221,'Факт продаж'!S:X,6,0),"-")</f>
        <v>31.144504752573219</v>
      </c>
      <c r="R221" s="44">
        <f>IF(AND(J221=0,P221&gt;0),5,IF(P221/J221&gt;5,5,IF(P221/J221=0,0.0000001,P221/J221)))</f>
        <v>5</v>
      </c>
      <c r="S221" s="16">
        <f>IFERROR(VLOOKUP(B221,'Факт продаж'!AB:AD,2,0),"нет продаж")</f>
        <v>11</v>
      </c>
      <c r="T221" s="16">
        <f>IFERROR(VLOOKUP(B221,'Факт продаж'!AB:AD,3,0),"нет продаж")</f>
        <v>23719.500000000004</v>
      </c>
      <c r="U221" s="16">
        <f>IFERROR(VLOOKUP(B221,'Факт продаж'!AB:AF,5,0),"нет продаж")</f>
        <v>9478.7198051610721</v>
      </c>
      <c r="V221" s="7">
        <f>IFERROR(VLOOKUP(B221,'Факт продаж'!AB:AD,3,0)/SUM('План Антонова'!$C$20:$C$22),0)</f>
        <v>1.5414584872889579E-4</v>
      </c>
      <c r="W221" s="44">
        <f>IFERROR(VLOOKUP(B221,'Факт продаж'!AB:AG,6,0),"-")</f>
        <v>-0.82629231964791294</v>
      </c>
      <c r="X221" s="44">
        <f>IF(AND(P221=0,V221&gt;0),5,IF(V221/P221&gt;5,5,IF(V221/P221=0,0.0000001,V221/P221)))</f>
        <v>0.17857806461352077</v>
      </c>
      <c r="Y221" s="44">
        <f>IFERROR(VLOOKUP(B221,'Факт продаж'!AB:AH,7,0),"-")</f>
        <v>1</v>
      </c>
      <c r="Z221" s="44">
        <f>IF(AND(F221=0,V221&gt;0),5,IF(V221/F221&gt;5,5,IF(V221/F221=0,0.0000001,V221/F221)))</f>
        <v>5</v>
      </c>
      <c r="AB221" s="10" t="str">
        <f>IFERROR(VLOOKUP(VALUE(IF(L221&lt;1,1,0)&amp;IF(J221&lt;'Факт продаж'!$M$24,0,1)),$AB$1:$AC$4,2,FALSE),"НЕТ ПРОДАЖ")</f>
        <v>Темная лошадка</v>
      </c>
      <c r="AC221" s="10" t="str">
        <f>IFERROR(VLOOKUP(VALUE(IF(R221&lt;1,1,0)&amp;IF(P221&lt;'Факт продаж'!$V$24,0,1)),$AB$1:$AC$4,2,FALSE),"НЕТ ПРОДАЖ")</f>
        <v>Темная лошадка</v>
      </c>
      <c r="AD221" s="10" t="str">
        <f>IFERROR(VLOOKUP(VALUE(IF(X221&lt;1,1,0)&amp;IF(V221&lt;'Факт продаж'!$AE$24,0,1)),$AB$1:$AC$4,2,FALSE),"НЕТ ПРОДАЖ")</f>
        <v>Собака</v>
      </c>
      <c r="AE221" s="18" t="str">
        <f>IFERROR(VLOOKUP(VALUE(IF(Z221&lt;1,1,0)&amp;IF(V221&lt;'Факт продаж'!$AE$24,0,1)),$AB$1:$AC$4,2,FALSE),"НЕТ ПРОДАЖ")</f>
        <v>Темная лошадка</v>
      </c>
      <c r="AF221" s="74" t="str">
        <f>VLOOKUP(B221,'ABC расчет'!B:G,6,0)</f>
        <v>C</v>
      </c>
      <c r="AG221" s="74" t="str">
        <f>VLOOKUP(B221,'ABC расчет'!K:P,6,0)</f>
        <v>C</v>
      </c>
      <c r="AH221" s="74" t="str">
        <f>VLOOKUP(B221,'ABC расчет'!T:Y,6,0)</f>
        <v>B</v>
      </c>
      <c r="AI221" s="74" t="str">
        <f>VLOOKUP(B221,'ABC расчет'!AC:AH,6,0)</f>
        <v>C</v>
      </c>
      <c r="AJ221" s="74"/>
      <c r="AK221" s="74"/>
      <c r="AL221" s="19"/>
    </row>
    <row r="222" spans="1:38" x14ac:dyDescent="0.3">
      <c r="A222" s="51" t="s">
        <v>256</v>
      </c>
      <c r="B222" s="21" t="s">
        <v>277</v>
      </c>
      <c r="C222" s="20" t="str">
        <f>IFERROR(VLOOKUP(B222,'Факт продаж'!A:B,2,0),"нет продаж")</f>
        <v>нет продаж</v>
      </c>
      <c r="D222" s="47" t="str">
        <f>IFERROR(VLOOKUP(B222,'Факт продаж'!A:C,3,0),"нет продаж")</f>
        <v>нет продаж</v>
      </c>
      <c r="E222" s="47" t="str">
        <f>IFERROR(VLOOKUP(B222,'Факт продаж'!A:E,5,0),"нет продаж")</f>
        <v>нет продаж</v>
      </c>
      <c r="F222" s="25">
        <f>IFERROR(VLOOKUP(B222,'Факт продаж'!A:C,3,0)/SUM('План Антонова'!$C$11:$C$13),0)</f>
        <v>0</v>
      </c>
      <c r="G222" s="5">
        <f>IFERROR(VLOOKUP(B222,'Факт продаж'!J:K,2,0),"нет продаж")</f>
        <v>23</v>
      </c>
      <c r="H222" s="48">
        <f>IFERROR(VLOOKUP(B222,'Факт продаж'!J:L,3,0),"нет продаж")</f>
        <v>73688.759999999995</v>
      </c>
      <c r="I222" s="48">
        <f>IFERROR(VLOOKUP(B222,'Факт продаж'!J:N,5,0),"нет продаж")</f>
        <v>18647.368788548218</v>
      </c>
      <c r="J222" s="7">
        <f>IFERROR(VLOOKUP(B222,'Факт продаж'!J:L,3,0)/SUM('План Антонова'!$C$14:$C$16),0)</f>
        <v>5.0881058838059073E-4</v>
      </c>
      <c r="K222" s="44">
        <f>IFERROR(VLOOKUP(B222,'Факт продаж'!J:O,6,0),"-")</f>
        <v>1</v>
      </c>
      <c r="L222" s="44">
        <f>IF(AND(F222=0,J222&gt;0),5,IF(J222/F222&gt;5,5,IF(J222/F222=0,0.0000001,J222/F222)))</f>
        <v>5</v>
      </c>
      <c r="M222" s="5">
        <f>IFERROR(VLOOKUP(B222,'Факт продаж'!S:T,2,0),"нет продаж")</f>
        <v>53</v>
      </c>
      <c r="N222" s="48">
        <f>IFERROR(VLOOKUP(B222,'Факт продаж'!S:U,3,0),"нет продаж")</f>
        <v>212571.09999999998</v>
      </c>
      <c r="O222" s="48">
        <f>IFERROR(VLOOKUP(B222,'Факт продаж'!S:W,5,0),"нет продаж")</f>
        <v>64972.754293871374</v>
      </c>
      <c r="P222" s="7">
        <f>IFERROR(VLOOKUP(B222,'Факт продаж'!S:U,3,0)/SUM('План Антонова'!$C$17:$C$19),0)</f>
        <v>1.2947812767673342E-3</v>
      </c>
      <c r="Q222" s="44">
        <f>IFERROR(VLOOKUP(B222,'Факт продаж'!S:X,6,0),"-")</f>
        <v>2.484285371873626</v>
      </c>
      <c r="R222" s="44">
        <f>IF(AND(J222=0,P222&gt;0),5,IF(P222/J222&gt;5,5,IF(P222/J222=0,0.0000001,P222/J222)))</f>
        <v>2.5447215650292967</v>
      </c>
      <c r="S222" s="16">
        <f>IFERROR(VLOOKUP(B222,'Факт продаж'!AB:AD,2,0),"нет продаж")</f>
        <v>6</v>
      </c>
      <c r="T222" s="16">
        <f>IFERROR(VLOOKUP(B222,'Факт продаж'!AB:AD,3,0),"нет продаж")</f>
        <v>26839.35</v>
      </c>
      <c r="U222" s="16">
        <f>IFERROR(VLOOKUP(B222,'Факт продаж'!AB:AF,5,0),"нет продаж")</f>
        <v>9362.9976562690099</v>
      </c>
      <c r="V222" s="7">
        <f>IFERROR(VLOOKUP(B222,'Факт продаж'!AB:AD,3,0)/SUM('План Антонова'!$C$20:$C$22),0)</f>
        <v>1.7442080925322576E-4</v>
      </c>
      <c r="W222" s="44">
        <f>IFERROR(VLOOKUP(B222,'Факт продаж'!AB:AG,6,0),"-")</f>
        <v>-0.85589347784272429</v>
      </c>
      <c r="X222" s="44">
        <f>IF(AND(P222=0,V222&gt;0),5,IF(V222/P222&gt;5,5,IF(V222/P222=0,0.0000001,V222/P222)))</f>
        <v>0.1347106359837858</v>
      </c>
      <c r="Y222" s="44">
        <f>IFERROR(VLOOKUP(B222,'Факт продаж'!AB:AH,7,0),"-")</f>
        <v>1</v>
      </c>
      <c r="Z222" s="44">
        <f>IF(AND(F222=0,V222&gt;0),5,IF(V222/F222&gt;5,5,IF(V222/F222=0,0.0000001,V222/F222)))</f>
        <v>5</v>
      </c>
      <c r="AB222" s="10" t="str">
        <f>IFERROR(VLOOKUP(VALUE(IF(L222&lt;1,1,0)&amp;IF(J222&lt;'Факт продаж'!$M$24,0,1)),$AB$1:$AC$4,2,FALSE),"НЕТ ПРОДАЖ")</f>
        <v>Темная лошадка</v>
      </c>
      <c r="AC222" s="10" t="str">
        <f>IFERROR(VLOOKUP(VALUE(IF(R222&lt;1,1,0)&amp;IF(P222&lt;'Факт продаж'!$V$24,0,1)),$AB$1:$AC$4,2,FALSE),"НЕТ ПРОДАЖ")</f>
        <v>Звезда</v>
      </c>
      <c r="AD222" s="10" t="str">
        <f>IFERROR(VLOOKUP(VALUE(IF(X222&lt;1,1,0)&amp;IF(V222&lt;'Факт продаж'!$AE$24,0,1)),$AB$1:$AC$4,2,FALSE),"НЕТ ПРОДАЖ")</f>
        <v>Собака</v>
      </c>
      <c r="AE222" s="18" t="str">
        <f>IFERROR(VLOOKUP(VALUE(IF(Z222&lt;1,1,0)&amp;IF(V222&lt;'Факт продаж'!$AE$24,0,1)),$AB$1:$AC$4,2,FALSE),"НЕТ ПРОДАЖ")</f>
        <v>Темная лошадка</v>
      </c>
      <c r="AF222" s="74" t="str">
        <f>VLOOKUP(B222,'ABC расчет'!B:G,6,0)</f>
        <v>C</v>
      </c>
      <c r="AG222" s="74" t="str">
        <f>VLOOKUP(B222,'ABC расчет'!K:P,6,0)</f>
        <v>C</v>
      </c>
      <c r="AH222" s="74" t="str">
        <f>VLOOKUP(B222,'ABC расчет'!T:Y,6,0)</f>
        <v>C</v>
      </c>
      <c r="AI222" s="74" t="str">
        <f>VLOOKUP(B222,'ABC расчет'!AC:AH,6,0)</f>
        <v>C</v>
      </c>
      <c r="AJ222" s="74"/>
      <c r="AK222" s="74"/>
      <c r="AL222" s="19"/>
    </row>
    <row r="223" spans="1:38" x14ac:dyDescent="0.3">
      <c r="A223" s="51" t="s">
        <v>258</v>
      </c>
      <c r="B223" s="21" t="s">
        <v>231</v>
      </c>
      <c r="C223" s="20" t="str">
        <f>IFERROR(VLOOKUP(B223,'Факт продаж'!A:B,2,0),"нет продаж")</f>
        <v>нет продаж</v>
      </c>
      <c r="D223" s="47" t="str">
        <f>IFERROR(VLOOKUP(B223,'Факт продаж'!A:C,3,0),"нет продаж")</f>
        <v>нет продаж</v>
      </c>
      <c r="E223" s="47" t="str">
        <f>IFERROR(VLOOKUP(B223,'Факт продаж'!A:E,5,0),"нет продаж")</f>
        <v>нет продаж</v>
      </c>
      <c r="F223" s="25">
        <f>IFERROR(VLOOKUP(B223,'Факт продаж'!A:C,3,0)/SUM('План Антонова'!$C$11:$C$13),0)</f>
        <v>0</v>
      </c>
      <c r="G223" s="5">
        <f>IFERROR(VLOOKUP(B223,'Факт продаж'!J:K,2,0),"нет продаж")</f>
        <v>21</v>
      </c>
      <c r="H223" s="48">
        <f>IFERROR(VLOOKUP(B223,'Факт продаж'!J:L,3,0),"нет продаж")</f>
        <v>30945.9</v>
      </c>
      <c r="I223" s="48">
        <f>IFERROR(VLOOKUP(B223,'Факт продаж'!J:N,5,0),"нет продаж")</f>
        <v>11720.793116096624</v>
      </c>
      <c r="J223" s="7">
        <f>IFERROR(VLOOKUP(B223,'Факт продаж'!J:L,3,0)/SUM('План Антонова'!$C$14:$C$16),0)</f>
        <v>2.1367711421615623E-4</v>
      </c>
      <c r="K223" s="44">
        <f>IFERROR(VLOOKUP(B223,'Факт продаж'!J:O,6,0),"-")</f>
        <v>1</v>
      </c>
      <c r="L223" s="44">
        <f>IF(AND(F223=0,J223&gt;0),5,IF(J223/F223&gt;5,5,IF(J223/F223=0,0.0000001,J223/F223)))</f>
        <v>5</v>
      </c>
      <c r="M223" s="5">
        <f>IFERROR(VLOOKUP(B223,'Факт продаж'!S:T,2,0),"нет продаж")</f>
        <v>15</v>
      </c>
      <c r="N223" s="48">
        <f>IFERROR(VLOOKUP(B223,'Факт продаж'!S:U,3,0),"нет продаж")</f>
        <v>22621.200000000001</v>
      </c>
      <c r="O223" s="48">
        <f>IFERROR(VLOOKUP(B223,'Факт продаж'!S:W,5,0),"нет продаж")</f>
        <v>7332.9583933023623</v>
      </c>
      <c r="P223" s="7">
        <f>IFERROR(VLOOKUP(B223,'Факт продаж'!S:U,3,0)/SUM('План Антонова'!$C$17:$C$19),0)</f>
        <v>1.3778686857248809E-4</v>
      </c>
      <c r="Q223" s="44">
        <f>IFERROR(VLOOKUP(B223,'Факт продаж'!S:X,6,0),"-")</f>
        <v>-0.37436329430371706</v>
      </c>
      <c r="R223" s="44">
        <f>IF(AND(J223=0,P223&gt;0),5,IF(P223/J223&gt;5,5,IF(P223/J223=0,0.0000001,P223/J223)))</f>
        <v>0.64483680939785903</v>
      </c>
      <c r="S223" s="16">
        <f>IFERROR(VLOOKUP(B223,'Факт продаж'!AB:AD,2,0),"нет продаж")</f>
        <v>19</v>
      </c>
      <c r="T223" s="16">
        <f>IFERROR(VLOOKUP(B223,'Факт продаж'!AB:AD,3,0),"нет продаж")</f>
        <v>29321.9</v>
      </c>
      <c r="U223" s="16">
        <f>IFERROR(VLOOKUP(B223,'Факт продаж'!AB:AF,5,0),"нет продаж")</f>
        <v>9355.131558334173</v>
      </c>
      <c r="V223" s="7">
        <f>IFERROR(VLOOKUP(B223,'Факт продаж'!AB:AD,3,0)/SUM('План Антонова'!$C$20:$C$22),0)</f>
        <v>1.9055415003873646E-4</v>
      </c>
      <c r="W223" s="44">
        <f>IFERROR(VLOOKUP(B223,'Факт продаж'!AB:AG,6,0),"-")</f>
        <v>0.27576498550418393</v>
      </c>
      <c r="X223" s="44">
        <f>IF(AND(P223=0,V223&gt;0),5,IF(V223/P223&gt;5,5,IF(V223/P223=0,0.0000001,V223/P223)))</f>
        <v>1.3829630647167812</v>
      </c>
      <c r="Y223" s="44">
        <f>IFERROR(VLOOKUP(B223,'Факт продаж'!AB:AH,7,0),"-")</f>
        <v>1</v>
      </c>
      <c r="Z223" s="44">
        <f>IF(AND(F223=0,V223&gt;0),5,IF(V223/F223&gt;5,5,IF(V223/F223=0,0.0000001,V223/F223)))</f>
        <v>5</v>
      </c>
      <c r="AB223" s="10" t="str">
        <f>IFERROR(VLOOKUP(VALUE(IF(L223&lt;1,1,0)&amp;IF(J223&lt;'Факт продаж'!$M$24,0,1)),$AB$1:$AC$4,2,FALSE),"НЕТ ПРОДАЖ")</f>
        <v>Темная лошадка</v>
      </c>
      <c r="AC223" s="10" t="str">
        <f>IFERROR(VLOOKUP(VALUE(IF(R223&lt;1,1,0)&amp;IF(P223&lt;'Факт продаж'!$V$24,0,1)),$AB$1:$AC$4,2,FALSE),"НЕТ ПРОДАЖ")</f>
        <v>Собака</v>
      </c>
      <c r="AD223" s="10" t="str">
        <f>IFERROR(VLOOKUP(VALUE(IF(X223&lt;1,1,0)&amp;IF(V223&lt;'Факт продаж'!$AE$24,0,1)),$AB$1:$AC$4,2,FALSE),"НЕТ ПРОДАЖ")</f>
        <v>Темная лошадка</v>
      </c>
      <c r="AE223" s="18" t="str">
        <f>IFERROR(VLOOKUP(VALUE(IF(Z223&lt;1,1,0)&amp;IF(V223&lt;'Факт продаж'!$AE$24,0,1)),$AB$1:$AC$4,2,FALSE),"НЕТ ПРОДАЖ")</f>
        <v>Темная лошадка</v>
      </c>
      <c r="AF223" s="74" t="str">
        <f>VLOOKUP(B223,'ABC расчет'!B:G,6,0)</f>
        <v>C</v>
      </c>
      <c r="AG223" s="74" t="str">
        <f>VLOOKUP(B223,'ABC расчет'!K:P,6,0)</f>
        <v>B</v>
      </c>
      <c r="AH223" s="74" t="str">
        <f>VLOOKUP(B223,'ABC расчет'!T:Y,6,0)</f>
        <v>B</v>
      </c>
      <c r="AI223" s="74" t="str">
        <f>VLOOKUP(B223,'ABC расчет'!AC:AH,6,0)</f>
        <v>B</v>
      </c>
      <c r="AJ223" s="74"/>
      <c r="AK223" s="74"/>
      <c r="AL223" s="19"/>
    </row>
    <row r="224" spans="1:38" x14ac:dyDescent="0.3">
      <c r="A224" s="51" t="s">
        <v>252</v>
      </c>
      <c r="B224" s="21" t="s">
        <v>93</v>
      </c>
      <c r="C224" s="20" t="str">
        <f>IFERROR(VLOOKUP(B224,'Факт продаж'!A:B,2,0),"нет продаж")</f>
        <v>нет продаж</v>
      </c>
      <c r="D224" s="47" t="str">
        <f>IFERROR(VLOOKUP(B224,'Факт продаж'!A:C,3,0),"нет продаж")</f>
        <v>нет продаж</v>
      </c>
      <c r="E224" s="47" t="str">
        <f>IFERROR(VLOOKUP(B224,'Факт продаж'!A:E,5,0),"нет продаж")</f>
        <v>нет продаж</v>
      </c>
      <c r="F224" s="25">
        <f>IFERROR(VLOOKUP(B224,'Факт продаж'!A:C,3,0)/SUM('План Антонова'!$C$11:$C$13),0)</f>
        <v>0</v>
      </c>
      <c r="G224" s="5">
        <f>IFERROR(VLOOKUP(B224,'Факт продаж'!J:K,2,0),"нет продаж")</f>
        <v>24</v>
      </c>
      <c r="H224" s="48">
        <f>IFERROR(VLOOKUP(B224,'Факт продаж'!J:L,3,0),"нет продаж")</f>
        <v>24446.019999999997</v>
      </c>
      <c r="I224" s="48">
        <f>IFERROR(VLOOKUP(B224,'Факт продаж'!J:N,5,0),"нет продаж")</f>
        <v>10343.19420202853</v>
      </c>
      <c r="J224" s="7">
        <f>IFERROR(VLOOKUP(B224,'Факт продаж'!J:L,3,0)/SUM('План Антонова'!$C$14:$C$16),0)</f>
        <v>1.6879635129921699E-4</v>
      </c>
      <c r="K224" s="44">
        <f>IFERROR(VLOOKUP(B224,'Факт продаж'!J:O,6,0),"-")</f>
        <v>1</v>
      </c>
      <c r="L224" s="44">
        <f>IF(AND(F224=0,J224&gt;0),5,IF(J224/F224&gt;5,5,IF(J224/F224=0,0.0000001,J224/F224)))</f>
        <v>5</v>
      </c>
      <c r="M224" s="5">
        <f>IFERROR(VLOOKUP(B224,'Факт продаж'!S:T,2,0),"нет продаж")</f>
        <v>33</v>
      </c>
      <c r="N224" s="48">
        <f>IFERROR(VLOOKUP(B224,'Факт продаж'!S:U,3,0),"нет продаж")</f>
        <v>37639.649999999994</v>
      </c>
      <c r="O224" s="48">
        <f>IFERROR(VLOOKUP(B224,'Факт продаж'!S:W,5,0),"нет продаж")</f>
        <v>15315.049758071984</v>
      </c>
      <c r="P224" s="7">
        <f>IFERROR(VLOOKUP(B224,'Факт продаж'!S:U,3,0)/SUM('План Антонова'!$C$17:$C$19),0)</f>
        <v>2.2926500396373538E-4</v>
      </c>
      <c r="Q224" s="44">
        <f>IFERROR(VLOOKUP(B224,'Факт продаж'!S:X,6,0),"-")</f>
        <v>0.48068860150265413</v>
      </c>
      <c r="R224" s="44">
        <f>IF(AND(J224=0,P224&gt;0),5,IF(P224/J224&gt;5,5,IF(P224/J224=0,0.0000001,P224/J224)))</f>
        <v>1.358234358735211</v>
      </c>
      <c r="S224" s="16">
        <f>IFERROR(VLOOKUP(B224,'Факт продаж'!AB:AD,2,0),"нет продаж")</f>
        <v>21</v>
      </c>
      <c r="T224" s="16">
        <f>IFERROR(VLOOKUP(B224,'Факт продаж'!AB:AD,3,0),"нет продаж")</f>
        <v>21926</v>
      </c>
      <c r="U224" s="16">
        <f>IFERROR(VLOOKUP(B224,'Факт продаж'!AB:AF,5,0),"нет продаж")</f>
        <v>9296.8670387029215</v>
      </c>
      <c r="V224" s="7">
        <f>IFERROR(VLOOKUP(B224,'Факт продаж'!AB:AD,3,0)/SUM('План Антонова'!$C$20:$C$22),0)</f>
        <v>1.4249043526338114E-4</v>
      </c>
      <c r="W224" s="44">
        <f>IFERROR(VLOOKUP(B224,'Факт продаж'!AB:AG,6,0),"-")</f>
        <v>-0.39295874413970522</v>
      </c>
      <c r="X224" s="44">
        <f>IF(AND(P224=0,V224&gt;0),5,IF(V224/P224&gt;5,5,IF(V224/P224=0,0.0000001,V224/P224)))</f>
        <v>0.62150974985227114</v>
      </c>
      <c r="Y224" s="44">
        <f>IFERROR(VLOOKUP(B224,'Факт продаж'!AB:AH,7,0),"-")</f>
        <v>1</v>
      </c>
      <c r="Z224" s="44">
        <f>IF(AND(F224=0,V224&gt;0),5,IF(V224/F224&gt;5,5,IF(V224/F224=0,0.0000001,V224/F224)))</f>
        <v>5</v>
      </c>
      <c r="AB224" s="10" t="str">
        <f>IFERROR(VLOOKUP(VALUE(IF(L224&lt;1,1,0)&amp;IF(J224&lt;'Факт продаж'!$M$24,0,1)),$AB$1:$AC$4,2,FALSE),"НЕТ ПРОДАЖ")</f>
        <v>Темная лошадка</v>
      </c>
      <c r="AC224" s="10" t="str">
        <f>IFERROR(VLOOKUP(VALUE(IF(R224&lt;1,1,0)&amp;IF(P224&lt;'Факт продаж'!$V$24,0,1)),$AB$1:$AC$4,2,FALSE),"НЕТ ПРОДАЖ")</f>
        <v>Темная лошадка</v>
      </c>
      <c r="AD224" s="10" t="str">
        <f>IFERROR(VLOOKUP(VALUE(IF(X224&lt;1,1,0)&amp;IF(V224&lt;'Факт продаж'!$AE$24,0,1)),$AB$1:$AC$4,2,FALSE),"НЕТ ПРОДАЖ")</f>
        <v>Собака</v>
      </c>
      <c r="AE224" s="18" t="str">
        <f>IFERROR(VLOOKUP(VALUE(IF(Z224&lt;1,1,0)&amp;IF(V224&lt;'Факт продаж'!$AE$24,0,1)),$AB$1:$AC$4,2,FALSE),"НЕТ ПРОДАЖ")</f>
        <v>Темная лошадка</v>
      </c>
      <c r="AF224" s="74" t="str">
        <f>VLOOKUP(B224,'ABC расчет'!B:G,6,0)</f>
        <v>C</v>
      </c>
      <c r="AG224" s="74" t="str">
        <f>VLOOKUP(B224,'ABC расчет'!K:P,6,0)</f>
        <v>C</v>
      </c>
      <c r="AH224" s="74" t="str">
        <f>VLOOKUP(B224,'ABC расчет'!T:Y,6,0)</f>
        <v>C</v>
      </c>
      <c r="AI224" s="74" t="str">
        <f>VLOOKUP(B224,'ABC расчет'!AC:AH,6,0)</f>
        <v>C</v>
      </c>
      <c r="AJ224" s="74"/>
      <c r="AK224" s="74"/>
      <c r="AL224" s="19"/>
    </row>
    <row r="225" spans="1:38" x14ac:dyDescent="0.3">
      <c r="A225" s="51" t="s">
        <v>246</v>
      </c>
      <c r="B225" s="21" t="s">
        <v>180</v>
      </c>
      <c r="C225" s="20">
        <f>IFERROR(VLOOKUP(B225,'Факт продаж'!A:B,2,0),"нет продаж")</f>
        <v>8</v>
      </c>
      <c r="D225" s="47">
        <f>IFERROR(VLOOKUP(B225,'Факт продаж'!A:C,3,0),"нет продаж")</f>
        <v>9397.35</v>
      </c>
      <c r="E225" s="47">
        <f>IFERROR(VLOOKUP(B225,'Факт продаж'!A:E,5,0),"нет продаж")</f>
        <v>4837.8480108765107</v>
      </c>
      <c r="F225" s="25">
        <f>IFERROR(VLOOKUP(B225,'Факт продаж'!A:C,3,0)/SUM('План Антонова'!$C$11:$C$13),0)</f>
        <v>7.1355073996076041E-5</v>
      </c>
      <c r="G225" s="5">
        <f>IFERROR(VLOOKUP(B225,'Факт продаж'!J:K,2,0),"нет продаж")</f>
        <v>14</v>
      </c>
      <c r="H225" s="48">
        <f>IFERROR(VLOOKUP(B225,'Факт продаж'!J:L,3,0),"нет продаж")</f>
        <v>18181.900000000001</v>
      </c>
      <c r="I225" s="48">
        <f>IFERROR(VLOOKUP(B225,'Факт продаж'!J:N,5,0),"нет продаж")</f>
        <v>9204.1716286079463</v>
      </c>
      <c r="J225" s="7">
        <f>IFERROR(VLOOKUP(B225,'Факт продаж'!J:L,3,0)/SUM('План Антонова'!$C$14:$C$16),0)</f>
        <v>1.2554347823028999E-4</v>
      </c>
      <c r="K225" s="44">
        <f>IFERROR(VLOOKUP(B225,'Факт продаж'!J:O,6,0),"-")</f>
        <v>0.90253426893838173</v>
      </c>
      <c r="L225" s="44">
        <f>IF(AND(F225=0,J225&gt;0),5,IF(J225/F225&gt;5,5,IF(J225/F225=0,0.0000001,J225/F225)))</f>
        <v>1.7594190742089886</v>
      </c>
      <c r="M225" s="5">
        <f>IFERROR(VLOOKUP(B225,'Факт продаж'!S:T,2,0),"нет продаж")</f>
        <v>124</v>
      </c>
      <c r="N225" s="48">
        <f>IFERROR(VLOOKUP(B225,'Факт продаж'!S:U,3,0),"нет продаж")</f>
        <v>142853.5</v>
      </c>
      <c r="O225" s="48">
        <f>IFERROR(VLOOKUP(B225,'Факт продаж'!S:W,5,0),"нет продаж")</f>
        <v>41824.985387436238</v>
      </c>
      <c r="P225" s="7">
        <f>IFERROR(VLOOKUP(B225,'Факт продаж'!S:U,3,0)/SUM('План Антонова'!$C$17:$C$19),0)</f>
        <v>8.7012786366859091E-4</v>
      </c>
      <c r="Q225" s="44">
        <f>IFERROR(VLOOKUP(B225,'Факт продаж'!S:X,6,0),"-")</f>
        <v>3.5441335814988397</v>
      </c>
      <c r="R225" s="44">
        <f>IF(AND(J225=0,P225&gt;0),5,IF(P225/J225&gt;5,5,IF(P225/J225=0,0.0000001,P225/J225)))</f>
        <v>5</v>
      </c>
      <c r="S225" s="16">
        <f>IFERROR(VLOOKUP(B225,'Факт продаж'!AB:AD,2,0),"нет продаж")</f>
        <v>15</v>
      </c>
      <c r="T225" s="16">
        <f>IFERROR(VLOOKUP(B225,'Факт продаж'!AB:AD,3,0),"нет продаж")</f>
        <v>20671</v>
      </c>
      <c r="U225" s="16">
        <f>IFERROR(VLOOKUP(B225,'Факт продаж'!AB:AF,5,0),"нет продаж")</f>
        <v>8857.1462018068869</v>
      </c>
      <c r="V225" s="7">
        <f>IFERROR(VLOOKUP(B225,'Факт продаж'!AB:AD,3,0)/SUM('План Антонова'!$C$20:$C$22),0)</f>
        <v>1.3433457025127025E-4</v>
      </c>
      <c r="W225" s="44">
        <f>IFERROR(VLOOKUP(B225,'Факт продаж'!AB:AG,6,0),"-")</f>
        <v>-0.7882331309919004</v>
      </c>
      <c r="X225" s="44">
        <f>IF(AND(P225=0,V225&gt;0),5,IF(V225/P225&gt;5,5,IF(V225/P225=0,0.0000001,V225/P225)))</f>
        <v>0.15438486211083433</v>
      </c>
      <c r="Y225" s="44">
        <f>IFERROR(VLOOKUP(B225,'Факт продаж'!AB:AH,7,0),"-")</f>
        <v>0.83080290697312931</v>
      </c>
      <c r="Z225" s="44">
        <f>IF(AND(F225=0,V225&gt;0),5,IF(V225/F225&gt;5,5,IF(V225/F225=0,0.0000001,V225/F225)))</f>
        <v>1.8826211329926947</v>
      </c>
      <c r="AB225" s="10" t="str">
        <f>IFERROR(VLOOKUP(VALUE(IF(L225&lt;1,1,0)&amp;IF(J225&lt;'Факт продаж'!$M$24,0,1)),$AB$1:$AC$4,2,FALSE),"НЕТ ПРОДАЖ")</f>
        <v>Темная лошадка</v>
      </c>
      <c r="AC225" s="10" t="str">
        <f>IFERROR(VLOOKUP(VALUE(IF(R225&lt;1,1,0)&amp;IF(P225&lt;'Факт продаж'!$V$24,0,1)),$AB$1:$AC$4,2,FALSE),"НЕТ ПРОДАЖ")</f>
        <v>Темная лошадка</v>
      </c>
      <c r="AD225" s="10" t="str">
        <f>IFERROR(VLOOKUP(VALUE(IF(X225&lt;1,1,0)&amp;IF(V225&lt;'Факт продаж'!$AE$24,0,1)),$AB$1:$AC$4,2,FALSE),"НЕТ ПРОДАЖ")</f>
        <v>Собака</v>
      </c>
      <c r="AE225" s="18" t="str">
        <f>IFERROR(VLOOKUP(VALUE(IF(Z225&lt;1,1,0)&amp;IF(V225&lt;'Факт продаж'!$AE$24,0,1)),$AB$1:$AC$4,2,FALSE),"НЕТ ПРОДАЖ")</f>
        <v>Темная лошадка</v>
      </c>
      <c r="AF225" s="74" t="str">
        <f>VLOOKUP(B225,'ABC расчет'!B:G,6,0)</f>
        <v>C</v>
      </c>
      <c r="AG225" s="74" t="str">
        <f>VLOOKUP(B225,'ABC расчет'!K:P,6,0)</f>
        <v>C</v>
      </c>
      <c r="AH225" s="74" t="str">
        <f>VLOOKUP(B225,'ABC расчет'!T:Y,6,0)</f>
        <v>A</v>
      </c>
      <c r="AI225" s="74" t="str">
        <f>VLOOKUP(B225,'ABC расчет'!AC:AH,6,0)</f>
        <v>C</v>
      </c>
      <c r="AJ225" s="74"/>
      <c r="AK225" s="74"/>
      <c r="AL225" s="19"/>
    </row>
    <row r="226" spans="1:38" x14ac:dyDescent="0.3">
      <c r="A226" s="51" t="s">
        <v>260</v>
      </c>
      <c r="B226" s="21" t="s">
        <v>273</v>
      </c>
      <c r="C226" s="20" t="str">
        <f>IFERROR(VLOOKUP(B226,'Факт продаж'!A:B,2,0),"нет продаж")</f>
        <v>нет продаж</v>
      </c>
      <c r="D226" s="47" t="str">
        <f>IFERROR(VLOOKUP(B226,'Факт продаж'!A:C,3,0),"нет продаж")</f>
        <v>нет продаж</v>
      </c>
      <c r="E226" s="47" t="str">
        <f>IFERROR(VLOOKUP(B226,'Факт продаж'!A:E,5,0),"нет продаж")</f>
        <v>нет продаж</v>
      </c>
      <c r="F226" s="25">
        <f>IFERROR(VLOOKUP(B226,'Факт продаж'!A:C,3,0)/SUM('План Антонова'!$C$11:$C$13),0)</f>
        <v>0</v>
      </c>
      <c r="G226" s="5">
        <f>IFERROR(VLOOKUP(B226,'Факт продаж'!J:K,2,0),"нет продаж")</f>
        <v>5</v>
      </c>
      <c r="H226" s="48">
        <f>IFERROR(VLOOKUP(B226,'Факт продаж'!J:L,3,0),"нет продаж")</f>
        <v>4972.5</v>
      </c>
      <c r="I226" s="48">
        <f>IFERROR(VLOOKUP(B226,'Факт продаж'!J:N,5,0),"нет продаж")</f>
        <v>1920.1556315084347</v>
      </c>
      <c r="J226" s="7">
        <f>IFERROR(VLOOKUP(B226,'Факт продаж'!J:L,3,0)/SUM('План Антонова'!$C$14:$C$16),0)</f>
        <v>3.4334417497627697E-5</v>
      </c>
      <c r="K226" s="44">
        <f>IFERROR(VLOOKUP(B226,'Факт продаж'!J:O,6,0),"-")</f>
        <v>1</v>
      </c>
      <c r="L226" s="44">
        <f>IF(AND(F226=0,J226&gt;0),5,IF(J226/F226&gt;5,5,IF(J226/F226=0,0.0000001,J226/F226)))</f>
        <v>5</v>
      </c>
      <c r="M226" s="5">
        <f>IFERROR(VLOOKUP(B226,'Факт продаж'!S:T,2,0),"нет продаж")</f>
        <v>36</v>
      </c>
      <c r="N226" s="48">
        <f>IFERROR(VLOOKUP(B226,'Факт продаж'!S:U,3,0),"нет продаж")</f>
        <v>46620</v>
      </c>
      <c r="O226" s="48">
        <f>IFERROR(VLOOKUP(B226,'Факт продаж'!S:W,5,0),"нет продаж")</f>
        <v>15289.983481307552</v>
      </c>
      <c r="P226" s="7">
        <f>IFERROR(VLOOKUP(B226,'Факт продаж'!S:U,3,0)/SUM('План Антонова'!$C$17:$C$19),0)</f>
        <v>2.8396476813119531E-4</v>
      </c>
      <c r="Q226" s="44">
        <f>IFERROR(VLOOKUP(B226,'Факт продаж'!S:X,6,0),"-")</f>
        <v>6.9628876068217744</v>
      </c>
      <c r="R226" s="44">
        <f>IF(AND(J226=0,P226&gt;0),5,IF(P226/J226&gt;5,5,IF(P226/J226=0,0.0000001,P226/J226)))</f>
        <v>5</v>
      </c>
      <c r="S226" s="16">
        <f>IFERROR(VLOOKUP(B226,'Факт продаж'!AB:AD,2,0),"нет продаж")</f>
        <v>19</v>
      </c>
      <c r="T226" s="16">
        <f>IFERROR(VLOOKUP(B226,'Факт продаж'!AB:AD,3,0),"нет продаж")</f>
        <v>21009</v>
      </c>
      <c r="U226" s="16">
        <f>IFERROR(VLOOKUP(B226,'Факт продаж'!AB:AF,5,0),"нет продаж")</f>
        <v>8257.9327134524974</v>
      </c>
      <c r="V226" s="7">
        <f>IFERROR(VLOOKUP(B226,'Факт продаж'!AB:AD,3,0)/SUM('План Антонова'!$C$20:$C$22),0)</f>
        <v>1.3653112991190251E-4</v>
      </c>
      <c r="W226" s="44">
        <f>IFERROR(VLOOKUP(B226,'Факт продаж'!AB:AG,6,0),"-")</f>
        <v>-0.45991225408790926</v>
      </c>
      <c r="X226" s="44">
        <f>IF(AND(P226=0,V226&gt;0),5,IF(V226/P226&gt;5,5,IF(V226/P226=0,0.0000001,V226/P226)))</f>
        <v>0.48080306162778408</v>
      </c>
      <c r="Y226" s="44">
        <f>IFERROR(VLOOKUP(B226,'Факт продаж'!AB:AH,7,0),"-")</f>
        <v>1</v>
      </c>
      <c r="Z226" s="44">
        <f>IF(AND(F226=0,V226&gt;0),5,IF(V226/F226&gt;5,5,IF(V226/F226=0,0.0000001,V226/F226)))</f>
        <v>5</v>
      </c>
      <c r="AB226" s="10" t="str">
        <f>IFERROR(VLOOKUP(VALUE(IF(L226&lt;1,1,0)&amp;IF(J226&lt;'Факт продаж'!$M$24,0,1)),$AB$1:$AC$4,2,FALSE),"НЕТ ПРОДАЖ")</f>
        <v>Темная лошадка</v>
      </c>
      <c r="AC226" s="10" t="str">
        <f>IFERROR(VLOOKUP(VALUE(IF(R226&lt;1,1,0)&amp;IF(P226&lt;'Факт продаж'!$V$24,0,1)),$AB$1:$AC$4,2,FALSE),"НЕТ ПРОДАЖ")</f>
        <v>Темная лошадка</v>
      </c>
      <c r="AD226" s="10" t="str">
        <f>IFERROR(VLOOKUP(VALUE(IF(X226&lt;1,1,0)&amp;IF(V226&lt;'Факт продаж'!$AE$24,0,1)),$AB$1:$AC$4,2,FALSE),"НЕТ ПРОДАЖ")</f>
        <v>Собака</v>
      </c>
      <c r="AE226" s="18" t="str">
        <f>IFERROR(VLOOKUP(VALUE(IF(Z226&lt;1,1,0)&amp;IF(V226&lt;'Факт продаж'!$AE$24,0,1)),$AB$1:$AC$4,2,FALSE),"НЕТ ПРОДАЖ")</f>
        <v>Темная лошадка</v>
      </c>
      <c r="AF226" s="74" t="str">
        <f>VLOOKUP(B226,'ABC расчет'!B:G,6,0)</f>
        <v>C</v>
      </c>
      <c r="AG226" s="74" t="str">
        <f>VLOOKUP(B226,'ABC расчет'!K:P,6,0)</f>
        <v>C</v>
      </c>
      <c r="AH226" s="74" t="str">
        <f>VLOOKUP(B226,'ABC расчет'!T:Y,6,0)</f>
        <v>B</v>
      </c>
      <c r="AI226" s="74" t="str">
        <f>VLOOKUP(B226,'ABC расчет'!AC:AH,6,0)</f>
        <v>C</v>
      </c>
      <c r="AJ226" s="74"/>
      <c r="AK226" s="74"/>
      <c r="AL226" s="5"/>
    </row>
    <row r="227" spans="1:38" x14ac:dyDescent="0.3">
      <c r="A227" s="51" t="s">
        <v>251</v>
      </c>
      <c r="B227" s="21" t="s">
        <v>35</v>
      </c>
      <c r="C227" s="20">
        <f>IFERROR(VLOOKUP(B227,'Факт продаж'!A:B,2,0),"нет продаж")</f>
        <v>50</v>
      </c>
      <c r="D227" s="47">
        <f>IFERROR(VLOOKUP(B227,'Факт продаж'!A:C,3,0),"нет продаж")</f>
        <v>138052.71299999999</v>
      </c>
      <c r="E227" s="47">
        <f>IFERROR(VLOOKUP(B227,'Факт продаж'!A:E,5,0),"нет продаж")</f>
        <v>53378.714592526478</v>
      </c>
      <c r="F227" s="25">
        <f>IFERROR(VLOOKUP(B227,'Факт продаж'!A:C,3,0)/SUM('План Антонова'!$C$11:$C$13),0)</f>
        <v>1.0482488735094519E-3</v>
      </c>
      <c r="G227" s="5">
        <f>IFERROR(VLOOKUP(B227,'Факт продаж'!J:K,2,0),"нет продаж")</f>
        <v>7</v>
      </c>
      <c r="H227" s="48">
        <f>IFERROR(VLOOKUP(B227,'Факт продаж'!J:L,3,0),"нет продаж")</f>
        <v>23956.800000000003</v>
      </c>
      <c r="I227" s="48">
        <f>IFERROR(VLOOKUP(B227,'Факт продаж'!J:N,5,0),"нет продаж")</f>
        <v>10550.690239889438</v>
      </c>
      <c r="J227" s="7">
        <f>IFERROR(VLOOKUP(B227,'Факт продаж'!J:L,3,0)/SUM('План Антонова'!$C$14:$C$16),0)</f>
        <v>1.6541835557710755E-4</v>
      </c>
      <c r="K227" s="44">
        <f>IFERROR(VLOOKUP(B227,'Факт продаж'!J:O,6,0),"-")</f>
        <v>-0.8023427442861909</v>
      </c>
      <c r="L227" s="44">
        <f>IF(AND(F227=0,J227&gt;0),5,IF(J227/F227&gt;5,5,IF(J227/F227=0,0.0000001,J227/F227)))</f>
        <v>0.15780446777233384</v>
      </c>
      <c r="M227" s="5">
        <f>IFERROR(VLOOKUP(B227,'Факт продаж'!S:T,2,0),"нет продаж")</f>
        <v>1</v>
      </c>
      <c r="N227" s="48">
        <f>IFERROR(VLOOKUP(B227,'Факт продаж'!S:U,3,0),"нет продаж")</f>
        <v>3509.8</v>
      </c>
      <c r="O227" s="48">
        <f>IFERROR(VLOOKUP(B227,'Факт продаж'!S:W,5,0),"нет продаж")</f>
        <v>1392.2751379049312</v>
      </c>
      <c r="P227" s="7">
        <f>IFERROR(VLOOKUP(B227,'Факт продаж'!S:U,3,0)/SUM('План Антонова'!$C$17:$C$19),0)</f>
        <v>2.1378368579726924E-5</v>
      </c>
      <c r="Q227" s="44">
        <f>IFERROR(VLOOKUP(B227,'Факт продаж'!S:X,6,0),"-")</f>
        <v>-0.86803942621297914</v>
      </c>
      <c r="R227" s="44">
        <f>IF(AND(J227=0,P227&gt;0),5,IF(P227/J227&gt;5,5,IF(P227/J227=0,0.0000001,P227/J227)))</f>
        <v>0.12923818825995814</v>
      </c>
      <c r="S227" s="16">
        <f>IFERROR(VLOOKUP(B227,'Факт продаж'!AB:AD,2,0),"нет продаж")</f>
        <v>5</v>
      </c>
      <c r="T227" s="16">
        <f>IFERROR(VLOOKUP(B227,'Факт продаж'!AB:AD,3,0),"нет продаж")</f>
        <v>18825.349999999999</v>
      </c>
      <c r="U227" s="16">
        <f>IFERROR(VLOOKUP(B227,'Факт продаж'!AB:AF,5,0),"нет продаж")</f>
        <v>8059.0399589852714</v>
      </c>
      <c r="V227" s="7">
        <f>IFERROR(VLOOKUP(B227,'Факт продаж'!AB:AD,3,0)/SUM('План Антонова'!$C$20:$C$22),0)</f>
        <v>1.2234024972569059E-4</v>
      </c>
      <c r="W227" s="44">
        <f>IFERROR(VLOOKUP(B227,'Факт продаж'!AB:AG,6,0),"-")</f>
        <v>4.7883960860727282</v>
      </c>
      <c r="X227" s="44">
        <f>IF(AND(P227=0,V227&gt;0),5,IF(V227/P227&gt;5,5,IF(V227/P227=0,0.0000001,V227/P227)))</f>
        <v>5</v>
      </c>
      <c r="Y227" s="44">
        <f>IFERROR(VLOOKUP(B227,'Факт продаж'!AB:AH,7,0),"-")</f>
        <v>-0.84902146819186219</v>
      </c>
      <c r="Z227" s="44">
        <f>IF(AND(F227=0,V227&gt;0),5,IF(V227/F227&gt;5,5,IF(V227/F227=0,0.0000001,V227/F227)))</f>
        <v>0.11670916403287455</v>
      </c>
      <c r="AB227" s="10" t="str">
        <f>IFERROR(VLOOKUP(VALUE(IF(L227&lt;1,1,0)&amp;IF(J227&lt;'Факт продаж'!$M$24,0,1)),$AB$1:$AC$4,2,FALSE),"НЕТ ПРОДАЖ")</f>
        <v>Собака</v>
      </c>
      <c r="AC227" s="10" t="str">
        <f>IFERROR(VLOOKUP(VALUE(IF(R227&lt;1,1,0)&amp;IF(P227&lt;'Факт продаж'!$V$24,0,1)),$AB$1:$AC$4,2,FALSE),"НЕТ ПРОДАЖ")</f>
        <v>Собака</v>
      </c>
      <c r="AD227" s="10" t="str">
        <f>IFERROR(VLOOKUP(VALUE(IF(X227&lt;1,1,0)&amp;IF(V227&lt;'Факт продаж'!$AE$24,0,1)),$AB$1:$AC$4,2,FALSE),"НЕТ ПРОДАЖ")</f>
        <v>Темная лошадка</v>
      </c>
      <c r="AE227" s="18" t="str">
        <f>IFERROR(VLOOKUP(VALUE(IF(Z227&lt;1,1,0)&amp;IF(V227&lt;'Факт продаж'!$AE$24,0,1)),$AB$1:$AC$4,2,FALSE),"НЕТ ПРОДАЖ")</f>
        <v>Собака</v>
      </c>
      <c r="AF227" s="74" t="str">
        <f>VLOOKUP(B227,'ABC расчет'!B:G,6,0)</f>
        <v>B</v>
      </c>
      <c r="AG227" s="74" t="str">
        <f>VLOOKUP(B227,'ABC расчет'!K:P,6,0)</f>
        <v>C</v>
      </c>
      <c r="AH227" s="74" t="str">
        <f>VLOOKUP(B227,'ABC расчет'!T:Y,6,0)</f>
        <v>C</v>
      </c>
      <c r="AI227" s="74" t="str">
        <f>VLOOKUP(B227,'ABC расчет'!AC:AH,6,0)</f>
        <v>C</v>
      </c>
      <c r="AJ227" s="74"/>
      <c r="AK227" s="74"/>
      <c r="AL227" s="19"/>
    </row>
    <row r="228" spans="1:38" x14ac:dyDescent="0.3">
      <c r="A228" s="51" t="s">
        <v>259</v>
      </c>
      <c r="B228" s="21" t="s">
        <v>269</v>
      </c>
      <c r="C228" s="20" t="str">
        <f>IFERROR(VLOOKUP(B228,'Факт продаж'!A:B,2,0),"нет продаж")</f>
        <v>нет продаж</v>
      </c>
      <c r="D228" s="47" t="str">
        <f>IFERROR(VLOOKUP(B228,'Факт продаж'!A:C,3,0),"нет продаж")</f>
        <v>нет продаж</v>
      </c>
      <c r="E228" s="47" t="str">
        <f>IFERROR(VLOOKUP(B228,'Факт продаж'!A:E,5,0),"нет продаж")</f>
        <v>нет продаж</v>
      </c>
      <c r="F228" s="25">
        <f>IFERROR(VLOOKUP(B228,'Факт продаж'!A:C,3,0)/SUM('План Антонова'!$C$11:$C$13),0)</f>
        <v>0</v>
      </c>
      <c r="G228" s="5">
        <f>IFERROR(VLOOKUP(B228,'Факт продаж'!J:K,2,0),"нет продаж")</f>
        <v>4</v>
      </c>
      <c r="H228" s="48">
        <f>IFERROR(VLOOKUP(B228,'Факт продаж'!J:L,3,0),"нет продаж")</f>
        <v>20522.599999999999</v>
      </c>
      <c r="I228" s="48">
        <f>IFERROR(VLOOKUP(B228,'Факт продаж'!J:N,5,0),"нет продаж")</f>
        <v>7493.4855258005819</v>
      </c>
      <c r="J228" s="7">
        <f>IFERROR(VLOOKUP(B228,'Факт продаж'!J:L,3,0)/SUM('План Антонова'!$C$14:$C$16),0)</f>
        <v>1.4170568457251163E-4</v>
      </c>
      <c r="K228" s="44">
        <f>IFERROR(VLOOKUP(B228,'Факт продаж'!J:O,6,0),"-")</f>
        <v>1</v>
      </c>
      <c r="L228" s="44">
        <f>IF(AND(F228=0,J228&gt;0),5,IF(J228/F228&gt;5,5,IF(J228/F228=0,0.0000001,J228/F228)))</f>
        <v>5</v>
      </c>
      <c r="M228" s="5">
        <f>IFERROR(VLOOKUP(B228,'Факт продаж'!S:T,2,0),"нет продаж")</f>
        <v>398</v>
      </c>
      <c r="N228" s="48">
        <f>IFERROR(VLOOKUP(B228,'Факт продаж'!S:U,3,0),"нет продаж")</f>
        <v>2071137.28</v>
      </c>
      <c r="O228" s="48">
        <f>IFERROR(VLOOKUP(B228,'Факт продаж'!S:W,5,0),"нет продаж")</f>
        <v>671147.88637318613</v>
      </c>
      <c r="P228" s="7">
        <f>IFERROR(VLOOKUP(B228,'Факт продаж'!S:U,3,0)/SUM('План Антонова'!$C$17:$C$19),0)</f>
        <v>1.2615401490413439E-2</v>
      </c>
      <c r="Q228" s="44">
        <f>IFERROR(VLOOKUP(B228,'Факт продаж'!S:X,6,0),"-")</f>
        <v>88.564179988388332</v>
      </c>
      <c r="R228" s="44">
        <f>IF(AND(J228=0,P228&gt;0),5,IF(P228/J228&gt;5,5,IF(P228/J228=0,0.0000001,P228/J228)))</f>
        <v>5</v>
      </c>
      <c r="S228" s="16">
        <f>IFERROR(VLOOKUP(B228,'Факт продаж'!AB:AD,2,0),"нет продаж")</f>
        <v>2</v>
      </c>
      <c r="T228" s="16">
        <f>IFERROR(VLOOKUP(B228,'Факт продаж'!AB:AD,3,0),"нет продаж")</f>
        <v>15770</v>
      </c>
      <c r="U228" s="16">
        <f>IFERROR(VLOOKUP(B228,'Факт продаж'!AB:AF,5,0),"нет продаж")</f>
        <v>7896.7776137029687</v>
      </c>
      <c r="V228" s="7">
        <f>IFERROR(VLOOKUP(B228,'Факт продаж'!AB:AD,3,0)/SUM('План Антонова'!$C$20:$C$22),0)</f>
        <v>1.0248445517210255E-4</v>
      </c>
      <c r="W228" s="44">
        <f>IFERROR(VLOOKUP(B228,'Факт продаж'!AB:AG,6,0),"-")</f>
        <v>-0.98823392314266778</v>
      </c>
      <c r="X228" s="44">
        <f>IF(AND(P228=0,V228&gt;0),5,IF(V228/P228&gt;5,5,IF(V228/P228=0,0.0000001,V228/P228)))</f>
        <v>8.1237569212506983E-3</v>
      </c>
      <c r="Y228" s="44">
        <f>IFERROR(VLOOKUP(B228,'Факт продаж'!AB:AH,7,0),"-")</f>
        <v>1</v>
      </c>
      <c r="Z228" s="44">
        <f>IF(AND(F228=0,V228&gt;0),5,IF(V228/F228&gt;5,5,IF(V228/F228=0,0.0000001,V228/F228)))</f>
        <v>5</v>
      </c>
      <c r="AB228" s="10" t="str">
        <f>IFERROR(VLOOKUP(VALUE(IF(L228&lt;1,1,0)&amp;IF(J228&lt;'Факт продаж'!$M$24,0,1)),$AB$1:$AC$4,2,FALSE),"НЕТ ПРОДАЖ")</f>
        <v>Темная лошадка</v>
      </c>
      <c r="AC228" s="10" t="str">
        <f>IFERROR(VLOOKUP(VALUE(IF(R228&lt;1,1,0)&amp;IF(P228&lt;'Факт продаж'!$V$24,0,1)),$AB$1:$AC$4,2,FALSE),"НЕТ ПРОДАЖ")</f>
        <v>Звезда</v>
      </c>
      <c r="AD228" s="10" t="str">
        <f>IFERROR(VLOOKUP(VALUE(IF(X228&lt;1,1,0)&amp;IF(V228&lt;'Факт продаж'!$AE$24,0,1)),$AB$1:$AC$4,2,FALSE),"НЕТ ПРОДАЖ")</f>
        <v>Собака</v>
      </c>
      <c r="AE228" s="18" t="str">
        <f>IFERROR(VLOOKUP(VALUE(IF(Z228&lt;1,1,0)&amp;IF(V228&lt;'Факт продаж'!$AE$24,0,1)),$AB$1:$AC$4,2,FALSE),"НЕТ ПРОДАЖ")</f>
        <v>Темная лошадка</v>
      </c>
      <c r="AF228" s="74" t="str">
        <f>VLOOKUP(B228,'ABC расчет'!B:G,6,0)</f>
        <v>C</v>
      </c>
      <c r="AG228" s="74" t="str">
        <f>VLOOKUP(B228,'ABC расчет'!K:P,6,0)</f>
        <v>C</v>
      </c>
      <c r="AH228" s="74" t="str">
        <f>VLOOKUP(B228,'ABC расчет'!T:Y,6,0)</f>
        <v>A</v>
      </c>
      <c r="AI228" s="74" t="str">
        <f>VLOOKUP(B228,'ABC расчет'!AC:AH,6,0)</f>
        <v>C</v>
      </c>
      <c r="AJ228" s="74"/>
      <c r="AK228" s="74"/>
      <c r="AL228" s="5"/>
    </row>
    <row r="229" spans="1:38" x14ac:dyDescent="0.3">
      <c r="A229" s="51" t="s">
        <v>256</v>
      </c>
      <c r="B229" s="21" t="s">
        <v>310</v>
      </c>
      <c r="C229" s="20">
        <f>IFERROR(VLOOKUP(B229,'Факт продаж'!A:B,2,0),"нет продаж")</f>
        <v>3</v>
      </c>
      <c r="D229" s="47">
        <f>IFERROR(VLOOKUP(B229,'Факт продаж'!A:C,3,0),"нет продаж")</f>
        <v>11141.2988</v>
      </c>
      <c r="E229" s="47">
        <f>IFERROR(VLOOKUP(B229,'Факт продаж'!A:E,5,0),"нет продаж")</f>
        <v>3972.5625682772848</v>
      </c>
      <c r="F229" s="25">
        <f>IFERROR(VLOOKUP(B229,'Факт продаж'!A:C,3,0)/SUM('План Антонова'!$C$11:$C$13),0)</f>
        <v>8.459706196814988E-5</v>
      </c>
      <c r="G229" s="5">
        <f>IFERROR(VLOOKUP(B229,'Факт продаж'!J:K,2,0),"нет продаж")</f>
        <v>2</v>
      </c>
      <c r="H229" s="48">
        <f>IFERROR(VLOOKUP(B229,'Факт продаж'!J:L,3,0),"нет продаж")</f>
        <v>8937.7999999999993</v>
      </c>
      <c r="I229" s="48">
        <f>IFERROR(VLOOKUP(B229,'Факт продаж'!J:N,5,0),"нет продаж")</f>
        <v>3741.0115562798637</v>
      </c>
      <c r="J229" s="7">
        <f>IFERROR(VLOOKUP(B229,'Факт продаж'!J:L,3,0)/SUM('План Антонова'!$C$14:$C$16),0)</f>
        <v>6.1714259770798756E-5</v>
      </c>
      <c r="K229" s="44">
        <f>IFERROR(VLOOKUP(B229,'Факт продаж'!J:O,6,0),"-")</f>
        <v>-5.8287568293187153E-2</v>
      </c>
      <c r="L229" s="44">
        <f>IF(AND(F229=0,J229&gt;0),5,IF(J229/F229&gt;5,5,IF(J229/F229=0,0.0000001,J229/F229)))</f>
        <v>0.72950831075000788</v>
      </c>
      <c r="M229" s="5">
        <f>IFERROR(VLOOKUP(B229,'Факт продаж'!S:T,2,0),"нет продаж")</f>
        <v>1</v>
      </c>
      <c r="N229" s="48">
        <f>IFERROR(VLOOKUP(B229,'Факт продаж'!S:U,3,0),"нет продаж")</f>
        <v>4464</v>
      </c>
      <c r="O229" s="48">
        <f>IFERROR(VLOOKUP(B229,'Факт продаж'!S:W,5,0),"нет продаж")</f>
        <v>1783.542005584038</v>
      </c>
      <c r="P229" s="7">
        <f>IFERROR(VLOOKUP(B229,'Факт продаж'!S:U,3,0)/SUM('План Антонова'!$C$17:$C$19),0)</f>
        <v>2.7190448840361558E-5</v>
      </c>
      <c r="Q229" s="44">
        <f>IFERROR(VLOOKUP(B229,'Факт продаж'!S:X,6,0),"-")</f>
        <v>-0.52324605825125348</v>
      </c>
      <c r="R229" s="44">
        <f>IF(AND(J229=0,P229&gt;0),5,IF(P229/J229&gt;5,5,IF(P229/J229=0,0.0000001,P229/J229)))</f>
        <v>0.440586161793797</v>
      </c>
      <c r="S229" s="16">
        <f>IFERROR(VLOOKUP(B229,'Факт продаж'!AB:AD,2,0),"нет продаж")</f>
        <v>5</v>
      </c>
      <c r="T229" s="16">
        <f>IFERROR(VLOOKUP(B229,'Факт продаж'!AB:AD,3,0),"нет продаж")</f>
        <v>26053</v>
      </c>
      <c r="U229" s="16">
        <f>IFERROR(VLOOKUP(B229,'Факт продаж'!AB:AF,5,0),"нет продаж")</f>
        <v>7647.7137946222329</v>
      </c>
      <c r="V229" s="7">
        <f>IFERROR(VLOOKUP(B229,'Факт продаж'!AB:AD,3,0)/SUM('План Антонова'!$C$20:$C$22),0)</f>
        <v>1.6931055869364537E-4</v>
      </c>
      <c r="W229" s="44">
        <f>IFERROR(VLOOKUP(B229,'Факт продаж'!AB:AG,6,0),"-")</f>
        <v>3.2879358998432533</v>
      </c>
      <c r="X229" s="44">
        <f>IF(AND(P229=0,V229&gt;0),5,IF(V229/P229&gt;5,5,IF(V229/P229=0,0.0000001,V229/P229)))</f>
        <v>5</v>
      </c>
      <c r="Y229" s="44">
        <f>IFERROR(VLOOKUP(B229,'Факт продаж'!AB:AH,7,0),"-")</f>
        <v>0.92513362928319842</v>
      </c>
      <c r="Z229" s="44">
        <f>IF(AND(F229=0,V229&gt;0),5,IF(V229/F229&gt;5,5,IF(V229/F229=0,0.0000001,V229/F229)))</f>
        <v>2.0013763451665669</v>
      </c>
      <c r="AB229" s="10" t="str">
        <f>IFERROR(VLOOKUP(VALUE(IF(L229&lt;1,1,0)&amp;IF(J229&lt;'Факт продаж'!$M$24,0,1)),$AB$1:$AC$4,2,FALSE),"НЕТ ПРОДАЖ")</f>
        <v>Собака</v>
      </c>
      <c r="AC229" s="10" t="str">
        <f>IFERROR(VLOOKUP(VALUE(IF(R229&lt;1,1,0)&amp;IF(P229&lt;'Факт продаж'!$V$24,0,1)),$AB$1:$AC$4,2,FALSE),"НЕТ ПРОДАЖ")</f>
        <v>Собака</v>
      </c>
      <c r="AD229" s="10" t="str">
        <f>IFERROR(VLOOKUP(VALUE(IF(X229&lt;1,1,0)&amp;IF(V229&lt;'Факт продаж'!$AE$24,0,1)),$AB$1:$AC$4,2,FALSE),"НЕТ ПРОДАЖ")</f>
        <v>Темная лошадка</v>
      </c>
      <c r="AE229" s="18" t="str">
        <f>IFERROR(VLOOKUP(VALUE(IF(Z229&lt;1,1,0)&amp;IF(V229&lt;'Факт продаж'!$AE$24,0,1)),$AB$1:$AC$4,2,FALSE),"НЕТ ПРОДАЖ")</f>
        <v>Темная лошадка</v>
      </c>
      <c r="AF229" s="74" t="str">
        <f>VLOOKUP(B229,'ABC расчет'!B:G,6,0)</f>
        <v>B</v>
      </c>
      <c r="AG229" s="74" t="str">
        <f>VLOOKUP(B229,'ABC расчет'!K:P,6,0)</f>
        <v>C</v>
      </c>
      <c r="AH229" s="74" t="str">
        <f>VLOOKUP(B229,'ABC расчет'!T:Y,6,0)</f>
        <v>C</v>
      </c>
      <c r="AI229" s="74" t="str">
        <f>VLOOKUP(B229,'ABC расчет'!AC:AH,6,0)</f>
        <v>C</v>
      </c>
      <c r="AJ229" s="74" t="s">
        <v>452</v>
      </c>
      <c r="AK229" s="74"/>
      <c r="AL229" s="19"/>
    </row>
    <row r="230" spans="1:38" x14ac:dyDescent="0.3">
      <c r="A230" s="51" t="s">
        <v>247</v>
      </c>
      <c r="B230" s="21" t="s">
        <v>108</v>
      </c>
      <c r="C230" s="20" t="str">
        <f>IFERROR(VLOOKUP(B230,'Факт продаж'!A:B,2,0),"нет продаж")</f>
        <v>нет продаж</v>
      </c>
      <c r="D230" s="47" t="str">
        <f>IFERROR(VLOOKUP(B230,'Факт продаж'!A:C,3,0),"нет продаж")</f>
        <v>нет продаж</v>
      </c>
      <c r="E230" s="47" t="str">
        <f>IFERROR(VLOOKUP(B230,'Факт продаж'!A:E,5,0),"нет продаж")</f>
        <v>нет продаж</v>
      </c>
      <c r="F230" s="25">
        <f>IFERROR(VLOOKUP(B230,'Факт продаж'!A:C,3,0)/SUM('План Антонова'!$C$11:$C$13),0)</f>
        <v>0</v>
      </c>
      <c r="G230" s="5" t="str">
        <f>IFERROR(VLOOKUP(B230,'Факт продаж'!J:K,2,0),"нет продаж")</f>
        <v>нет продаж</v>
      </c>
      <c r="H230" s="48" t="str">
        <f>IFERROR(VLOOKUP(B230,'Факт продаж'!J:L,3,0),"нет продаж")</f>
        <v>нет продаж</v>
      </c>
      <c r="I230" s="48" t="str">
        <f>IFERROR(VLOOKUP(B230,'Факт продаж'!J:N,5,0),"нет продаж")</f>
        <v>нет продаж</v>
      </c>
      <c r="J230" s="7">
        <f>IFERROR(VLOOKUP(B230,'Факт продаж'!J:L,3,0)/SUM('План Антонова'!$C$14:$C$16),0)</f>
        <v>0</v>
      </c>
      <c r="K230" s="44" t="str">
        <f>IFERROR(VLOOKUP(B230,'Факт продаж'!J:O,6,0),"-")</f>
        <v>-</v>
      </c>
      <c r="L230" s="44" t="e">
        <f>IF(AND(F230=0,J230&gt;0),5,IF(J230/F230&gt;5,5,IF(J230/F230=0,0.0000001,J230/F230)))</f>
        <v>#DIV/0!</v>
      </c>
      <c r="M230" s="5">
        <f>IFERROR(VLOOKUP(B230,'Факт продаж'!S:T,2,0),"нет продаж")</f>
        <v>5</v>
      </c>
      <c r="N230" s="48">
        <f>IFERROR(VLOOKUP(B230,'Факт продаж'!S:U,3,0),"нет продаж")</f>
        <v>5354.2</v>
      </c>
      <c r="O230" s="48">
        <f>IFERROR(VLOOKUP(B230,'Факт продаж'!S:W,5,0),"нет продаж")</f>
        <v>3376.2983117406975</v>
      </c>
      <c r="P230" s="7">
        <f>IFERROR(VLOOKUP(B230,'Факт продаж'!S:U,3,0)/SUM('План Антонова'!$C$17:$C$19),0)</f>
        <v>3.2612701877478459E-5</v>
      </c>
      <c r="Q230" s="44">
        <f>IFERROR(VLOOKUP(B230,'Факт продаж'!S:X,6,0),"-")</f>
        <v>1</v>
      </c>
      <c r="R230" s="44">
        <f>IF(AND(J230=0,P230&gt;0),5,IF(P230/J230&gt;5,5,IF(P230/J230=0,0.0000001,P230/J230)))</f>
        <v>5</v>
      </c>
      <c r="S230" s="16">
        <f>IFERROR(VLOOKUP(B230,'Факт продаж'!AB:AD,2,0),"нет продаж")</f>
        <v>11</v>
      </c>
      <c r="T230" s="16">
        <f>IFERROR(VLOOKUP(B230,'Факт продаж'!AB:AD,3,0),"нет продаж")</f>
        <v>12071.5</v>
      </c>
      <c r="U230" s="16">
        <f>IFERROR(VLOOKUP(B230,'Факт продаж'!AB:AF,5,0),"нет продаж")</f>
        <v>7581.9057801965828</v>
      </c>
      <c r="V230" s="7">
        <f>IFERROR(VLOOKUP(B230,'Факт продаж'!AB:AD,3,0)/SUM('План Антонова'!$C$20:$C$22),0)</f>
        <v>7.8449023500953456E-5</v>
      </c>
      <c r="W230" s="44">
        <f>IFERROR(VLOOKUP(B230,'Факт продаж'!AB:AG,6,0),"-")</f>
        <v>1.2456267427055714</v>
      </c>
      <c r="X230" s="44">
        <f>IF(AND(P230=0,V230&gt;0),5,IF(V230/P230&gt;5,5,IF(V230/P230=0,0.0000001,V230/P230)))</f>
        <v>2.4054745232601671</v>
      </c>
      <c r="Y230" s="44">
        <f>IFERROR(VLOOKUP(B230,'Факт продаж'!AB:AH,7,0),"-")</f>
        <v>1</v>
      </c>
      <c r="Z230" s="44">
        <f>IF(AND(F230=0,V230&gt;0),5,IF(V230/F230&gt;5,5,IF(V230/F230=0,0.0000001,V230/F230)))</f>
        <v>5</v>
      </c>
      <c r="AB230" s="10" t="str">
        <f>IFERROR(VLOOKUP(VALUE(IF(L230&lt;1,1,0)&amp;IF(J230&lt;'Факт продаж'!$M$24,0,1)),$AB$1:$AC$4,2,FALSE),"НЕТ ПРОДАЖ")</f>
        <v>НЕТ ПРОДАЖ</v>
      </c>
      <c r="AC230" s="10" t="str">
        <f>IFERROR(VLOOKUP(VALUE(IF(R230&lt;1,1,0)&amp;IF(P230&lt;'Факт продаж'!$V$24,0,1)),$AB$1:$AC$4,2,FALSE),"НЕТ ПРОДАЖ")</f>
        <v>Темная лошадка</v>
      </c>
      <c r="AD230" s="10" t="str">
        <f>IFERROR(VLOOKUP(VALUE(IF(X230&lt;1,1,0)&amp;IF(V230&lt;'Факт продаж'!$AE$24,0,1)),$AB$1:$AC$4,2,FALSE),"НЕТ ПРОДАЖ")</f>
        <v>Темная лошадка</v>
      </c>
      <c r="AE230" s="18" t="str">
        <f>IFERROR(VLOOKUP(VALUE(IF(Z230&lt;1,1,0)&amp;IF(V230&lt;'Факт продаж'!$AE$24,0,1)),$AB$1:$AC$4,2,FALSE),"НЕТ ПРОДАЖ")</f>
        <v>Темная лошадка</v>
      </c>
      <c r="AF230" s="74" t="str">
        <f>VLOOKUP(B230,'ABC расчет'!B:G,6,0)</f>
        <v>C</v>
      </c>
      <c r="AG230" s="74" t="str">
        <f>VLOOKUP(B230,'ABC расчет'!K:P,6,0)</f>
        <v>C</v>
      </c>
      <c r="AH230" s="74" t="str">
        <f>VLOOKUP(B230,'ABC расчет'!T:Y,6,0)</f>
        <v>C</v>
      </c>
      <c r="AI230" s="74" t="str">
        <f>VLOOKUP(B230,'ABC расчет'!AC:AH,6,0)</f>
        <v>C</v>
      </c>
      <c r="AJ230" s="74"/>
      <c r="AK230" s="74"/>
      <c r="AL230" s="19"/>
    </row>
    <row r="231" spans="1:38" x14ac:dyDescent="0.3">
      <c r="A231" s="51" t="s">
        <v>258</v>
      </c>
      <c r="B231" s="21" t="s">
        <v>73</v>
      </c>
      <c r="C231" s="20" t="str">
        <f>IFERROR(VLOOKUP(B231,'Факт продаж'!A:B,2,0),"нет продаж")</f>
        <v>нет продаж</v>
      </c>
      <c r="D231" s="47" t="str">
        <f>IFERROR(VLOOKUP(B231,'Факт продаж'!A:C,3,0),"нет продаж")</f>
        <v>нет продаж</v>
      </c>
      <c r="E231" s="47" t="str">
        <f>IFERROR(VLOOKUP(B231,'Факт продаж'!A:E,5,0),"нет продаж")</f>
        <v>нет продаж</v>
      </c>
      <c r="F231" s="25">
        <f>IFERROR(VLOOKUP(B231,'Факт продаж'!A:C,3,0)/SUM('План Антонова'!$C$11:$C$13),0)</f>
        <v>0</v>
      </c>
      <c r="G231" s="5">
        <f>IFERROR(VLOOKUP(B231,'Факт продаж'!J:K,2,0),"нет продаж")</f>
        <v>2</v>
      </c>
      <c r="H231" s="48">
        <f>IFERROR(VLOOKUP(B231,'Факт продаж'!J:L,3,0),"нет продаж")</f>
        <v>5116.8</v>
      </c>
      <c r="I231" s="48">
        <f>IFERROR(VLOOKUP(B231,'Факт продаж'!J:N,5,0),"нет продаж")</f>
        <v>2810.5454778854196</v>
      </c>
      <c r="J231" s="7">
        <f>IFERROR(VLOOKUP(B231,'Факт продаж'!J:L,3,0)/SUM('План Антонова'!$C$14:$C$16),0)</f>
        <v>3.5330788828931404E-5</v>
      </c>
      <c r="K231" s="44">
        <f>IFERROR(VLOOKUP(B231,'Факт продаж'!J:O,6,0),"-")</f>
        <v>1</v>
      </c>
      <c r="L231" s="44">
        <f>IF(AND(F231=0,J231&gt;0),5,IF(J231/F231&gt;5,5,IF(J231/F231=0,0.0000001,J231/F231)))</f>
        <v>5</v>
      </c>
      <c r="M231" s="5">
        <f>IFERROR(VLOOKUP(B231,'Факт продаж'!S:T,2,0),"нет продаж")</f>
        <v>7</v>
      </c>
      <c r="N231" s="48">
        <f>IFERROR(VLOOKUP(B231,'Факт продаж'!S:U,3,0),"нет продаж")</f>
        <v>16885.2</v>
      </c>
      <c r="O231" s="48">
        <f>IFERROR(VLOOKUP(B231,'Факт продаж'!S:W,5,0),"нет продаж")</f>
        <v>9072.3883322122456</v>
      </c>
      <c r="P231" s="7">
        <f>IFERROR(VLOOKUP(B231,'Факт продаж'!S:U,3,0)/SUM('План Антонова'!$C$17:$C$19),0)</f>
        <v>1.0284860366471169E-4</v>
      </c>
      <c r="Q231" s="44">
        <f>IFERROR(VLOOKUP(B231,'Факт продаж'!S:X,6,0),"-")</f>
        <v>2.2279813308831677</v>
      </c>
      <c r="R231" s="44">
        <f>IF(AND(J231=0,P231&gt;0),5,IF(P231/J231&gt;5,5,IF(P231/J231=0,0.0000001,P231/J231)))</f>
        <v>2.9110191726172787</v>
      </c>
      <c r="S231" s="16">
        <f>IFERROR(VLOOKUP(B231,'Факт продаж'!AB:AD,2,0),"нет продаж")</f>
        <v>5</v>
      </c>
      <c r="T231" s="16">
        <f>IFERROR(VLOOKUP(B231,'Факт продаж'!AB:AD,3,0),"нет продаж")</f>
        <v>12757.5</v>
      </c>
      <c r="U231" s="16">
        <f>IFERROR(VLOOKUP(B231,'Факт продаж'!AB:AF,5,0),"нет продаж")</f>
        <v>6991.2220161477553</v>
      </c>
      <c r="V231" s="7">
        <f>IFERROR(VLOOKUP(B231,'Факт продаж'!AB:AD,3,0)/SUM('План Антонова'!$C$20:$C$22),0)</f>
        <v>8.2907129794426018E-5</v>
      </c>
      <c r="W231" s="44">
        <f>IFERROR(VLOOKUP(B231,'Факт продаж'!AB:AG,6,0),"-")</f>
        <v>-0.22939563870685975</v>
      </c>
      <c r="X231" s="44">
        <f>IF(AND(P231=0,V231&gt;0),5,IF(V231/P231&gt;5,5,IF(V231/P231=0,0.0000001,V231/P231)))</f>
        <v>0.80610846273328873</v>
      </c>
      <c r="Y231" s="44">
        <f>IFERROR(VLOOKUP(B231,'Факт продаж'!AB:AH,7,0),"-")</f>
        <v>1</v>
      </c>
      <c r="Z231" s="44">
        <f>IF(AND(F231=0,V231&gt;0),5,IF(V231/F231&gt;5,5,IF(V231/F231=0,0.0000001,V231/F231)))</f>
        <v>5</v>
      </c>
      <c r="AB231" s="10" t="str">
        <f>IFERROR(VLOOKUP(VALUE(IF(L231&lt;1,1,0)&amp;IF(J231&lt;'Факт продаж'!$M$24,0,1)),$AB$1:$AC$4,2,FALSE),"НЕТ ПРОДАЖ")</f>
        <v>Темная лошадка</v>
      </c>
      <c r="AC231" s="10" t="str">
        <f>IFERROR(VLOOKUP(VALUE(IF(R231&lt;1,1,0)&amp;IF(P231&lt;'Факт продаж'!$V$24,0,1)),$AB$1:$AC$4,2,FALSE),"НЕТ ПРОДАЖ")</f>
        <v>Темная лошадка</v>
      </c>
      <c r="AD231" s="10" t="str">
        <f>IFERROR(VLOOKUP(VALUE(IF(X231&lt;1,1,0)&amp;IF(V231&lt;'Факт продаж'!$AE$24,0,1)),$AB$1:$AC$4,2,FALSE),"НЕТ ПРОДАЖ")</f>
        <v>Собака</v>
      </c>
      <c r="AE231" s="18" t="str">
        <f>IFERROR(VLOOKUP(VALUE(IF(Z231&lt;1,1,0)&amp;IF(V231&lt;'Факт продаж'!$AE$24,0,1)),$AB$1:$AC$4,2,FALSE),"НЕТ ПРОДАЖ")</f>
        <v>Темная лошадка</v>
      </c>
      <c r="AF231" s="74" t="str">
        <f>VLOOKUP(B231,'ABC расчет'!B:G,6,0)</f>
        <v>C</v>
      </c>
      <c r="AG231" s="74" t="str">
        <f>VLOOKUP(B231,'ABC расчет'!K:P,6,0)</f>
        <v>C</v>
      </c>
      <c r="AH231" s="74" t="str">
        <f>VLOOKUP(B231,'ABC расчет'!T:Y,6,0)</f>
        <v>C</v>
      </c>
      <c r="AI231" s="74" t="str">
        <f>VLOOKUP(B231,'ABC расчет'!AC:AH,6,0)</f>
        <v>C</v>
      </c>
      <c r="AJ231" s="74"/>
      <c r="AK231" s="74"/>
      <c r="AL231" s="19"/>
    </row>
    <row r="232" spans="1:38" x14ac:dyDescent="0.3">
      <c r="A232" s="51" t="s">
        <v>258</v>
      </c>
      <c r="B232" s="53" t="s">
        <v>358</v>
      </c>
      <c r="C232" s="20" t="str">
        <f>IFERROR(VLOOKUP(B232,'Факт продаж'!A:B,2,0),"нет продаж")</f>
        <v>нет продаж</v>
      </c>
      <c r="D232" s="47" t="str">
        <f>IFERROR(VLOOKUP(B232,'Факт продаж'!A:C,3,0),"нет продаж")</f>
        <v>нет продаж</v>
      </c>
      <c r="E232" s="47" t="str">
        <f>IFERROR(VLOOKUP(B232,'Факт продаж'!A:E,5,0),"нет продаж")</f>
        <v>нет продаж</v>
      </c>
      <c r="F232" s="25">
        <f>IFERROR(VLOOKUP(B232,'Факт продаж'!A:C,3,0)/SUM('План Антонова'!$C$11:$C$13),0)</f>
        <v>0</v>
      </c>
      <c r="G232" s="5" t="str">
        <f>IFERROR(VLOOKUP(B232,'Факт продаж'!J:K,2,0),"нет продаж")</f>
        <v>нет продаж</v>
      </c>
      <c r="H232" s="48" t="str">
        <f>IFERROR(VLOOKUP(B232,'Факт продаж'!J:L,3,0),"нет продаж")</f>
        <v>нет продаж</v>
      </c>
      <c r="I232" s="48" t="str">
        <f>IFERROR(VLOOKUP(B232,'Факт продаж'!J:N,5,0),"нет продаж")</f>
        <v>нет продаж</v>
      </c>
      <c r="J232" s="7">
        <f>IFERROR(VLOOKUP(B232,'Факт продаж'!J:L,3,0)/SUM('План Антонова'!$C$14:$C$16),0)</f>
        <v>0</v>
      </c>
      <c r="K232" s="44" t="str">
        <f>IFERROR(VLOOKUP(B232,'Факт продаж'!J:O,6,0),"-")</f>
        <v>-</v>
      </c>
      <c r="L232" s="44" t="e">
        <f>IF(AND(F232=0,J232&gt;0),5,IF(J232/F232&gt;5,5,IF(J232/F232=0,0.0000001,J232/F232)))</f>
        <v>#DIV/0!</v>
      </c>
      <c r="M232" s="5" t="str">
        <f>IFERROR(VLOOKUP(B232,'Факт продаж'!S:T,2,0),"нет продаж")</f>
        <v>нет продаж</v>
      </c>
      <c r="N232" s="48" t="str">
        <f>IFERROR(VLOOKUP(B232,'Факт продаж'!S:U,3,0),"нет продаж")</f>
        <v>нет продаж</v>
      </c>
      <c r="O232" s="48" t="str">
        <f>IFERROR(VLOOKUP(B232,'Факт продаж'!S:W,5,0),"нет продаж")</f>
        <v>нет продаж</v>
      </c>
      <c r="P232" s="7">
        <f>IFERROR(VLOOKUP(B232,'Факт продаж'!S:U,3,0)/SUM('План Антонова'!$C$17:$C$19),0)</f>
        <v>0</v>
      </c>
      <c r="Q232" s="44" t="str">
        <f>IFERROR(VLOOKUP(B232,'Факт продаж'!S:X,6,0),"-")</f>
        <v>-</v>
      </c>
      <c r="R232" s="44" t="e">
        <f>IF(AND(J232=0,P232&gt;0),5,IF(P232/J232&gt;5,5,IF(P232/J232=0,0.0000001,P232/J232)))</f>
        <v>#DIV/0!</v>
      </c>
      <c r="S232" s="16">
        <f>IFERROR(VLOOKUP(B232,'Факт продаж'!AB:AD,2,0),"нет продаж")</f>
        <v>8</v>
      </c>
      <c r="T232" s="16">
        <f>IFERROR(VLOOKUP(B232,'Факт продаж'!AB:AD,3,0),"нет продаж")</f>
        <v>17133.199999999997</v>
      </c>
      <c r="U232" s="16">
        <f>IFERROR(VLOOKUP(B232,'Факт продаж'!AB:AF,5,0),"нет продаж")</f>
        <v>6753.5711394946557</v>
      </c>
      <c r="V232" s="7">
        <f>IFERROR(VLOOKUP(B232,'Факт продаж'!AB:AD,3,0)/SUM('План Антонова'!$C$20:$C$22),0)</f>
        <v>1.1134347922350457E-4</v>
      </c>
      <c r="W232" s="44">
        <f>IFERROR(VLOOKUP(B232,'Факт продаж'!AB:AG,6,0),"-")</f>
        <v>1</v>
      </c>
      <c r="X232" s="44">
        <f>IF(AND(P232=0,V232&gt;0),5,IF(V232/P232&gt;5,5,IF(V232/P232=0,0.0000001,V232/P232)))</f>
        <v>5</v>
      </c>
      <c r="Y232" s="44">
        <f>IFERROR(VLOOKUP(B232,'Факт продаж'!AB:AH,7,0),"-")</f>
        <v>1</v>
      </c>
      <c r="Z232" s="44">
        <f>IF(AND(F232=0,V232&gt;0),5,IF(V232/F232&gt;5,5,IF(V232/F232=0,0.0000001,V232/F232)))</f>
        <v>5</v>
      </c>
      <c r="AB232" s="10" t="str">
        <f>IFERROR(VLOOKUP(VALUE(IF(L232&lt;1,1,0)&amp;IF(J232&lt;'Факт продаж'!$M$24,0,1)),$AB$1:$AC$4,2,FALSE),"НЕТ ПРОДАЖ")</f>
        <v>НЕТ ПРОДАЖ</v>
      </c>
      <c r="AC232" s="10" t="str">
        <f>IFERROR(VLOOKUP(VALUE(IF(R232&lt;1,1,0)&amp;IF(P232&lt;'Факт продаж'!$V$24,0,1)),$AB$1:$AC$4,2,FALSE),"НЕТ ПРОДАЖ")</f>
        <v>НЕТ ПРОДАЖ</v>
      </c>
      <c r="AD232" s="10" t="str">
        <f>IFERROR(VLOOKUP(VALUE(IF(X232&lt;1,1,0)&amp;IF(V232&lt;'Факт продаж'!$AE$24,0,1)),$AB$1:$AC$4,2,FALSE),"НЕТ ПРОДАЖ")</f>
        <v>Темная лошадка</v>
      </c>
      <c r="AE232" s="18" t="str">
        <f>IFERROR(VLOOKUP(VALUE(IF(Z232&lt;1,1,0)&amp;IF(V232&lt;'Факт продаж'!$AE$24,0,1)),$AB$1:$AC$4,2,FALSE),"НЕТ ПРОДАЖ")</f>
        <v>Темная лошадка</v>
      </c>
      <c r="AF232" s="74" t="str">
        <f>VLOOKUP(B232,'ABC расчет'!B:G,6,0)</f>
        <v>C</v>
      </c>
      <c r="AG232" s="74" t="str">
        <f>VLOOKUP(B232,'ABC расчет'!K:P,6,0)</f>
        <v>C</v>
      </c>
      <c r="AH232" s="74" t="str">
        <f>VLOOKUP(B232,'ABC расчет'!T:Y,6,0)</f>
        <v>C</v>
      </c>
      <c r="AI232" s="74" t="str">
        <f>VLOOKUP(B232,'ABC расчет'!AC:AH,6,0)</f>
        <v>B</v>
      </c>
      <c r="AJ232" s="74"/>
      <c r="AK232" s="74"/>
      <c r="AL232" s="19"/>
    </row>
    <row r="233" spans="1:38" x14ac:dyDescent="0.3">
      <c r="A233" s="51" t="s">
        <v>251</v>
      </c>
      <c r="B233" s="21" t="s">
        <v>87</v>
      </c>
      <c r="C233" s="20">
        <f>IFERROR(VLOOKUP(B233,'Факт продаж'!A:B,2,0),"нет продаж")</f>
        <v>2</v>
      </c>
      <c r="D233" s="47">
        <f>IFERROR(VLOOKUP(B233,'Факт продаж'!A:C,3,0),"нет продаж")</f>
        <v>12820.5123</v>
      </c>
      <c r="E233" s="47">
        <f>IFERROR(VLOOKUP(B233,'Факт продаж'!A:E,5,0),"нет продаж")</f>
        <v>5200.1263601245191</v>
      </c>
      <c r="F233" s="25">
        <f>IFERROR(VLOOKUP(B233,'Факт продаж'!A:C,3,0)/SUM('План Антонова'!$C$11:$C$13),0)</f>
        <v>9.7347507950018149E-5</v>
      </c>
      <c r="G233" s="5">
        <f>IFERROR(VLOOKUP(B233,'Факт продаж'!J:K,2,0),"нет продаж")</f>
        <v>27</v>
      </c>
      <c r="H233" s="48">
        <f>IFERROR(VLOOKUP(B233,'Факт продаж'!J:L,3,0),"нет продаж")</f>
        <v>156507</v>
      </c>
      <c r="I233" s="48">
        <f>IFERROR(VLOOKUP(B233,'Факт продаж'!J:N,5,0),"нет продаж")</f>
        <v>55651.127474554814</v>
      </c>
      <c r="J233" s="7">
        <f>IFERROR(VLOOKUP(B233,'Факт продаж'!J:L,3,0)/SUM('План Антонова'!$C$14:$C$16),0)</f>
        <v>1.0806589601410192E-3</v>
      </c>
      <c r="K233" s="44">
        <f>IFERROR(VLOOKUP(B233,'Факт продаж'!J:O,6,0),"-")</f>
        <v>9.7018798430163962</v>
      </c>
      <c r="L233" s="44">
        <f>IF(AND(F233=0,J233&gt;0),5,IF(J233/F233&gt;5,5,IF(J233/F233=0,0.0000001,J233/F233)))</f>
        <v>5</v>
      </c>
      <c r="M233" s="5" t="str">
        <f>IFERROR(VLOOKUP(B233,'Факт продаж'!S:T,2,0),"нет продаж")</f>
        <v>нет продаж</v>
      </c>
      <c r="N233" s="48" t="str">
        <f>IFERROR(VLOOKUP(B233,'Факт продаж'!S:U,3,0),"нет продаж")</f>
        <v>нет продаж</v>
      </c>
      <c r="O233" s="48" t="str">
        <f>IFERROR(VLOOKUP(B233,'Факт продаж'!S:W,5,0),"нет продаж")</f>
        <v>нет продаж</v>
      </c>
      <c r="P233" s="7">
        <f>IFERROR(VLOOKUP(B233,'Факт продаж'!S:U,3,0)/SUM('План Антонова'!$C$17:$C$19),0)</f>
        <v>0</v>
      </c>
      <c r="Q233" s="44" t="str">
        <f>IFERROR(VLOOKUP(B233,'Факт продаж'!S:X,6,0),"-")</f>
        <v>-</v>
      </c>
      <c r="R233" s="44">
        <f>IF(AND(J233=0,P233&gt;0),5,IF(P233/J233&gt;5,5,IF(P233/J233=0,0.0000001,P233/J233)))</f>
        <v>9.9999999999999995E-8</v>
      </c>
      <c r="S233" s="16">
        <f>IFERROR(VLOOKUP(B233,'Факт продаж'!AB:AD,2,0),"нет продаж")</f>
        <v>2</v>
      </c>
      <c r="T233" s="16">
        <f>IFERROR(VLOOKUP(B233,'Факт продаж'!AB:AD,3,0),"нет продаж")</f>
        <v>13437</v>
      </c>
      <c r="U233" s="16">
        <f>IFERROR(VLOOKUP(B233,'Факт продаж'!AB:AF,5,0),"нет продаж")</f>
        <v>6694.6779044762588</v>
      </c>
      <c r="V233" s="7">
        <f>IFERROR(VLOOKUP(B233,'Факт продаж'!AB:AD,3,0)/SUM('План Антонова'!$C$20:$C$22),0)</f>
        <v>8.7322994555963344E-5</v>
      </c>
      <c r="W233" s="44">
        <f>IFERROR(VLOOKUP(B233,'Факт продаж'!AB:AG,6,0),"-")</f>
        <v>1</v>
      </c>
      <c r="X233" s="44">
        <f>IF(AND(P233=0,V233&gt;0),5,IF(V233/P233&gt;5,5,IF(V233/P233=0,0.0000001,V233/P233)))</f>
        <v>5</v>
      </c>
      <c r="Y233" s="44">
        <f>IFERROR(VLOOKUP(B233,'Факт продаж'!AB:AH,7,0),"-")</f>
        <v>0.28740677453767716</v>
      </c>
      <c r="Z233" s="44">
        <f>IF(AND(F233=0,V233&gt;0),5,IF(V233/F233&gt;5,5,IF(V233/F233=0,0.0000001,V233/F233)))</f>
        <v>0.89702342047418648</v>
      </c>
      <c r="AB233" s="10" t="str">
        <f>IFERROR(VLOOKUP(VALUE(IF(L233&lt;1,1,0)&amp;IF(J233&lt;'Факт продаж'!$M$24,0,1)),$AB$1:$AC$4,2,FALSE),"НЕТ ПРОДАЖ")</f>
        <v>Звезда</v>
      </c>
      <c r="AC233" s="10" t="str">
        <f>IFERROR(VLOOKUP(VALUE(IF(R233&lt;1,1,0)&amp;IF(P233&lt;'Факт продаж'!$V$24,0,1)),$AB$1:$AC$4,2,FALSE),"НЕТ ПРОДАЖ")</f>
        <v>Собака</v>
      </c>
      <c r="AD233" s="10" t="str">
        <f>IFERROR(VLOOKUP(VALUE(IF(X233&lt;1,1,0)&amp;IF(V233&lt;'Факт продаж'!$AE$24,0,1)),$AB$1:$AC$4,2,FALSE),"НЕТ ПРОДАЖ")</f>
        <v>Темная лошадка</v>
      </c>
      <c r="AE233" s="18" t="str">
        <f>IFERROR(VLOOKUP(VALUE(IF(Z233&lt;1,1,0)&amp;IF(V233&lt;'Факт продаж'!$AE$24,0,1)),$AB$1:$AC$4,2,FALSE),"НЕТ ПРОДАЖ")</f>
        <v>Собака</v>
      </c>
      <c r="AF233" s="74" t="str">
        <f>VLOOKUP(B233,'ABC расчет'!B:G,6,0)</f>
        <v>C</v>
      </c>
      <c r="AG233" s="74" t="str">
        <f>VLOOKUP(B233,'ABC расчет'!K:P,6,0)</f>
        <v>C</v>
      </c>
      <c r="AH233" s="74" t="str">
        <f>VLOOKUP(B233,'ABC расчет'!T:Y,6,0)</f>
        <v>C</v>
      </c>
      <c r="AI233" s="74" t="str">
        <f>VLOOKUP(B233,'ABC расчет'!AC:AH,6,0)</f>
        <v>C</v>
      </c>
      <c r="AJ233" s="74"/>
      <c r="AK233" s="74"/>
      <c r="AL233" s="19"/>
    </row>
    <row r="234" spans="1:38" x14ac:dyDescent="0.3">
      <c r="A234" s="51" t="s">
        <v>249</v>
      </c>
      <c r="B234" s="21" t="s">
        <v>12</v>
      </c>
      <c r="C234" s="20" t="str">
        <f>IFERROR(VLOOKUP(B234,'Факт продаж'!A:B,2,0),"нет продаж")</f>
        <v>нет продаж</v>
      </c>
      <c r="D234" s="47" t="str">
        <f>IFERROR(VLOOKUP(B234,'Факт продаж'!A:C,3,0),"нет продаж")</f>
        <v>нет продаж</v>
      </c>
      <c r="E234" s="47" t="str">
        <f>IFERROR(VLOOKUP(B234,'Факт продаж'!A:E,5,0),"нет продаж")</f>
        <v>нет продаж</v>
      </c>
      <c r="F234" s="25">
        <f>IFERROR(VLOOKUP(B234,'Факт продаж'!A:C,3,0)/SUM('План Антонова'!$C$11:$C$13),0)</f>
        <v>0</v>
      </c>
      <c r="G234" s="5">
        <f>IFERROR(VLOOKUP(B234,'Факт продаж'!J:K,2,0),"нет продаж")</f>
        <v>4</v>
      </c>
      <c r="H234" s="48">
        <f>IFERROR(VLOOKUP(B234,'Факт продаж'!J:L,3,0),"нет продаж")</f>
        <v>4989.3999999999996</v>
      </c>
      <c r="I234" s="48">
        <f>IFERROR(VLOOKUP(B234,'Факт продаж'!J:N,5,0),"нет продаж")</f>
        <v>2514.4683908326929</v>
      </c>
      <c r="J234" s="7">
        <f>IFERROR(VLOOKUP(B234,'Факт продаж'!J:L,3,0)/SUM('План Антонова'!$C$14:$C$16),0)</f>
        <v>3.4451109635528127E-5</v>
      </c>
      <c r="K234" s="44">
        <f>IFERROR(VLOOKUP(B234,'Факт продаж'!J:O,6,0),"-")</f>
        <v>1</v>
      </c>
      <c r="L234" s="44">
        <f>IF(AND(F234=0,J234&gt;0),5,IF(J234/F234&gt;5,5,IF(J234/F234=0,0.0000001,J234/F234)))</f>
        <v>5</v>
      </c>
      <c r="M234" s="5">
        <f>IFERROR(VLOOKUP(B234,'Факт продаж'!S:T,2,0),"нет продаж")</f>
        <v>23</v>
      </c>
      <c r="N234" s="48">
        <f>IFERROR(VLOOKUP(B234,'Факт продаж'!S:U,3,0),"нет продаж")</f>
        <v>31338.75</v>
      </c>
      <c r="O234" s="48">
        <f>IFERROR(VLOOKUP(B234,'Факт продаж'!S:W,5,0),"нет продаж")</f>
        <v>15545.190301412424</v>
      </c>
      <c r="P234" s="7">
        <f>IFERROR(VLOOKUP(B234,'Факт продаж'!S:U,3,0)/SUM('План Антонова'!$C$17:$C$19),0)</f>
        <v>1.9088590470337831E-4</v>
      </c>
      <c r="Q234" s="44">
        <f>IFERROR(VLOOKUP(B234,'Факт продаж'!S:X,6,0),"-")</f>
        <v>5.1822969650712007</v>
      </c>
      <c r="R234" s="44">
        <f>IF(AND(J234=0,P234&gt;0),5,IF(P234/J234&gt;5,5,IF(P234/J234=0,0.0000001,P234/J234)))</f>
        <v>5</v>
      </c>
      <c r="S234" s="16">
        <f>IFERROR(VLOOKUP(B234,'Факт продаж'!AB:AD,2,0),"нет продаж")</f>
        <v>10</v>
      </c>
      <c r="T234" s="16">
        <f>IFERROR(VLOOKUP(B234,'Факт продаж'!AB:AD,3,0),"нет продаж")</f>
        <v>13349.6</v>
      </c>
      <c r="U234" s="16">
        <f>IFERROR(VLOOKUP(B234,'Факт продаж'!AB:AF,5,0),"нет продаж")</f>
        <v>6507.9224815303014</v>
      </c>
      <c r="V234" s="7">
        <f>IFERROR(VLOOKUP(B234,'Факт продаж'!AB:AD,3,0)/SUM('План Антонова'!$C$20:$C$22),0)</f>
        <v>8.6755008418864949E-5</v>
      </c>
      <c r="W234" s="44">
        <f>IFERROR(VLOOKUP(B234,'Факт продаж'!AB:AG,6,0),"-")</f>
        <v>-0.58135459551505164</v>
      </c>
      <c r="X234" s="44">
        <f>IF(AND(P234=0,V234&gt;0),5,IF(V234/P234&gt;5,5,IF(V234/P234=0,0.0000001,V234/P234)))</f>
        <v>0.45448619453424499</v>
      </c>
      <c r="Y234" s="44">
        <f>IFERROR(VLOOKUP(B234,'Факт продаж'!AB:AH,7,0),"-")</f>
        <v>1</v>
      </c>
      <c r="Z234" s="44">
        <f>IF(AND(F234=0,V234&gt;0),5,IF(V234/F234&gt;5,5,IF(V234/F234=0,0.0000001,V234/F234)))</f>
        <v>5</v>
      </c>
      <c r="AB234" s="10" t="str">
        <f>IFERROR(VLOOKUP(VALUE(IF(L234&lt;1,1,0)&amp;IF(J234&lt;'Факт продаж'!$M$24,0,1)),$AB$1:$AC$4,2,FALSE),"НЕТ ПРОДАЖ")</f>
        <v>Темная лошадка</v>
      </c>
      <c r="AC234" s="10" t="str">
        <f>IFERROR(VLOOKUP(VALUE(IF(R234&lt;1,1,0)&amp;IF(P234&lt;'Факт продаж'!$V$24,0,1)),$AB$1:$AC$4,2,FALSE),"НЕТ ПРОДАЖ")</f>
        <v>Темная лошадка</v>
      </c>
      <c r="AD234" s="10" t="str">
        <f>IFERROR(VLOOKUP(VALUE(IF(X234&lt;1,1,0)&amp;IF(V234&lt;'Факт продаж'!$AE$24,0,1)),$AB$1:$AC$4,2,FALSE),"НЕТ ПРОДАЖ")</f>
        <v>Собака</v>
      </c>
      <c r="AE234" s="18" t="str">
        <f>IFERROR(VLOOKUP(VALUE(IF(Z234&lt;1,1,0)&amp;IF(V234&lt;'Факт продаж'!$AE$24,0,1)),$AB$1:$AC$4,2,FALSE),"НЕТ ПРОДАЖ")</f>
        <v>Темная лошадка</v>
      </c>
      <c r="AF234" s="74" t="str">
        <f>VLOOKUP(B234,'ABC расчет'!B:G,6,0)</f>
        <v>C</v>
      </c>
      <c r="AG234" s="74" t="str">
        <f>VLOOKUP(B234,'ABC расчет'!K:P,6,0)</f>
        <v>C</v>
      </c>
      <c r="AH234" s="74" t="str">
        <f>VLOOKUP(B234,'ABC расчет'!T:Y,6,0)</f>
        <v>C</v>
      </c>
      <c r="AI234" s="74" t="str">
        <f>VLOOKUP(B234,'ABC расчет'!AC:AH,6,0)</f>
        <v>C</v>
      </c>
      <c r="AJ234" s="74"/>
      <c r="AK234" s="74"/>
      <c r="AL234" s="19"/>
    </row>
    <row r="235" spans="1:38" x14ac:dyDescent="0.3">
      <c r="A235" s="51" t="s">
        <v>254</v>
      </c>
      <c r="B235" s="21" t="s">
        <v>217</v>
      </c>
      <c r="C235" s="20">
        <f>IFERROR(VLOOKUP(B235,'Факт продаж'!A:B,2,0),"нет продаж")</f>
        <v>50</v>
      </c>
      <c r="D235" s="47">
        <f>IFERROR(VLOOKUP(B235,'Факт продаж'!A:C,3,0),"нет продаж")</f>
        <v>52739.88</v>
      </c>
      <c r="E235" s="47">
        <f>IFERROR(VLOOKUP(B235,'Факт продаж'!A:E,5,0),"нет продаж")</f>
        <v>19474.391647072749</v>
      </c>
      <c r="F235" s="25">
        <f>IFERROR(VLOOKUP(B235,'Факт продаж'!A:C,3,0)/SUM('План Антонова'!$C$11:$C$13),0)</f>
        <v>4.004594954901297E-4</v>
      </c>
      <c r="G235" s="5">
        <f>IFERROR(VLOOKUP(B235,'Факт продаж'!J:K,2,0),"нет продаж")</f>
        <v>14</v>
      </c>
      <c r="H235" s="48">
        <f>IFERROR(VLOOKUP(B235,'Факт продаж'!J:L,3,0),"нет продаж")</f>
        <v>16569</v>
      </c>
      <c r="I235" s="48">
        <f>IFERROR(VLOOKUP(B235,'Факт продаж'!J:N,5,0),"нет продаж")</f>
        <v>5194.0947166438318</v>
      </c>
      <c r="J235" s="7">
        <f>IFERROR(VLOOKUP(B235,'Факт продаж'!J:L,3,0)/SUM('План Антонова'!$C$14:$C$16),0)</f>
        <v>1.1440662916404088E-4</v>
      </c>
      <c r="K235" s="44">
        <f>IFERROR(VLOOKUP(B235,'Факт продаж'!J:O,6,0),"-")</f>
        <v>-0.73328590639571689</v>
      </c>
      <c r="L235" s="44">
        <f>IF(AND(F235=0,J235&gt;0),5,IF(J235/F235&gt;5,5,IF(J235/F235=0,0.0000001,J235/F235)))</f>
        <v>0.28568839159130566</v>
      </c>
      <c r="M235" s="5">
        <f>IFERROR(VLOOKUP(B235,'Факт продаж'!S:T,2,0),"нет продаж")</f>
        <v>142</v>
      </c>
      <c r="N235" s="48">
        <f>IFERROR(VLOOKUP(B235,'Факт продаж'!S:U,3,0),"нет продаж")</f>
        <v>169697.5</v>
      </c>
      <c r="O235" s="48">
        <f>IFERROR(VLOOKUP(B235,'Факт продаж'!S:W,5,0),"нет продаж")</f>
        <v>49373.125449764062</v>
      </c>
      <c r="P235" s="7">
        <f>IFERROR(VLOOKUP(B235,'Факт продаж'!S:U,3,0)/SUM('План Антонова'!$C$17:$C$19),0)</f>
        <v>1.0336360197328082E-3</v>
      </c>
      <c r="Q235" s="44">
        <f>IFERROR(VLOOKUP(B235,'Факт продаж'!S:X,6,0),"-")</f>
        <v>8.5056267055650743</v>
      </c>
      <c r="R235" s="44">
        <f>IF(AND(J235=0,P235&gt;0),5,IF(P235/J235&gt;5,5,IF(P235/J235=0,0.0000001,P235/J235)))</f>
        <v>5</v>
      </c>
      <c r="S235" s="16">
        <f>IFERROR(VLOOKUP(B235,'Факт продаж'!AB:AD,2,0),"нет продаж")</f>
        <v>11</v>
      </c>
      <c r="T235" s="16">
        <f>IFERROR(VLOOKUP(B235,'Факт продаж'!AB:AD,3,0),"нет продаж")</f>
        <v>15341</v>
      </c>
      <c r="U235" s="16">
        <f>IFERROR(VLOOKUP(B235,'Факт продаж'!AB:AF,5,0),"нет продаж")</f>
        <v>6362.4339601044967</v>
      </c>
      <c r="V235" s="7">
        <f>IFERROR(VLOOKUP(B235,'Факт продаж'!AB:AD,3,0)/SUM('План Антонова'!$C$20:$C$22),0)</f>
        <v>9.9696514064376993E-5</v>
      </c>
      <c r="W235" s="44">
        <f>IFERROR(VLOOKUP(B235,'Факт продаж'!AB:AG,6,0),"-")</f>
        <v>-0.87113568561548493</v>
      </c>
      <c r="X235" s="44">
        <f>IF(AND(P235=0,V235&gt;0),5,IF(V235/P235&gt;5,5,IF(V235/P235=0,0.0000001,V235/P235)))</f>
        <v>9.6452244466237014E-2</v>
      </c>
      <c r="Y235" s="44">
        <f>IFERROR(VLOOKUP(B235,'Факт продаж'!AB:AH,7,0),"-")</f>
        <v>-0.67329228684476772</v>
      </c>
      <c r="Z235" s="44">
        <f>IF(AND(F235=0,V235&gt;0),5,IF(V235/F235&gt;5,5,IF(V235/F235=0,0.0000001,V235/F235)))</f>
        <v>0.24895530056630721</v>
      </c>
      <c r="AB235" s="10" t="str">
        <f>IFERROR(VLOOKUP(VALUE(IF(L235&lt;1,1,0)&amp;IF(J235&lt;'Факт продаж'!$M$24,0,1)),$AB$1:$AC$4,2,FALSE),"НЕТ ПРОДАЖ")</f>
        <v>Собака</v>
      </c>
      <c r="AC235" s="10" t="str">
        <f>IFERROR(VLOOKUP(VALUE(IF(R235&lt;1,1,0)&amp;IF(P235&lt;'Факт продаж'!$V$24,0,1)),$AB$1:$AC$4,2,FALSE),"НЕТ ПРОДАЖ")</f>
        <v>Звезда</v>
      </c>
      <c r="AD235" s="10" t="str">
        <f>IFERROR(VLOOKUP(VALUE(IF(X235&lt;1,1,0)&amp;IF(V235&lt;'Факт продаж'!$AE$24,0,1)),$AB$1:$AC$4,2,FALSE),"НЕТ ПРОДАЖ")</f>
        <v>Собака</v>
      </c>
      <c r="AE235" s="18" t="str">
        <f>IFERROR(VLOOKUP(VALUE(IF(Z235&lt;1,1,0)&amp;IF(V235&lt;'Факт продаж'!$AE$24,0,1)),$AB$1:$AC$4,2,FALSE),"НЕТ ПРОДАЖ")</f>
        <v>Собака</v>
      </c>
      <c r="AF235" s="74" t="str">
        <f>VLOOKUP(B235,'ABC расчет'!B:G,6,0)</f>
        <v>B</v>
      </c>
      <c r="AG235" s="74" t="str">
        <f>VLOOKUP(B235,'ABC расчет'!K:P,6,0)</f>
        <v>C</v>
      </c>
      <c r="AH235" s="74" t="str">
        <f>VLOOKUP(B235,'ABC расчет'!T:Y,6,0)</f>
        <v>B</v>
      </c>
      <c r="AI235" s="74" t="str">
        <f>VLOOKUP(B235,'ABC расчет'!AC:AH,6,0)</f>
        <v>C</v>
      </c>
      <c r="AJ235" s="74"/>
      <c r="AK235" s="74"/>
      <c r="AL235" s="19"/>
    </row>
    <row r="236" spans="1:38" x14ac:dyDescent="0.3">
      <c r="A236" s="51" t="s">
        <v>256</v>
      </c>
      <c r="B236" s="21" t="s">
        <v>163</v>
      </c>
      <c r="C236" s="20" t="str">
        <f>IFERROR(VLOOKUP(B236,'Факт продаж'!A:B,2,0),"нет продаж")</f>
        <v>нет продаж</v>
      </c>
      <c r="D236" s="47" t="str">
        <f>IFERROR(VLOOKUP(B236,'Факт продаж'!A:C,3,0),"нет продаж")</f>
        <v>нет продаж</v>
      </c>
      <c r="E236" s="47" t="str">
        <f>IFERROR(VLOOKUP(B236,'Факт продаж'!A:E,5,0),"нет продаж")</f>
        <v>нет продаж</v>
      </c>
      <c r="F236" s="25">
        <f>IFERROR(VLOOKUP(B236,'Факт продаж'!A:C,3,0)/SUM('План Антонова'!$C$11:$C$13),0)</f>
        <v>0</v>
      </c>
      <c r="G236" s="5">
        <f>IFERROR(VLOOKUP(B236,'Факт продаж'!J:K,2,0),"нет продаж")</f>
        <v>7</v>
      </c>
      <c r="H236" s="48">
        <f>IFERROR(VLOOKUP(B236,'Факт продаж'!J:L,3,0),"нет продаж")</f>
        <v>20002.600000000002</v>
      </c>
      <c r="I236" s="48">
        <f>IFERROR(VLOOKUP(B236,'Факт продаж'!J:N,5,0),"нет продаж")</f>
        <v>7238.5501059298585</v>
      </c>
      <c r="J236" s="7">
        <f>IFERROR(VLOOKUP(B236,'Факт продаж'!J:L,3,0)/SUM('План Антонова'!$C$14:$C$16),0)</f>
        <v>1.3811515725249831E-4</v>
      </c>
      <c r="K236" s="44">
        <f>IFERROR(VLOOKUP(B236,'Факт продаж'!J:O,6,0),"-")</f>
        <v>1</v>
      </c>
      <c r="L236" s="44">
        <f>IF(AND(F236=0,J236&gt;0),5,IF(J236/F236&gt;5,5,IF(J236/F236=0,0.0000001,J236/F236)))</f>
        <v>5</v>
      </c>
      <c r="M236" s="5">
        <f>IFERROR(VLOOKUP(B236,'Факт продаж'!S:T,2,0),"нет продаж")</f>
        <v>16</v>
      </c>
      <c r="N236" s="48">
        <f>IFERROR(VLOOKUP(B236,'Факт продаж'!S:U,3,0),"нет продаж")</f>
        <v>54489.700000000004</v>
      </c>
      <c r="O236" s="48">
        <f>IFERROR(VLOOKUP(B236,'Факт продаж'!S:W,5,0),"нет продаж")</f>
        <v>22087.056758146788</v>
      </c>
      <c r="P236" s="7">
        <f>IFERROR(VLOOKUP(B236,'Факт продаж'!S:U,3,0)/SUM('План Антонова'!$C$17:$C$19),0)</f>
        <v>3.3189950720803076E-4</v>
      </c>
      <c r="Q236" s="44">
        <f>IFERROR(VLOOKUP(B236,'Факт продаж'!S:X,6,0),"-")</f>
        <v>2.0513095074181988</v>
      </c>
      <c r="R236" s="44">
        <f>IF(AND(J236=0,P236&gt;0),5,IF(P236/J236&gt;5,5,IF(P236/J236=0,0.0000001,P236/J236)))</f>
        <v>2.4030636014935078</v>
      </c>
      <c r="S236" s="16">
        <f>IFERROR(VLOOKUP(B236,'Факт продаж'!AB:AD,2,0),"нет продаж")</f>
        <v>5</v>
      </c>
      <c r="T236" s="16">
        <f>IFERROR(VLOOKUP(B236,'Факт продаж'!AB:AD,3,0),"нет продаж")</f>
        <v>15959.15</v>
      </c>
      <c r="U236" s="16">
        <f>IFERROR(VLOOKUP(B236,'Факт продаж'!AB:AF,5,0),"нет продаж")</f>
        <v>6294.3140134663763</v>
      </c>
      <c r="V236" s="7">
        <f>IFERROR(VLOOKUP(B236,'Факт продаж'!AB:AD,3,0)/SUM('План Антонова'!$C$20:$C$22),0)</f>
        <v>1.037136837514179E-4</v>
      </c>
      <c r="W236" s="44">
        <f>IFERROR(VLOOKUP(B236,'Факт продаж'!AB:AG,6,0),"-")</f>
        <v>-0.71502250922840926</v>
      </c>
      <c r="X236" s="44">
        <f>IF(AND(P236=0,V236&gt;0),5,IF(V236/P236&gt;5,5,IF(V236/P236=0,0.0000001,V236/P236)))</f>
        <v>0.31248519958305138</v>
      </c>
      <c r="Y236" s="44">
        <f>IFERROR(VLOOKUP(B236,'Факт продаж'!AB:AH,7,0),"-")</f>
        <v>1</v>
      </c>
      <c r="Z236" s="44">
        <f>IF(AND(F236=0,V236&gt;0),5,IF(V236/F236&gt;5,5,IF(V236/F236=0,0.0000001,V236/F236)))</f>
        <v>5</v>
      </c>
      <c r="AB236" s="10" t="str">
        <f>IFERROR(VLOOKUP(VALUE(IF(L236&lt;1,1,0)&amp;IF(J236&lt;'Факт продаж'!$M$24,0,1)),$AB$1:$AC$4,2,FALSE),"НЕТ ПРОДАЖ")</f>
        <v>Темная лошадка</v>
      </c>
      <c r="AC236" s="10" t="str">
        <f>IFERROR(VLOOKUP(VALUE(IF(R236&lt;1,1,0)&amp;IF(P236&lt;'Факт продаж'!$V$24,0,1)),$AB$1:$AC$4,2,FALSE),"НЕТ ПРОДАЖ")</f>
        <v>Темная лошадка</v>
      </c>
      <c r="AD236" s="10" t="str">
        <f>IFERROR(VLOOKUP(VALUE(IF(X236&lt;1,1,0)&amp;IF(V236&lt;'Факт продаж'!$AE$24,0,1)),$AB$1:$AC$4,2,FALSE),"НЕТ ПРОДАЖ")</f>
        <v>Собака</v>
      </c>
      <c r="AE236" s="18" t="str">
        <f>IFERROR(VLOOKUP(VALUE(IF(Z236&lt;1,1,0)&amp;IF(V236&lt;'Факт продаж'!$AE$24,0,1)),$AB$1:$AC$4,2,FALSE),"НЕТ ПРОДАЖ")</f>
        <v>Темная лошадка</v>
      </c>
      <c r="AF236" s="74" t="str">
        <f>VLOOKUP(B236,'ABC расчет'!B:G,6,0)</f>
        <v>C</v>
      </c>
      <c r="AG236" s="74" t="str">
        <f>VLOOKUP(B236,'ABC расчет'!K:P,6,0)</f>
        <v>C</v>
      </c>
      <c r="AH236" s="74" t="str">
        <f>VLOOKUP(B236,'ABC расчет'!T:Y,6,0)</f>
        <v>C</v>
      </c>
      <c r="AI236" s="74" t="str">
        <f>VLOOKUP(B236,'ABC расчет'!AC:AH,6,0)</f>
        <v>C</v>
      </c>
      <c r="AJ236" s="74"/>
      <c r="AK236" s="74"/>
      <c r="AL236" s="19"/>
    </row>
    <row r="237" spans="1:38" x14ac:dyDescent="0.3">
      <c r="A237" s="51" t="s">
        <v>116</v>
      </c>
      <c r="B237" s="21" t="s">
        <v>176</v>
      </c>
      <c r="C237" s="20" t="str">
        <f>IFERROR(VLOOKUP(B237,'Факт продаж'!A:B,2,0),"нет продаж")</f>
        <v>нет продаж</v>
      </c>
      <c r="D237" s="47" t="str">
        <f>IFERROR(VLOOKUP(B237,'Факт продаж'!A:C,3,0),"нет продаж")</f>
        <v>нет продаж</v>
      </c>
      <c r="E237" s="47" t="str">
        <f>IFERROR(VLOOKUP(B237,'Факт продаж'!A:E,5,0),"нет продаж")</f>
        <v>нет продаж</v>
      </c>
      <c r="F237" s="25">
        <f>IFERROR(VLOOKUP(B237,'Факт продаж'!A:C,3,0)/SUM('План Антонова'!$C$11:$C$13),0)</f>
        <v>0</v>
      </c>
      <c r="G237" s="5">
        <f>IFERROR(VLOOKUP(B237,'Факт продаж'!J:K,2,0),"нет продаж")</f>
        <v>12</v>
      </c>
      <c r="H237" s="48">
        <f>IFERROR(VLOOKUP(B237,'Факт продаж'!J:L,3,0),"нет продаж")</f>
        <v>24112.5</v>
      </c>
      <c r="I237" s="48">
        <f>IFERROR(VLOOKUP(B237,'Факт продаж'!J:N,5,0),"нет продаж")</f>
        <v>10778.683952164669</v>
      </c>
      <c r="J237" s="7">
        <f>IFERROR(VLOOKUP(B237,'Факт продаж'!J:L,3,0)/SUM('План Антонова'!$C$14:$C$16),0)</f>
        <v>1.6649344231504229E-4</v>
      </c>
      <c r="K237" s="44">
        <f>IFERROR(VLOOKUP(B237,'Факт продаж'!J:O,6,0),"-")</f>
        <v>1</v>
      </c>
      <c r="L237" s="44">
        <f>IF(AND(F237=0,J237&gt;0),5,IF(J237/F237&gt;5,5,IF(J237/F237=0,0.0000001,J237/F237)))</f>
        <v>5</v>
      </c>
      <c r="M237" s="5">
        <f>IFERROR(VLOOKUP(B237,'Факт продаж'!S:T,2,0),"нет продаж")</f>
        <v>21</v>
      </c>
      <c r="N237" s="48">
        <f>IFERROR(VLOOKUP(B237,'Факт продаж'!S:U,3,0),"нет продаж")</f>
        <v>50306.799999999996</v>
      </c>
      <c r="O237" s="48">
        <f>IFERROR(VLOOKUP(B237,'Факт продаж'!S:W,5,0),"нет продаж")</f>
        <v>25610.679354099128</v>
      </c>
      <c r="P237" s="7">
        <f>IFERROR(VLOOKUP(B237,'Факт продаж'!S:U,3,0)/SUM('План Антонова'!$C$17:$C$19),0)</f>
        <v>3.0642125262596341E-4</v>
      </c>
      <c r="Q237" s="44">
        <f>IFERROR(VLOOKUP(B237,'Факт продаж'!S:X,6,0),"-")</f>
        <v>1.3760488263463526</v>
      </c>
      <c r="R237" s="44">
        <f>IF(AND(J237=0,P237&gt;0),5,IF(P237/J237&gt;5,5,IF(P237/J237=0,0.0000001,P237/J237)))</f>
        <v>1.8404403702948664</v>
      </c>
      <c r="S237" s="16">
        <f>IFERROR(VLOOKUP(B237,'Факт продаж'!AB:AD,2,0),"нет продаж")</f>
        <v>5</v>
      </c>
      <c r="T237" s="16">
        <f>IFERROR(VLOOKUP(B237,'Факт продаж'!AB:AD,3,0),"нет продаж")</f>
        <v>10795.6</v>
      </c>
      <c r="U237" s="16">
        <f>IFERROR(VLOOKUP(B237,'Факт продаж'!AB:AF,5,0),"нет продаж")</f>
        <v>5394.7467858033624</v>
      </c>
      <c r="V237" s="7">
        <f>IFERROR(VLOOKUP(B237,'Факт продаж'!AB:AD,3,0)/SUM('План Антонова'!$C$20:$C$22),0)</f>
        <v>7.0157335716927727E-5</v>
      </c>
      <c r="W237" s="44">
        <f>IFERROR(VLOOKUP(B237,'Факт продаж'!AB:AG,6,0),"-")</f>
        <v>-0.78935557658528477</v>
      </c>
      <c r="X237" s="44">
        <f>IF(AND(P237=0,V237&gt;0),5,IF(V237/P237&gt;5,5,IF(V237/P237=0,0.0000001,V237/P237)))</f>
        <v>0.22895714678957363</v>
      </c>
      <c r="Y237" s="44">
        <f>IFERROR(VLOOKUP(B237,'Факт продаж'!AB:AH,7,0),"-")</f>
        <v>1</v>
      </c>
      <c r="Z237" s="44">
        <f>IF(AND(F237=0,V237&gt;0),5,IF(V237/F237&gt;5,5,IF(V237/F237=0,0.0000001,V237/F237)))</f>
        <v>5</v>
      </c>
      <c r="AB237" s="10" t="str">
        <f>IFERROR(VLOOKUP(VALUE(IF(L237&lt;1,1,0)&amp;IF(J237&lt;'Факт продаж'!$M$24,0,1)),$AB$1:$AC$4,2,FALSE),"НЕТ ПРОДАЖ")</f>
        <v>Темная лошадка</v>
      </c>
      <c r="AC237" s="10" t="str">
        <f>IFERROR(VLOOKUP(VALUE(IF(R237&lt;1,1,0)&amp;IF(P237&lt;'Факт продаж'!$V$24,0,1)),$AB$1:$AC$4,2,FALSE),"НЕТ ПРОДАЖ")</f>
        <v>Темная лошадка</v>
      </c>
      <c r="AD237" s="10" t="str">
        <f>IFERROR(VLOOKUP(VALUE(IF(X237&lt;1,1,0)&amp;IF(V237&lt;'Факт продаж'!$AE$24,0,1)),$AB$1:$AC$4,2,FALSE),"НЕТ ПРОДАЖ")</f>
        <v>Собака</v>
      </c>
      <c r="AE237" s="18" t="str">
        <f>IFERROR(VLOOKUP(VALUE(IF(Z237&lt;1,1,0)&amp;IF(V237&lt;'Факт продаж'!$AE$24,0,1)),$AB$1:$AC$4,2,FALSE),"НЕТ ПРОДАЖ")</f>
        <v>Темная лошадка</v>
      </c>
      <c r="AF237" s="74" t="str">
        <f>VLOOKUP(B237,'ABC расчет'!B:G,6,0)</f>
        <v>C</v>
      </c>
      <c r="AG237" s="74" t="str">
        <f>VLOOKUP(B237,'ABC расчет'!K:P,6,0)</f>
        <v>C</v>
      </c>
      <c r="AH237" s="74" t="str">
        <f>VLOOKUP(B237,'ABC расчет'!T:Y,6,0)</f>
        <v>C</v>
      </c>
      <c r="AI237" s="74" t="str">
        <f>VLOOKUP(B237,'ABC расчет'!AC:AH,6,0)</f>
        <v>C</v>
      </c>
      <c r="AJ237" s="74"/>
      <c r="AK237" s="74"/>
      <c r="AL237" s="19"/>
    </row>
    <row r="238" spans="1:38" x14ac:dyDescent="0.3">
      <c r="A238" s="51" t="s">
        <v>258</v>
      </c>
      <c r="B238" s="21" t="s">
        <v>102</v>
      </c>
      <c r="C238" s="20">
        <f>IFERROR(VLOOKUP(B238,'Факт продаж'!A:B,2,0),"нет продаж")</f>
        <v>24</v>
      </c>
      <c r="D238" s="47">
        <f>IFERROR(VLOOKUP(B238,'Факт продаж'!A:C,3,0),"нет продаж")</f>
        <v>31075.237399999998</v>
      </c>
      <c r="E238" s="47">
        <f>IFERROR(VLOOKUP(B238,'Факт продаж'!A:E,5,0),"нет продаж")</f>
        <v>15694.978392632675</v>
      </c>
      <c r="F238" s="25">
        <f>IFERROR(VLOOKUP(B238,'Факт продаж'!A:C,3,0)/SUM('План Антонова'!$C$11:$C$13),0)</f>
        <v>2.3595756932780299E-4</v>
      </c>
      <c r="G238" s="5">
        <f>IFERROR(VLOOKUP(B238,'Факт продаж'!J:K,2,0),"нет продаж")</f>
        <v>12</v>
      </c>
      <c r="H238" s="48">
        <f>IFERROR(VLOOKUP(B238,'Факт продаж'!J:L,3,0),"нет продаж")</f>
        <v>7574.4</v>
      </c>
      <c r="I238" s="48">
        <f>IFERROR(VLOOKUP(B238,'Факт продаж'!J:N,5,0),"нет продаж")</f>
        <v>3567.9082881486011</v>
      </c>
      <c r="J238" s="7">
        <f>IFERROR(VLOOKUP(B238,'Факт продаж'!J:L,3,0)/SUM('План Антонова'!$C$14:$C$16),0)</f>
        <v>5.2300173332132973E-5</v>
      </c>
      <c r="K238" s="44">
        <f>IFERROR(VLOOKUP(B238,'Факт продаж'!J:O,6,0),"-")</f>
        <v>-0.77267198470159093</v>
      </c>
      <c r="L238" s="44">
        <f>IF(AND(F238=0,J238&gt;0),5,IF(J238/F238&gt;5,5,IF(J238/F238=0,0.0000001,J238/F238)))</f>
        <v>0.22165075475699275</v>
      </c>
      <c r="M238" s="5">
        <f>IFERROR(VLOOKUP(B238,'Факт продаж'!S:T,2,0),"нет продаж")</f>
        <v>9</v>
      </c>
      <c r="N238" s="48">
        <f>IFERROR(VLOOKUP(B238,'Факт продаж'!S:U,3,0),"нет продаж")</f>
        <v>11255.1</v>
      </c>
      <c r="O238" s="48">
        <f>IFERROR(VLOOKUP(B238,'Факт продаж'!S:W,5,0),"нет продаж")</f>
        <v>5144.2727436266714</v>
      </c>
      <c r="P238" s="7">
        <f>IFERROR(VLOOKUP(B238,'Факт продаж'!S:U,3,0)/SUM('План Антонова'!$C$17:$C$19),0)</f>
        <v>6.8555380990849773E-5</v>
      </c>
      <c r="Q238" s="44">
        <f>IFERROR(VLOOKUP(B238,'Факт продаж'!S:X,6,0),"-")</f>
        <v>0.44181753794351342</v>
      </c>
      <c r="R238" s="44">
        <f>IF(AND(J238=0,P238&gt;0),5,IF(P238/J238&gt;5,5,IF(P238/J238=0,0.0000001,P238/J238)))</f>
        <v>1.3108059997332682</v>
      </c>
      <c r="S238" s="16">
        <f>IFERROR(VLOOKUP(B238,'Факт продаж'!AB:AD,2,0),"нет продаж")</f>
        <v>8</v>
      </c>
      <c r="T238" s="16">
        <f>IFERROR(VLOOKUP(B238,'Факт продаж'!AB:AD,3,0),"нет продаж")</f>
        <v>12366.3</v>
      </c>
      <c r="U238" s="16">
        <f>IFERROR(VLOOKUP(B238,'Факт продаж'!AB:AF,5,0),"нет продаж")</f>
        <v>5225.4251041661028</v>
      </c>
      <c r="V238" s="7">
        <f>IFERROR(VLOOKUP(B238,'Факт продаж'!AB:AD,3,0)/SUM('План Антонова'!$C$20:$C$22),0)</f>
        <v>8.0364839441646909E-5</v>
      </c>
      <c r="W238" s="44">
        <f>IFERROR(VLOOKUP(B238,'Факт продаж'!AB:AG,6,0),"-")</f>
        <v>1.577528342368173E-2</v>
      </c>
      <c r="X238" s="44">
        <f>IF(AND(P238=0,V238&gt;0),5,IF(V238/P238&gt;5,5,IF(V238/P238=0,0.0000001,V238/P238)))</f>
        <v>1.1722615829729452</v>
      </c>
      <c r="Y238" s="44">
        <f>IFERROR(VLOOKUP(B238,'Факт продаж'!AB:AH,7,0),"-")</f>
        <v>-0.66706388671302974</v>
      </c>
      <c r="Z238" s="44">
        <f>IF(AND(F238=0,V238&gt;0),5,IF(V238/F238&gt;5,5,IF(V238/F238=0,0.0000001,V238/F238)))</f>
        <v>0.34059021573493331</v>
      </c>
      <c r="AB238" s="10" t="str">
        <f>IFERROR(VLOOKUP(VALUE(IF(L238&lt;1,1,0)&amp;IF(J238&lt;'Факт продаж'!$M$24,0,1)),$AB$1:$AC$4,2,FALSE),"НЕТ ПРОДАЖ")</f>
        <v>Собака</v>
      </c>
      <c r="AC238" s="10" t="str">
        <f>IFERROR(VLOOKUP(VALUE(IF(R238&lt;1,1,0)&amp;IF(P238&lt;'Факт продаж'!$V$24,0,1)),$AB$1:$AC$4,2,FALSE),"НЕТ ПРОДАЖ")</f>
        <v>Темная лошадка</v>
      </c>
      <c r="AD238" s="10" t="str">
        <f>IFERROR(VLOOKUP(VALUE(IF(X238&lt;1,1,0)&amp;IF(V238&lt;'Факт продаж'!$AE$24,0,1)),$AB$1:$AC$4,2,FALSE),"НЕТ ПРОДАЖ")</f>
        <v>Темная лошадка</v>
      </c>
      <c r="AE238" s="18" t="str">
        <f>IFERROR(VLOOKUP(VALUE(IF(Z238&lt;1,1,0)&amp;IF(V238&lt;'Факт продаж'!$AE$24,0,1)),$AB$1:$AC$4,2,FALSE),"НЕТ ПРОДАЖ")</f>
        <v>Собака</v>
      </c>
      <c r="AF238" s="74" t="str">
        <f>VLOOKUP(B238,'ABC расчет'!B:G,6,0)</f>
        <v>A</v>
      </c>
      <c r="AG238" s="74" t="str">
        <f>VLOOKUP(B238,'ABC расчет'!K:P,6,0)</f>
        <v>C</v>
      </c>
      <c r="AH238" s="74" t="str">
        <f>VLOOKUP(B238,'ABC расчет'!T:Y,6,0)</f>
        <v>C</v>
      </c>
      <c r="AI238" s="74" t="str">
        <f>VLOOKUP(B238,'ABC расчет'!AC:AH,6,0)</f>
        <v>C</v>
      </c>
      <c r="AJ238" s="74"/>
      <c r="AK238" s="74"/>
      <c r="AL238" s="19"/>
    </row>
    <row r="239" spans="1:38" x14ac:dyDescent="0.3">
      <c r="A239" s="51" t="s">
        <v>256</v>
      </c>
      <c r="B239" s="21" t="s">
        <v>244</v>
      </c>
      <c r="C239" s="20">
        <f>IFERROR(VLOOKUP(B239,'Факт продаж'!A:B,2,0),"нет продаж")</f>
        <v>54</v>
      </c>
      <c r="D239" s="47">
        <f>IFERROR(VLOOKUP(B239,'Факт продаж'!A:C,3,0),"нет продаж")</f>
        <v>183111.36690000002</v>
      </c>
      <c r="E239" s="47">
        <f>IFERROR(VLOOKUP(B239,'Факт продаж'!A:E,5,0),"нет продаж")</f>
        <v>72060.051562792447</v>
      </c>
      <c r="F239" s="25">
        <f>IFERROR(VLOOKUP(B239,'Факт продаж'!A:C,3,0)/SUM('План Антонова'!$C$11:$C$13),0)</f>
        <v>1.390384005562433E-3</v>
      </c>
      <c r="G239" s="5" t="str">
        <f>IFERROR(VLOOKUP(B239,'Факт продаж'!J:K,2,0),"нет продаж")</f>
        <v>нет продаж</v>
      </c>
      <c r="H239" s="48" t="str">
        <f>IFERROR(VLOOKUP(B239,'Факт продаж'!J:L,3,0),"нет продаж")</f>
        <v>нет продаж</v>
      </c>
      <c r="I239" s="48" t="str">
        <f>IFERROR(VLOOKUP(B239,'Факт продаж'!J:N,5,0),"нет продаж")</f>
        <v>нет продаж</v>
      </c>
      <c r="J239" s="7">
        <f>IFERROR(VLOOKUP(B239,'Факт продаж'!J:L,3,0)/SUM('План Антонова'!$C$14:$C$16),0)</f>
        <v>0</v>
      </c>
      <c r="K239" s="44" t="str">
        <f>IFERROR(VLOOKUP(B239,'Факт продаж'!J:O,6,0),"-")</f>
        <v>-</v>
      </c>
      <c r="L239" s="44">
        <f>IF(AND(F239=0,J239&gt;0),5,IF(J239/F239&gt;5,5,IF(J239/F239=0,0.0000001,J239/F239)))</f>
        <v>9.9999999999999995E-8</v>
      </c>
      <c r="M239" s="5">
        <f>IFERROR(VLOOKUP(B239,'Факт продаж'!S:T,2,0),"нет продаж")</f>
        <v>1</v>
      </c>
      <c r="N239" s="48">
        <f>IFERROR(VLOOKUP(B239,'Факт продаж'!S:U,3,0),"нет продаж")</f>
        <v>3321.2</v>
      </c>
      <c r="O239" s="48">
        <f>IFERROR(VLOOKUP(B239,'Факт продаж'!S:W,5,0),"нет продаж")</f>
        <v>854.89110027497486</v>
      </c>
      <c r="P239" s="7">
        <f>IFERROR(VLOOKUP(B239,'Факт продаж'!S:U,3,0)/SUM('План Антонова'!$C$17:$C$19),0)</f>
        <v>2.0229596480423118E-5</v>
      </c>
      <c r="Q239" s="44">
        <f>IFERROR(VLOOKUP(B239,'Факт продаж'!S:X,6,0),"-")</f>
        <v>1</v>
      </c>
      <c r="R239" s="44">
        <f>IF(AND(J239=0,P239&gt;0),5,IF(P239/J239&gt;5,5,IF(P239/J239=0,0.0000001,P239/J239)))</f>
        <v>5</v>
      </c>
      <c r="S239" s="16">
        <f>IFERROR(VLOOKUP(B239,'Факт продаж'!AB:AD,2,0),"нет продаж")</f>
        <v>3</v>
      </c>
      <c r="T239" s="16">
        <f>IFERROR(VLOOKUP(B239,'Факт продаж'!AB:AD,3,0),"нет продаж")</f>
        <v>13670</v>
      </c>
      <c r="U239" s="16">
        <f>IFERROR(VLOOKUP(B239,'Факт продаж'!AB:AF,5,0),"нет продаж")</f>
        <v>5059.3487670440563</v>
      </c>
      <c r="V239" s="7">
        <f>IFERROR(VLOOKUP(B239,'Факт продаж'!AB:AD,3,0)/SUM('План Антонова'!$C$20:$C$22),0)</f>
        <v>8.8837191008411023E-5</v>
      </c>
      <c r="W239" s="44">
        <f>IFERROR(VLOOKUP(B239,'Факт продаж'!AB:AG,6,0),"-")</f>
        <v>4.9181207587922273</v>
      </c>
      <c r="X239" s="44">
        <f>IF(AND(P239=0,V239&gt;0),5,IF(V239/P239&gt;5,5,IF(V239/P239=0,0.0000001,V239/P239)))</f>
        <v>4.3914465172047228</v>
      </c>
      <c r="Y239" s="44">
        <f>IFERROR(VLOOKUP(B239,'Факт продаж'!AB:AH,7,0),"-")</f>
        <v>-0.92978982588382708</v>
      </c>
      <c r="Z239" s="44">
        <f>IF(AND(F239=0,V239&gt;0),5,IF(V239/F239&gt;5,5,IF(V239/F239=0,0.0000001,V239/F239)))</f>
        <v>6.3893996660638316E-2</v>
      </c>
      <c r="AB239" s="10" t="str">
        <f>IFERROR(VLOOKUP(VALUE(IF(L239&lt;1,1,0)&amp;IF(J239&lt;'Факт продаж'!$M$24,0,1)),$AB$1:$AC$4,2,FALSE),"НЕТ ПРОДАЖ")</f>
        <v>Собака</v>
      </c>
      <c r="AC239" s="10" t="str">
        <f>IFERROR(VLOOKUP(VALUE(IF(R239&lt;1,1,0)&amp;IF(P239&lt;'Факт продаж'!$V$24,0,1)),$AB$1:$AC$4,2,FALSE),"НЕТ ПРОДАЖ")</f>
        <v>Темная лошадка</v>
      </c>
      <c r="AD239" s="10" t="str">
        <f>IFERROR(VLOOKUP(VALUE(IF(X239&lt;1,1,0)&amp;IF(V239&lt;'Факт продаж'!$AE$24,0,1)),$AB$1:$AC$4,2,FALSE),"НЕТ ПРОДАЖ")</f>
        <v>Темная лошадка</v>
      </c>
      <c r="AE239" s="18" t="str">
        <f>IFERROR(VLOOKUP(VALUE(IF(Z239&lt;1,1,0)&amp;IF(V239&lt;'Факт продаж'!$AE$24,0,1)),$AB$1:$AC$4,2,FALSE),"НЕТ ПРОДАЖ")</f>
        <v>Собака</v>
      </c>
      <c r="AF239" s="74" t="str">
        <f>VLOOKUP(B239,'ABC расчет'!B:G,6,0)</f>
        <v>A</v>
      </c>
      <c r="AG239" s="74" t="str">
        <f>VLOOKUP(B239,'ABC расчет'!K:P,6,0)</f>
        <v>C</v>
      </c>
      <c r="AH239" s="74" t="str">
        <f>VLOOKUP(B239,'ABC расчет'!T:Y,6,0)</f>
        <v>C</v>
      </c>
      <c r="AI239" s="74" t="str">
        <f>VLOOKUP(B239,'ABC расчет'!AC:AH,6,0)</f>
        <v>C</v>
      </c>
      <c r="AJ239" s="74"/>
      <c r="AK239" s="74"/>
      <c r="AL239" s="19"/>
    </row>
    <row r="240" spans="1:38" x14ac:dyDescent="0.3">
      <c r="A240" s="51" t="s">
        <v>249</v>
      </c>
      <c r="B240" s="21" t="s">
        <v>162</v>
      </c>
      <c r="C240" s="20" t="str">
        <f>IFERROR(VLOOKUP(B240,'Факт продаж'!A:B,2,0),"нет продаж")</f>
        <v>нет продаж</v>
      </c>
      <c r="D240" s="47" t="str">
        <f>IFERROR(VLOOKUP(B240,'Факт продаж'!A:C,3,0),"нет продаж")</f>
        <v>нет продаж</v>
      </c>
      <c r="E240" s="47" t="str">
        <f>IFERROR(VLOOKUP(B240,'Факт продаж'!A:E,5,0),"нет продаж")</f>
        <v>нет продаж</v>
      </c>
      <c r="F240" s="25">
        <f>IFERROR(VLOOKUP(B240,'Факт продаж'!A:C,3,0)/SUM('План Антонова'!$C$11:$C$13),0)</f>
        <v>0</v>
      </c>
      <c r="G240" s="5">
        <f>IFERROR(VLOOKUP(B240,'Факт продаж'!J:K,2,0),"нет продаж")</f>
        <v>26</v>
      </c>
      <c r="H240" s="48">
        <f>IFERROR(VLOOKUP(B240,'Факт продаж'!J:L,3,0),"нет продаж")</f>
        <v>42661.85</v>
      </c>
      <c r="I240" s="48">
        <f>IFERROR(VLOOKUP(B240,'Факт продаж'!J:N,5,0),"нет продаж")</f>
        <v>20942.939062716214</v>
      </c>
      <c r="J240" s="7">
        <f>IFERROR(VLOOKUP(B240,'Факт продаж'!J:L,3,0)/SUM('План Антонова'!$C$14:$C$16),0)</f>
        <v>2.9457411143713787E-4</v>
      </c>
      <c r="K240" s="44">
        <f>IFERROR(VLOOKUP(B240,'Факт продаж'!J:O,6,0),"-")</f>
        <v>1</v>
      </c>
      <c r="L240" s="44">
        <f>IF(AND(F240=0,J240&gt;0),5,IF(J240/F240&gt;5,5,IF(J240/F240=0,0.0000001,J240/F240)))</f>
        <v>5</v>
      </c>
      <c r="M240" s="5">
        <f>IFERROR(VLOOKUP(B240,'Факт продаж'!S:T,2,0),"нет продаж")</f>
        <v>31</v>
      </c>
      <c r="N240" s="48">
        <f>IFERROR(VLOOKUP(B240,'Факт продаж'!S:U,3,0),"нет продаж")</f>
        <v>54759.740000000005</v>
      </c>
      <c r="O240" s="48">
        <f>IFERROR(VLOOKUP(B240,'Факт продаж'!S:W,5,0),"нет продаж")</f>
        <v>28166.784444303095</v>
      </c>
      <c r="P240" s="7">
        <f>IFERROR(VLOOKUP(B240,'Факт продаж'!S:U,3,0)/SUM('План Антонова'!$C$17:$C$19),0)</f>
        <v>3.3354433444926084E-4</v>
      </c>
      <c r="Q240" s="44">
        <f>IFERROR(VLOOKUP(B240,'Факт продаж'!S:X,6,0),"-")</f>
        <v>0.34492987636330241</v>
      </c>
      <c r="R240" s="44">
        <f>IF(AND(J240=0,P240&gt;0),5,IF(P240/J240&gt;5,5,IF(P240/J240=0,0.0000001,P240/J240)))</f>
        <v>1.1322934416130428</v>
      </c>
      <c r="S240" s="16">
        <f>IFERROR(VLOOKUP(B240,'Факт продаж'!AB:AD,2,0),"нет продаж")</f>
        <v>6</v>
      </c>
      <c r="T240" s="16">
        <f>IFERROR(VLOOKUP(B240,'Факт продаж'!AB:AD,3,0),"нет продаж")</f>
        <v>10259.25</v>
      </c>
      <c r="U240" s="16">
        <f>IFERROR(VLOOKUP(B240,'Факт продаж'!AB:AF,5,0),"нет продаж")</f>
        <v>4951.9587787528944</v>
      </c>
      <c r="V240" s="7">
        <f>IFERROR(VLOOKUP(B240,'Факт продаж'!AB:AD,3,0)/SUM('План Антонова'!$C$20:$C$22),0)</f>
        <v>6.6671759462548703E-5</v>
      </c>
      <c r="W240" s="44">
        <f>IFERROR(VLOOKUP(B240,'Факт продаж'!AB:AG,6,0),"-")</f>
        <v>-0.82419154772370695</v>
      </c>
      <c r="X240" s="44">
        <f>IF(AND(P240=0,V240&gt;0),5,IF(V240/P240&gt;5,5,IF(V240/P240=0,0.0000001,V240/P240)))</f>
        <v>0.19988874814088886</v>
      </c>
      <c r="Y240" s="44">
        <f>IFERROR(VLOOKUP(B240,'Факт продаж'!AB:AH,7,0),"-")</f>
        <v>1</v>
      </c>
      <c r="Z240" s="44">
        <f>IF(AND(F240=0,V240&gt;0),5,IF(V240/F240&gt;5,5,IF(V240/F240=0,0.0000001,V240/F240)))</f>
        <v>5</v>
      </c>
      <c r="AB240" s="10" t="str">
        <f>IFERROR(VLOOKUP(VALUE(IF(L240&lt;1,1,0)&amp;IF(J240&lt;'Факт продаж'!$M$24,0,1)),$AB$1:$AC$4,2,FALSE),"НЕТ ПРОДАЖ")</f>
        <v>Темная лошадка</v>
      </c>
      <c r="AC240" s="10" t="str">
        <f>IFERROR(VLOOKUP(VALUE(IF(R240&lt;1,1,0)&amp;IF(P240&lt;'Факт продаж'!$V$24,0,1)),$AB$1:$AC$4,2,FALSE),"НЕТ ПРОДАЖ")</f>
        <v>Темная лошадка</v>
      </c>
      <c r="AD240" s="10" t="str">
        <f>IFERROR(VLOOKUP(VALUE(IF(X240&lt;1,1,0)&amp;IF(V240&lt;'Факт продаж'!$AE$24,0,1)),$AB$1:$AC$4,2,FALSE),"НЕТ ПРОДАЖ")</f>
        <v>Собака</v>
      </c>
      <c r="AE240" s="18" t="str">
        <f>IFERROR(VLOOKUP(VALUE(IF(Z240&lt;1,1,0)&amp;IF(V240&lt;'Факт продаж'!$AE$24,0,1)),$AB$1:$AC$4,2,FALSE),"НЕТ ПРОДАЖ")</f>
        <v>Темная лошадка</v>
      </c>
      <c r="AF240" s="74" t="str">
        <f>VLOOKUP(B240,'ABC расчет'!B:G,6,0)</f>
        <v>C</v>
      </c>
      <c r="AG240" s="74" t="str">
        <f>VLOOKUP(B240,'ABC расчет'!K:P,6,0)</f>
        <v>C</v>
      </c>
      <c r="AH240" s="74" t="str">
        <f>VLOOKUP(B240,'ABC расчет'!T:Y,6,0)</f>
        <v>C</v>
      </c>
      <c r="AI240" s="74" t="str">
        <f>VLOOKUP(B240,'ABC расчет'!AC:AH,6,0)</f>
        <v>C</v>
      </c>
      <c r="AJ240" s="74"/>
      <c r="AK240" s="74"/>
      <c r="AL240" s="19"/>
    </row>
    <row r="241" spans="1:38" x14ac:dyDescent="0.3">
      <c r="A241" s="51" t="s">
        <v>258</v>
      </c>
      <c r="B241" s="21" t="s">
        <v>55</v>
      </c>
      <c r="C241" s="20">
        <f>IFERROR(VLOOKUP(B241,'Факт продаж'!A:B,2,0),"нет продаж")</f>
        <v>10</v>
      </c>
      <c r="D241" s="47">
        <f>IFERROR(VLOOKUP(B241,'Факт продаж'!A:C,3,0),"нет продаж")</f>
        <v>9946.5889999999999</v>
      </c>
      <c r="E241" s="47">
        <f>IFERROR(VLOOKUP(B241,'Факт продаж'!A:E,5,0),"нет продаж")</f>
        <v>5753.0886746272718</v>
      </c>
      <c r="F241" s="25">
        <f>IFERROR(VLOOKUP(B241,'Факт продаж'!A:C,3,0)/SUM('План Антонова'!$C$11:$C$13),0)</f>
        <v>7.552550390307437E-5</v>
      </c>
      <c r="G241" s="5">
        <f>IFERROR(VLOOKUP(B241,'Факт продаж'!J:K,2,0),"нет продаж")</f>
        <v>36</v>
      </c>
      <c r="H241" s="48">
        <f>IFERROR(VLOOKUP(B241,'Факт продаж'!J:L,3,0),"нет продаж")</f>
        <v>9867.3333999999995</v>
      </c>
      <c r="I241" s="48">
        <f>IFERROR(VLOOKUP(B241,'Факт продаж'!J:N,5,0),"нет продаж")</f>
        <v>5220.6093706587044</v>
      </c>
      <c r="J241" s="7">
        <f>IFERROR(VLOOKUP(B241,'Факт продаж'!J:L,3,0)/SUM('План Антонова'!$C$14:$C$16),0)</f>
        <v>6.8132557977654333E-5</v>
      </c>
      <c r="K241" s="44">
        <f>IFERROR(VLOOKUP(B241,'Факт продаж'!J:O,6,0),"-")</f>
        <v>-9.2555379220374268E-2</v>
      </c>
      <c r="L241" s="44">
        <f>IF(AND(F241=0,J241&gt;0),5,IF(J241/F241&gt;5,5,IF(J241/F241=0,0.0000001,J241/F241)))</f>
        <v>0.90211325256554697</v>
      </c>
      <c r="M241" s="5">
        <f>IFERROR(VLOOKUP(B241,'Факт продаж'!S:T,2,0),"нет продаж")</f>
        <v>15</v>
      </c>
      <c r="N241" s="48">
        <f>IFERROR(VLOOKUP(B241,'Факт продаж'!S:U,3,0),"нет продаж")</f>
        <v>3250</v>
      </c>
      <c r="O241" s="48">
        <f>IFERROR(VLOOKUP(B241,'Факт продаж'!S:W,5,0),"нет продаж")</f>
        <v>1859.9178823192949</v>
      </c>
      <c r="P241" s="7">
        <f>IFERROR(VLOOKUP(B241,'Факт продаж'!S:U,3,0)/SUM('План Антонова'!$C$17:$C$19),0)</f>
        <v>1.9795913694259646E-5</v>
      </c>
      <c r="Q241" s="44">
        <f>IFERROR(VLOOKUP(B241,'Факт продаж'!S:X,6,0),"-")</f>
        <v>-0.6437354817672134</v>
      </c>
      <c r="R241" s="44">
        <f>IF(AND(J241=0,P241&gt;0),5,IF(P241/J241&gt;5,5,IF(P241/J241=0,0.0000001,P241/J241)))</f>
        <v>0.29054998493895062</v>
      </c>
      <c r="S241" s="16">
        <f>IFERROR(VLOOKUP(B241,'Факт продаж'!AB:AD,2,0),"нет продаж")</f>
        <v>29</v>
      </c>
      <c r="T241" s="16">
        <f>IFERROR(VLOOKUP(B241,'Факт продаж'!AB:AD,3,0),"нет продаж")</f>
        <v>8237.7000000000007</v>
      </c>
      <c r="U241" s="16">
        <f>IFERROR(VLOOKUP(B241,'Факт продаж'!AB:AF,5,0),"нет продаж")</f>
        <v>4161.9070197386955</v>
      </c>
      <c r="V241" s="7">
        <f>IFERROR(VLOOKUP(B241,'Факт продаж'!AB:AD,3,0)/SUM('План Антонова'!$C$20:$C$22),0)</f>
        <v>5.3534318095829373E-5</v>
      </c>
      <c r="W241" s="44">
        <f>IFERROR(VLOOKUP(B241,'Факт продаж'!AB:AG,6,0),"-")</f>
        <v>1.2376832113409479</v>
      </c>
      <c r="X241" s="44">
        <f>IF(AND(P241=0,V241&gt;0),5,IF(V241/P241&gt;5,5,IF(V241/P241=0,0.0000001,V241/P241)))</f>
        <v>2.7043115525075803</v>
      </c>
      <c r="Y241" s="44">
        <f>IFERROR(VLOOKUP(B241,'Факт продаж'!AB:AH,7,0),"-")</f>
        <v>-0.27657867710368034</v>
      </c>
      <c r="Z241" s="44">
        <f>IF(AND(F241=0,V241&gt;0),5,IF(V241/F241&gt;5,5,IF(V241/F241=0,0.0000001,V241/F241)))</f>
        <v>0.70882437493608286</v>
      </c>
      <c r="AB241" s="10" t="str">
        <f>IFERROR(VLOOKUP(VALUE(IF(L241&lt;1,1,0)&amp;IF(J241&lt;'Факт продаж'!$M$24,0,1)),$AB$1:$AC$4,2,FALSE),"НЕТ ПРОДАЖ")</f>
        <v>Собака</v>
      </c>
      <c r="AC241" s="10" t="str">
        <f>IFERROR(VLOOKUP(VALUE(IF(R241&lt;1,1,0)&amp;IF(P241&lt;'Факт продаж'!$V$24,0,1)),$AB$1:$AC$4,2,FALSE),"НЕТ ПРОДАЖ")</f>
        <v>Собака</v>
      </c>
      <c r="AD241" s="10" t="str">
        <f>IFERROR(VLOOKUP(VALUE(IF(X241&lt;1,1,0)&amp;IF(V241&lt;'Факт продаж'!$AE$24,0,1)),$AB$1:$AC$4,2,FALSE),"НЕТ ПРОДАЖ")</f>
        <v>Темная лошадка</v>
      </c>
      <c r="AE241" s="18" t="str">
        <f>IFERROR(VLOOKUP(VALUE(IF(Z241&lt;1,1,0)&amp;IF(V241&lt;'Факт продаж'!$AE$24,0,1)),$AB$1:$AC$4,2,FALSE),"НЕТ ПРОДАЖ")</f>
        <v>Собака</v>
      </c>
      <c r="AF241" s="74" t="str">
        <f>VLOOKUP(B241,'ABC расчет'!B:G,6,0)</f>
        <v>A</v>
      </c>
      <c r="AG241" s="74" t="str">
        <f>VLOOKUP(B241,'ABC расчет'!K:P,6,0)</f>
        <v>C</v>
      </c>
      <c r="AH241" s="74" t="str">
        <f>VLOOKUP(B241,'ABC расчет'!T:Y,6,0)</f>
        <v>C</v>
      </c>
      <c r="AI241" s="74" t="str">
        <f>VLOOKUP(B241,'ABC расчет'!AC:AH,6,0)</f>
        <v>C</v>
      </c>
      <c r="AJ241" s="74"/>
      <c r="AK241" s="74"/>
      <c r="AL241" s="19"/>
    </row>
    <row r="242" spans="1:38" x14ac:dyDescent="0.3">
      <c r="A242" s="51" t="s">
        <v>247</v>
      </c>
      <c r="B242" s="21" t="s">
        <v>206</v>
      </c>
      <c r="C242" s="20" t="str">
        <f>IFERROR(VLOOKUP(B242,'Факт продаж'!A:B,2,0),"нет продаж")</f>
        <v>нет продаж</v>
      </c>
      <c r="D242" s="47" t="str">
        <f>IFERROR(VLOOKUP(B242,'Факт продаж'!A:C,3,0),"нет продаж")</f>
        <v>нет продаж</v>
      </c>
      <c r="E242" s="47" t="str">
        <f>IFERROR(VLOOKUP(B242,'Факт продаж'!A:E,5,0),"нет продаж")</f>
        <v>нет продаж</v>
      </c>
      <c r="F242" s="25">
        <f>IFERROR(VLOOKUP(B242,'Факт продаж'!A:C,3,0)/SUM('План Антонова'!$C$11:$C$13),0)</f>
        <v>0</v>
      </c>
      <c r="G242" s="5">
        <f>IFERROR(VLOOKUP(B242,'Факт продаж'!J:K,2,0),"нет продаж")</f>
        <v>1</v>
      </c>
      <c r="H242" s="48">
        <f>IFERROR(VLOOKUP(B242,'Факт продаж'!J:L,3,0),"нет продаж")</f>
        <v>932.5</v>
      </c>
      <c r="I242" s="48">
        <f>IFERROR(VLOOKUP(B242,'Факт продаж'!J:N,5,0),"нет продаж")</f>
        <v>119.90034051407156</v>
      </c>
      <c r="J242" s="7">
        <f>IFERROR(VLOOKUP(B242,'Факт продаж'!J:L,3,0)/SUM('План Антонова'!$C$14:$C$16),0)</f>
        <v>6.4387821652162548E-6</v>
      </c>
      <c r="K242" s="44">
        <f>IFERROR(VLOOKUP(B242,'Факт продаж'!J:O,6,0),"-")</f>
        <v>1</v>
      </c>
      <c r="L242" s="44">
        <f>IF(AND(F242=0,J242&gt;0),5,IF(J242/F242&gt;5,5,IF(J242/F242=0,0.0000001,J242/F242)))</f>
        <v>5</v>
      </c>
      <c r="M242" s="5">
        <f>IFERROR(VLOOKUP(B242,'Факт продаж'!S:T,2,0),"нет продаж")</f>
        <v>4</v>
      </c>
      <c r="N242" s="48">
        <f>IFERROR(VLOOKUP(B242,'Факт продаж'!S:U,3,0),"нет продаж")</f>
        <v>2466</v>
      </c>
      <c r="O242" s="48">
        <f>IFERROR(VLOOKUP(B242,'Факт продаж'!S:W,5,0),"нет продаж")</f>
        <v>988.73434744134374</v>
      </c>
      <c r="P242" s="7">
        <f>IFERROR(VLOOKUP(B242,'Факт продаж'!S:U,3,0)/SUM('План Антонова'!$C$17:$C$19),0)</f>
        <v>1.5020530206167472E-5</v>
      </c>
      <c r="Q242" s="44">
        <f>IFERROR(VLOOKUP(B242,'Факт продаж'!S:X,6,0),"-")</f>
        <v>7.2463014133417367</v>
      </c>
      <c r="R242" s="44">
        <f>IF(AND(J242=0,P242&gt;0),5,IF(P242/J242&gt;5,5,IF(P242/J242=0,0.0000001,P242/J242)))</f>
        <v>2.332821614514581</v>
      </c>
      <c r="S242" s="16">
        <f>IFERROR(VLOOKUP(B242,'Факт продаж'!AB:AD,2,0),"нет продаж")</f>
        <v>12</v>
      </c>
      <c r="T242" s="16">
        <f>IFERROR(VLOOKUP(B242,'Факт продаж'!AB:AD,3,0),"нет продаж")</f>
        <v>8515.2000000000007</v>
      </c>
      <c r="U242" s="16">
        <f>IFERROR(VLOOKUP(B242,'Факт продаж'!AB:AF,5,0),"нет продаж")</f>
        <v>3673.7944755625963</v>
      </c>
      <c r="V242" s="7">
        <f>IFERROR(VLOOKUP(B242,'Факт продаж'!AB:AD,3,0)/SUM('План Антонова'!$C$20:$C$22),0)</f>
        <v>5.5337706574602899E-5</v>
      </c>
      <c r="W242" s="44">
        <f>IFERROR(VLOOKUP(B242,'Факт продаж'!AB:AG,6,0),"-")</f>
        <v>2.7156537396214433</v>
      </c>
      <c r="X242" s="44">
        <f>IF(AND(P242=0,V242&gt;0),5,IF(V242/P242&gt;5,5,IF(V242/P242=0,0.0000001,V242/P242)))</f>
        <v>3.6841380307521421</v>
      </c>
      <c r="Y242" s="44">
        <f>IFERROR(VLOOKUP(B242,'Факт продаж'!AB:AH,7,0),"-")</f>
        <v>1</v>
      </c>
      <c r="Z242" s="44">
        <f>IF(AND(F242=0,V242&gt;0),5,IF(V242/F242&gt;5,5,IF(V242/F242=0,0.0000001,V242/F242)))</f>
        <v>5</v>
      </c>
      <c r="AB242" s="10" t="str">
        <f>IFERROR(VLOOKUP(VALUE(IF(L242&lt;1,1,0)&amp;IF(J242&lt;'Факт продаж'!$M$24,0,1)),$AB$1:$AC$4,2,FALSE),"НЕТ ПРОДАЖ")</f>
        <v>Темная лошадка</v>
      </c>
      <c r="AC242" s="10" t="str">
        <f>IFERROR(VLOOKUP(VALUE(IF(R242&lt;1,1,0)&amp;IF(P242&lt;'Факт продаж'!$V$24,0,1)),$AB$1:$AC$4,2,FALSE),"НЕТ ПРОДАЖ")</f>
        <v>Темная лошадка</v>
      </c>
      <c r="AD242" s="10" t="str">
        <f>IFERROR(VLOOKUP(VALUE(IF(X242&lt;1,1,0)&amp;IF(V242&lt;'Факт продаж'!$AE$24,0,1)),$AB$1:$AC$4,2,FALSE),"НЕТ ПРОДАЖ")</f>
        <v>Темная лошадка</v>
      </c>
      <c r="AE242" s="18" t="str">
        <f>IFERROR(VLOOKUP(VALUE(IF(Z242&lt;1,1,0)&amp;IF(V242&lt;'Факт продаж'!$AE$24,0,1)),$AB$1:$AC$4,2,FALSE),"НЕТ ПРОДАЖ")</f>
        <v>Темная лошадка</v>
      </c>
      <c r="AF242" s="74" t="str">
        <f>VLOOKUP(B242,'ABC расчет'!B:G,6,0)</f>
        <v>C</v>
      </c>
      <c r="AG242" s="74" t="str">
        <f>VLOOKUP(B242,'ABC расчет'!K:P,6,0)</f>
        <v>C</v>
      </c>
      <c r="AH242" s="74" t="str">
        <f>VLOOKUP(B242,'ABC расчет'!T:Y,6,0)</f>
        <v>C</v>
      </c>
      <c r="AI242" s="74" t="str">
        <f>VLOOKUP(B242,'ABC расчет'!AC:AH,6,0)</f>
        <v>C</v>
      </c>
      <c r="AJ242" s="74"/>
      <c r="AK242" s="74"/>
      <c r="AL242" s="19" t="s">
        <v>455</v>
      </c>
    </row>
    <row r="243" spans="1:38" x14ac:dyDescent="0.3">
      <c r="A243" s="51" t="s">
        <v>249</v>
      </c>
      <c r="B243" s="21" t="s">
        <v>227</v>
      </c>
      <c r="C243" s="20" t="str">
        <f>IFERROR(VLOOKUP(B243,'Факт продаж'!A:B,2,0),"нет продаж")</f>
        <v>нет продаж</v>
      </c>
      <c r="D243" s="47" t="str">
        <f>IFERROR(VLOOKUP(B243,'Факт продаж'!A:C,3,0),"нет продаж")</f>
        <v>нет продаж</v>
      </c>
      <c r="E243" s="47" t="str">
        <f>IFERROR(VLOOKUP(B243,'Факт продаж'!A:E,5,0),"нет продаж")</f>
        <v>нет продаж</v>
      </c>
      <c r="F243" s="25">
        <f>IFERROR(VLOOKUP(B243,'Факт продаж'!A:C,3,0)/SUM('План Антонова'!$C$11:$C$13),0)</f>
        <v>0</v>
      </c>
      <c r="G243" s="5">
        <f>IFERROR(VLOOKUP(B243,'Факт продаж'!J:K,2,0),"нет продаж")</f>
        <v>4</v>
      </c>
      <c r="H243" s="48">
        <f>IFERROR(VLOOKUP(B243,'Факт продаж'!J:L,3,0),"нет продаж")</f>
        <v>9540</v>
      </c>
      <c r="I243" s="48">
        <f>IFERROR(VLOOKUP(B243,'Факт продаж'!J:N,5,0),"нет продаж")</f>
        <v>4595.8133978236556</v>
      </c>
      <c r="J243" s="7">
        <f>IFERROR(VLOOKUP(B243,'Факт продаж'!J:L,3,0)/SUM('План Антонова'!$C$14:$C$16),0)</f>
        <v>6.5872366601783458E-5</v>
      </c>
      <c r="K243" s="44">
        <f>IFERROR(VLOOKUP(B243,'Факт продаж'!J:O,6,0),"-")</f>
        <v>1</v>
      </c>
      <c r="L243" s="44">
        <f>IF(AND(F243=0,J243&gt;0),5,IF(J243/F243&gt;5,5,IF(J243/F243=0,0.0000001,J243/F243)))</f>
        <v>5</v>
      </c>
      <c r="M243" s="5">
        <f>IFERROR(VLOOKUP(B243,'Факт продаж'!S:T,2,0),"нет продаж")</f>
        <v>15</v>
      </c>
      <c r="N243" s="48">
        <f>IFERROR(VLOOKUP(B243,'Факт продаж'!S:U,3,0),"нет продаж")</f>
        <v>31620.799999999999</v>
      </c>
      <c r="O243" s="48">
        <f>IFERROR(VLOOKUP(B243,'Факт продаж'!S:W,5,0),"нет продаж")</f>
        <v>12803.602104604852</v>
      </c>
      <c r="P243" s="7">
        <f>IFERROR(VLOOKUP(B243,'Факт продаж'!S:U,3,0)/SUM('План Антонова'!$C$17:$C$19),0)</f>
        <v>1.9260388545952166E-4</v>
      </c>
      <c r="Q243" s="44">
        <f>IFERROR(VLOOKUP(B243,'Факт продаж'!S:X,6,0),"-")</f>
        <v>1.7859273204321111</v>
      </c>
      <c r="R243" s="44">
        <f>IF(AND(J243=0,P243&gt;0),5,IF(P243/J243&gt;5,5,IF(P243/J243=0,0.0000001,P243/J243)))</f>
        <v>2.9238950320984372</v>
      </c>
      <c r="S243" s="16">
        <f>IFERROR(VLOOKUP(B243,'Факт продаж'!AB:AD,2,0),"нет продаж")</f>
        <v>3</v>
      </c>
      <c r="T243" s="16">
        <f>IFERROR(VLOOKUP(B243,'Факт продаж'!AB:AD,3,0),"нет продаж")</f>
        <v>7783.5</v>
      </c>
      <c r="U243" s="16">
        <f>IFERROR(VLOOKUP(B243,'Факт продаж'!AB:AF,5,0),"нет продаж")</f>
        <v>3633.0496667067682</v>
      </c>
      <c r="V243" s="7">
        <f>IFERROR(VLOOKUP(B243,'Факт продаж'!AB:AD,3,0)/SUM('План Антонова'!$C$20:$C$22),0)</f>
        <v>5.0582609818139519E-5</v>
      </c>
      <c r="W243" s="44">
        <f>IFERROR(VLOOKUP(B243,'Факт продаж'!AB:AG,6,0),"-")</f>
        <v>-0.71624784673680764</v>
      </c>
      <c r="X243" s="44">
        <f>IF(AND(P243=0,V243&gt;0),5,IF(V243/P243&gt;5,5,IF(V243/P243=0,0.0000001,V243/P243)))</f>
        <v>0.26262507476138192</v>
      </c>
      <c r="Y243" s="44">
        <f>IFERROR(VLOOKUP(B243,'Факт продаж'!AB:AH,7,0),"-")</f>
        <v>1</v>
      </c>
      <c r="Z243" s="44">
        <f>IF(AND(F243=0,V243&gt;0),5,IF(V243/F243&gt;5,5,IF(V243/F243=0,0.0000001,V243/F243)))</f>
        <v>5</v>
      </c>
      <c r="AB243" s="10" t="str">
        <f>IFERROR(VLOOKUP(VALUE(IF(L243&lt;1,1,0)&amp;IF(J243&lt;'Факт продаж'!$M$24,0,1)),$AB$1:$AC$4,2,FALSE),"НЕТ ПРОДАЖ")</f>
        <v>Темная лошадка</v>
      </c>
      <c r="AC243" s="10" t="str">
        <f>IFERROR(VLOOKUP(VALUE(IF(R243&lt;1,1,0)&amp;IF(P243&lt;'Факт продаж'!$V$24,0,1)),$AB$1:$AC$4,2,FALSE),"НЕТ ПРОДАЖ")</f>
        <v>Темная лошадка</v>
      </c>
      <c r="AD243" s="10" t="str">
        <f>IFERROR(VLOOKUP(VALUE(IF(X243&lt;1,1,0)&amp;IF(V243&lt;'Факт продаж'!$AE$24,0,1)),$AB$1:$AC$4,2,FALSE),"НЕТ ПРОДАЖ")</f>
        <v>Собака</v>
      </c>
      <c r="AE243" s="18" t="str">
        <f>IFERROR(VLOOKUP(VALUE(IF(Z243&lt;1,1,0)&amp;IF(V243&lt;'Факт продаж'!$AE$24,0,1)),$AB$1:$AC$4,2,FALSE),"НЕТ ПРОДАЖ")</f>
        <v>Темная лошадка</v>
      </c>
      <c r="AF243" s="74" t="str">
        <f>VLOOKUP(B243,'ABC расчет'!B:G,6,0)</f>
        <v>C</v>
      </c>
      <c r="AG243" s="74" t="str">
        <f>VLOOKUP(B243,'ABC расчет'!K:P,6,0)</f>
        <v>C</v>
      </c>
      <c r="AH243" s="74" t="str">
        <f>VLOOKUP(B243,'ABC расчет'!T:Y,6,0)</f>
        <v>C</v>
      </c>
      <c r="AI243" s="74" t="str">
        <f>VLOOKUP(B243,'ABC расчет'!AC:AH,6,0)</f>
        <v>C</v>
      </c>
      <c r="AJ243" s="74"/>
      <c r="AK243" s="74"/>
      <c r="AL243" s="19"/>
    </row>
    <row r="244" spans="1:38" x14ac:dyDescent="0.3">
      <c r="A244" s="51" t="s">
        <v>256</v>
      </c>
      <c r="B244" s="21" t="s">
        <v>144</v>
      </c>
      <c r="C244" s="20" t="str">
        <f>IFERROR(VLOOKUP(B244,'Факт продаж'!A:B,2,0),"нет продаж")</f>
        <v>нет продаж</v>
      </c>
      <c r="D244" s="47" t="str">
        <f>IFERROR(VLOOKUP(B244,'Факт продаж'!A:C,3,0),"нет продаж")</f>
        <v>нет продаж</v>
      </c>
      <c r="E244" s="47" t="str">
        <f>IFERROR(VLOOKUP(B244,'Факт продаж'!A:E,5,0),"нет продаж")</f>
        <v>нет продаж</v>
      </c>
      <c r="F244" s="25">
        <f>IFERROR(VLOOKUP(B244,'Факт продаж'!A:C,3,0)/SUM('План Антонова'!$C$11:$C$13),0)</f>
        <v>0</v>
      </c>
      <c r="G244" s="5">
        <f>IFERROR(VLOOKUP(B244,'Факт продаж'!J:K,2,0),"нет продаж")</f>
        <v>4</v>
      </c>
      <c r="H244" s="48">
        <f>IFERROR(VLOOKUP(B244,'Факт продаж'!J:L,3,0),"нет продаж")</f>
        <v>14467.55</v>
      </c>
      <c r="I244" s="48">
        <f>IFERROR(VLOOKUP(B244,'Факт продаж'!J:N,5,0),"нет продаж")</f>
        <v>6346.483856529705</v>
      </c>
      <c r="J244" s="7">
        <f>IFERROR(VLOOKUP(B244,'Факт продаж'!J:L,3,0)/SUM('План Антонова'!$C$14:$C$16),0)</f>
        <v>9.9896410632036912E-5</v>
      </c>
      <c r="K244" s="44">
        <f>IFERROR(VLOOKUP(B244,'Факт продаж'!J:O,6,0),"-")</f>
        <v>1</v>
      </c>
      <c r="L244" s="44">
        <f>IF(AND(F244=0,J244&gt;0),5,IF(J244/F244&gt;5,5,IF(J244/F244=0,0.0000001,J244/F244)))</f>
        <v>5</v>
      </c>
      <c r="M244" s="5">
        <f>IFERROR(VLOOKUP(B244,'Факт продаж'!S:T,2,0),"нет продаж")</f>
        <v>1</v>
      </c>
      <c r="N244" s="48">
        <f>IFERROR(VLOOKUP(B244,'Факт продаж'!S:U,3,0),"нет продаж")</f>
        <v>3758.2</v>
      </c>
      <c r="O244" s="48">
        <f>IFERROR(VLOOKUP(B244,'Факт продаж'!S:W,5,0),"нет продаж")</f>
        <v>1162.1600498469836</v>
      </c>
      <c r="P244" s="7">
        <f>IFERROR(VLOOKUP(B244,'Факт продаж'!S:U,3,0)/SUM('План Антонова'!$C$17:$C$19),0)</f>
        <v>2.2891385491005106E-5</v>
      </c>
      <c r="Q244" s="44">
        <f>IFERROR(VLOOKUP(B244,'Факт продаж'!S:X,6,0),"-")</f>
        <v>-0.81688127219432338</v>
      </c>
      <c r="R244" s="44">
        <f>IF(AND(J244=0,P244&gt;0),5,IF(P244/J244&gt;5,5,IF(P244/J244=0,0.0000001,P244/J244)))</f>
        <v>0.22915123122215372</v>
      </c>
      <c r="S244" s="16">
        <f>IFERROR(VLOOKUP(B244,'Факт продаж'!AB:AD,2,0),"нет продаж")</f>
        <v>2</v>
      </c>
      <c r="T244" s="16">
        <f>IFERROR(VLOOKUP(B244,'Факт продаж'!AB:AD,3,0),"нет продаж")</f>
        <v>7704</v>
      </c>
      <c r="U244" s="16">
        <f>IFERROR(VLOOKUP(B244,'Факт продаж'!AB:AF,5,0),"нет продаж")</f>
        <v>3342.1182614566223</v>
      </c>
      <c r="V244" s="7">
        <f>IFERROR(VLOOKUP(B244,'Факт продаж'!AB:AD,3,0)/SUM('План Антонова'!$C$20:$C$22),0)</f>
        <v>5.0065963389085482E-5</v>
      </c>
      <c r="W244" s="44">
        <f>IFERROR(VLOOKUP(B244,'Факт продаж'!AB:AG,6,0),"-")</f>
        <v>1.8757814054068231</v>
      </c>
      <c r="X244" s="44">
        <f>IF(AND(P244=0,V244&gt;0),5,IF(V244/P244&gt;5,5,IF(V244/P244=0,0.0000001,V244/P244)))</f>
        <v>2.1871093564327202</v>
      </c>
      <c r="Y244" s="44">
        <f>IFERROR(VLOOKUP(B244,'Факт продаж'!AB:AH,7,0),"-")</f>
        <v>1</v>
      </c>
      <c r="Z244" s="44">
        <f>IF(AND(F244=0,V244&gt;0),5,IF(V244/F244&gt;5,5,IF(V244/F244=0,0.0000001,V244/F244)))</f>
        <v>5</v>
      </c>
      <c r="AB244" s="10" t="str">
        <f>IFERROR(VLOOKUP(VALUE(IF(L244&lt;1,1,0)&amp;IF(J244&lt;'Факт продаж'!$M$24,0,1)),$AB$1:$AC$4,2,FALSE),"НЕТ ПРОДАЖ")</f>
        <v>Темная лошадка</v>
      </c>
      <c r="AC244" s="10" t="str">
        <f>IFERROR(VLOOKUP(VALUE(IF(R244&lt;1,1,0)&amp;IF(P244&lt;'Факт продаж'!$V$24,0,1)),$AB$1:$AC$4,2,FALSE),"НЕТ ПРОДАЖ")</f>
        <v>Собака</v>
      </c>
      <c r="AD244" s="10" t="str">
        <f>IFERROR(VLOOKUP(VALUE(IF(X244&lt;1,1,0)&amp;IF(V244&lt;'Факт продаж'!$AE$24,0,1)),$AB$1:$AC$4,2,FALSE),"НЕТ ПРОДАЖ")</f>
        <v>Темная лошадка</v>
      </c>
      <c r="AE244" s="18" t="str">
        <f>IFERROR(VLOOKUP(VALUE(IF(Z244&lt;1,1,0)&amp;IF(V244&lt;'Факт продаж'!$AE$24,0,1)),$AB$1:$AC$4,2,FALSE),"НЕТ ПРОДАЖ")</f>
        <v>Темная лошадка</v>
      </c>
      <c r="AF244" s="74" t="str">
        <f>VLOOKUP(B244,'ABC расчет'!B:G,6,0)</f>
        <v>C</v>
      </c>
      <c r="AG244" s="74" t="str">
        <f>VLOOKUP(B244,'ABC расчет'!K:P,6,0)</f>
        <v>C</v>
      </c>
      <c r="AH244" s="74" t="str">
        <f>VLOOKUP(B244,'ABC расчет'!T:Y,6,0)</f>
        <v>C</v>
      </c>
      <c r="AI244" s="74" t="str">
        <f>VLOOKUP(B244,'ABC расчет'!AC:AH,6,0)</f>
        <v>C</v>
      </c>
      <c r="AJ244" s="74"/>
      <c r="AK244" s="74"/>
      <c r="AL244" s="19"/>
    </row>
    <row r="245" spans="1:38" x14ac:dyDescent="0.3">
      <c r="A245" s="51" t="s">
        <v>247</v>
      </c>
      <c r="B245" s="21" t="s">
        <v>207</v>
      </c>
      <c r="C245" s="20" t="str">
        <f>IFERROR(VLOOKUP(B245,'Факт продаж'!A:B,2,0),"нет продаж")</f>
        <v>нет продаж</v>
      </c>
      <c r="D245" s="47" t="str">
        <f>IFERROR(VLOOKUP(B245,'Факт продаж'!A:C,3,0),"нет продаж")</f>
        <v>нет продаж</v>
      </c>
      <c r="E245" s="47" t="str">
        <f>IFERROR(VLOOKUP(B245,'Факт продаж'!A:E,5,0),"нет продаж")</f>
        <v>нет продаж</v>
      </c>
      <c r="F245" s="25">
        <f>IFERROR(VLOOKUP(B245,'Факт продаж'!A:C,3,0)/SUM('План Антонова'!$C$11:$C$13),0)</f>
        <v>0</v>
      </c>
      <c r="G245" s="5">
        <f>IFERROR(VLOOKUP(B245,'Факт продаж'!J:K,2,0),"нет продаж")</f>
        <v>34</v>
      </c>
      <c r="H245" s="48">
        <f>IFERROR(VLOOKUP(B245,'Факт продаж'!J:L,3,0),"нет продаж")</f>
        <v>22834.6</v>
      </c>
      <c r="I245" s="48">
        <f>IFERROR(VLOOKUP(B245,'Факт продаж'!J:N,5,0),"нет продаж")</f>
        <v>12342.972178414431</v>
      </c>
      <c r="J245" s="7">
        <f>IFERROR(VLOOKUP(B245,'Факт продаж'!J:L,3,0)/SUM('План Антонова'!$C$14:$C$16),0)</f>
        <v>1.5766972142610945E-4</v>
      </c>
      <c r="K245" s="44">
        <f>IFERROR(VLOOKUP(B245,'Факт продаж'!J:O,6,0),"-")</f>
        <v>1</v>
      </c>
      <c r="L245" s="44">
        <f>IF(AND(F245=0,J245&gt;0),5,IF(J245/F245&gt;5,5,IF(J245/F245=0,0.0000001,J245/F245)))</f>
        <v>5</v>
      </c>
      <c r="M245" s="5">
        <f>IFERROR(VLOOKUP(B245,'Факт продаж'!S:T,2,0),"нет продаж")</f>
        <v>10</v>
      </c>
      <c r="N245" s="48">
        <f>IFERROR(VLOOKUP(B245,'Факт продаж'!S:U,3,0),"нет продаж")</f>
        <v>6718.8</v>
      </c>
      <c r="O245" s="48">
        <f>IFERROR(VLOOKUP(B245,'Факт продаж'!S:W,5,0),"нет продаж")</f>
        <v>3253.3767201382097</v>
      </c>
      <c r="P245" s="7">
        <f>IFERROR(VLOOKUP(B245,'Факт продаж'!S:U,3,0)/SUM('План Антонова'!$C$17:$C$19),0)</f>
        <v>4.0924549208920526E-5</v>
      </c>
      <c r="Q245" s="44">
        <f>IFERROR(VLOOKUP(B245,'Факт продаж'!S:X,6,0),"-")</f>
        <v>-0.73641869453228104</v>
      </c>
      <c r="R245" s="44">
        <f>IF(AND(J245=0,P245&gt;0),5,IF(P245/J245&gt;5,5,IF(P245/J245=0,0.0000001,P245/J245)))</f>
        <v>0.25955870815754223</v>
      </c>
      <c r="S245" s="16">
        <f>IFERROR(VLOOKUP(B245,'Факт продаж'!AB:AD,2,0),"нет продаж")</f>
        <v>10</v>
      </c>
      <c r="T245" s="16">
        <f>IFERROR(VLOOKUP(B245,'Факт продаж'!AB:AD,3,0),"нет продаж")</f>
        <v>6939.6</v>
      </c>
      <c r="U245" s="16">
        <f>IFERROR(VLOOKUP(B245,'Факт продаж'!AB:AF,5,0),"нет продаж")</f>
        <v>3298.1381524971125</v>
      </c>
      <c r="V245" s="7">
        <f>IFERROR(VLOOKUP(B245,'Факт продаж'!AB:AD,3,0)/SUM('План Антонова'!$C$20:$C$22),0)</f>
        <v>4.5098359233501765E-5</v>
      </c>
      <c r="W245" s="44">
        <f>IFERROR(VLOOKUP(B245,'Факт продаж'!AB:AG,6,0),"-")</f>
        <v>1.3758453511341751E-2</v>
      </c>
      <c r="X245" s="44">
        <f>IF(AND(P245=0,V245&gt;0),5,IF(V245/P245&gt;5,5,IF(V245/P245=0,0.0000001,V245/P245)))</f>
        <v>1.101987929134512</v>
      </c>
      <c r="Y245" s="44">
        <f>IFERROR(VLOOKUP(B245,'Факт продаж'!AB:AH,7,0),"-")</f>
        <v>1</v>
      </c>
      <c r="Z245" s="44">
        <f>IF(AND(F245=0,V245&gt;0),5,IF(V245/F245&gt;5,5,IF(V245/F245=0,0.0000001,V245/F245)))</f>
        <v>5</v>
      </c>
      <c r="AB245" s="10" t="str">
        <f>IFERROR(VLOOKUP(VALUE(IF(L245&lt;1,1,0)&amp;IF(J245&lt;'Факт продаж'!$M$24,0,1)),$AB$1:$AC$4,2,FALSE),"НЕТ ПРОДАЖ")</f>
        <v>Темная лошадка</v>
      </c>
      <c r="AC245" s="10" t="str">
        <f>IFERROR(VLOOKUP(VALUE(IF(R245&lt;1,1,0)&amp;IF(P245&lt;'Факт продаж'!$V$24,0,1)),$AB$1:$AC$4,2,FALSE),"НЕТ ПРОДАЖ")</f>
        <v>Собака</v>
      </c>
      <c r="AD245" s="10" t="str">
        <f>IFERROR(VLOOKUP(VALUE(IF(X245&lt;1,1,0)&amp;IF(V245&lt;'Факт продаж'!$AE$24,0,1)),$AB$1:$AC$4,2,FALSE),"НЕТ ПРОДАЖ")</f>
        <v>Темная лошадка</v>
      </c>
      <c r="AE245" s="18" t="str">
        <f>IFERROR(VLOOKUP(VALUE(IF(Z245&lt;1,1,0)&amp;IF(V245&lt;'Факт продаж'!$AE$24,0,1)),$AB$1:$AC$4,2,FALSE),"НЕТ ПРОДАЖ")</f>
        <v>Темная лошадка</v>
      </c>
      <c r="AF245" s="74" t="str">
        <f>VLOOKUP(B245,'ABC расчет'!B:G,6,0)</f>
        <v>C</v>
      </c>
      <c r="AG245" s="74" t="str">
        <f>VLOOKUP(B245,'ABC расчет'!K:P,6,0)</f>
        <v>B</v>
      </c>
      <c r="AH245" s="74" t="str">
        <f>VLOOKUP(B245,'ABC расчет'!T:Y,6,0)</f>
        <v>C</v>
      </c>
      <c r="AI245" s="74" t="str">
        <f>VLOOKUP(B245,'ABC расчет'!AC:AH,6,0)</f>
        <v>C</v>
      </c>
      <c r="AJ245" s="74"/>
      <c r="AK245" s="74"/>
      <c r="AL245" s="19"/>
    </row>
    <row r="246" spans="1:38" x14ac:dyDescent="0.3">
      <c r="A246" s="51" t="s">
        <v>252</v>
      </c>
      <c r="B246" s="21" t="s">
        <v>13</v>
      </c>
      <c r="C246" s="20">
        <f>IFERROR(VLOOKUP(B246,'Факт продаж'!A:B,2,0),"нет продаж")</f>
        <v>145</v>
      </c>
      <c r="D246" s="47">
        <f>IFERROR(VLOOKUP(B246,'Факт продаж'!A:C,3,0),"нет продаж")</f>
        <v>162397.23920000001</v>
      </c>
      <c r="E246" s="47">
        <f>IFERROR(VLOOKUP(B246,'Факт продаж'!A:E,5,0),"нет продаж")</f>
        <v>59791.501553301772</v>
      </c>
      <c r="F246" s="25">
        <f>IFERROR(VLOOKUP(B246,'Факт продаж'!A:C,3,0)/SUM('План Антонова'!$C$11:$C$13),0)</f>
        <v>1.2330994397223112E-3</v>
      </c>
      <c r="G246" s="5">
        <f>IFERROR(VLOOKUP(B246,'Факт продаж'!J:K,2,0),"нет продаж")</f>
        <v>6</v>
      </c>
      <c r="H246" s="48">
        <f>IFERROR(VLOOKUP(B246,'Факт продаж'!J:L,3,0),"нет продаж")</f>
        <v>9405</v>
      </c>
      <c r="I246" s="48">
        <f>IFERROR(VLOOKUP(B246,'Факт продаж'!J:N,5,0),"нет продаж")</f>
        <v>5402.7292626908056</v>
      </c>
      <c r="J246" s="7">
        <f>IFERROR(VLOOKUP(B246,'Факт продаж'!J:L,3,0)/SUM('План Антонова'!$C$14:$C$16),0)</f>
        <v>6.4940210470626142E-5</v>
      </c>
      <c r="K246" s="44">
        <f>IFERROR(VLOOKUP(B246,'Факт продаж'!J:O,6,0),"-")</f>
        <v>-0.90964051541882607</v>
      </c>
      <c r="L246" s="44">
        <f>IF(AND(F246=0,J246&gt;0),5,IF(J246/F246&gt;5,5,IF(J246/F246=0,0.0000001,J246/F246)))</f>
        <v>5.2664212129761738E-2</v>
      </c>
      <c r="M246" s="5" t="str">
        <f>IFERROR(VLOOKUP(B246,'Факт продаж'!S:T,2,0),"нет продаж")</f>
        <v>нет продаж</v>
      </c>
      <c r="N246" s="48" t="str">
        <f>IFERROR(VLOOKUP(B246,'Факт продаж'!S:U,3,0),"нет продаж")</f>
        <v>нет продаж</v>
      </c>
      <c r="O246" s="48" t="str">
        <f>IFERROR(VLOOKUP(B246,'Факт продаж'!S:W,5,0),"нет продаж")</f>
        <v>нет продаж</v>
      </c>
      <c r="P246" s="7">
        <f>IFERROR(VLOOKUP(B246,'Факт продаж'!S:U,3,0)/SUM('План Антонова'!$C$17:$C$19),0)</f>
        <v>0</v>
      </c>
      <c r="Q246" s="44" t="str">
        <f>IFERROR(VLOOKUP(B246,'Факт продаж'!S:X,6,0),"-")</f>
        <v>-</v>
      </c>
      <c r="R246" s="44">
        <f>IF(AND(J246=0,P246&gt;0),5,IF(P246/J246&gt;5,5,IF(P246/J246=0,0.0000001,P246/J246)))</f>
        <v>9.9999999999999995E-8</v>
      </c>
      <c r="S246" s="16">
        <f>IFERROR(VLOOKUP(B246,'Факт продаж'!AB:AD,2,0),"нет продаж")</f>
        <v>4</v>
      </c>
      <c r="T246" s="16">
        <f>IFERROR(VLOOKUP(B246,'Факт продаж'!AB:AD,3,0),"нет продаж")</f>
        <v>6642</v>
      </c>
      <c r="U246" s="16">
        <f>IFERROR(VLOOKUP(B246,'Факт продаж'!AB:AF,5,0),"нет продаж")</f>
        <v>3223.6360155367056</v>
      </c>
      <c r="V246" s="7">
        <f>IFERROR(VLOOKUP(B246,'Факт продаж'!AB:AD,3,0)/SUM('План Антонова'!$C$20:$C$22),0)</f>
        <v>4.3164346940590049E-5</v>
      </c>
      <c r="W246" s="44">
        <f>IFERROR(VLOOKUP(B246,'Факт продаж'!AB:AG,6,0),"-")</f>
        <v>1</v>
      </c>
      <c r="X246" s="44">
        <f>IF(AND(P246=0,V246&gt;0),5,IF(V246/P246&gt;5,5,IF(V246/P246=0,0.0000001,V246/P246)))</f>
        <v>5</v>
      </c>
      <c r="Y246" s="44">
        <f>IFERROR(VLOOKUP(B246,'Факт продаж'!AB:AH,7,0),"-")</f>
        <v>-0.94608538116971419</v>
      </c>
      <c r="Z246" s="44">
        <f>IF(AND(F246=0,V246&gt;0),5,IF(V246/F246&gt;5,5,IF(V246/F246=0,0.0000001,V246/F246)))</f>
        <v>3.5004757564653891E-2</v>
      </c>
      <c r="AB246" s="10" t="str">
        <f>IFERROR(VLOOKUP(VALUE(IF(L246&lt;1,1,0)&amp;IF(J246&lt;'Факт продаж'!$M$24,0,1)),$AB$1:$AC$4,2,FALSE),"НЕТ ПРОДАЖ")</f>
        <v>Собака</v>
      </c>
      <c r="AC246" s="10" t="str">
        <f>IFERROR(VLOOKUP(VALUE(IF(R246&lt;1,1,0)&amp;IF(P246&lt;'Факт продаж'!$V$24,0,1)),$AB$1:$AC$4,2,FALSE),"НЕТ ПРОДАЖ")</f>
        <v>Собака</v>
      </c>
      <c r="AD246" s="10" t="str">
        <f>IFERROR(VLOOKUP(VALUE(IF(X246&lt;1,1,0)&amp;IF(V246&lt;'Факт продаж'!$AE$24,0,1)),$AB$1:$AC$4,2,FALSE),"НЕТ ПРОДАЖ")</f>
        <v>Темная лошадка</v>
      </c>
      <c r="AE246" s="18" t="str">
        <f>IFERROR(VLOOKUP(VALUE(IF(Z246&lt;1,1,0)&amp;IF(V246&lt;'Факт продаж'!$AE$24,0,1)),$AB$1:$AC$4,2,FALSE),"НЕТ ПРОДАЖ")</f>
        <v>Собака</v>
      </c>
      <c r="AF246" s="74" t="str">
        <f>VLOOKUP(B246,'ABC расчет'!B:G,6,0)</f>
        <v>A</v>
      </c>
      <c r="AG246" s="74" t="str">
        <f>VLOOKUP(B246,'ABC расчет'!K:P,6,0)</f>
        <v>C</v>
      </c>
      <c r="AH246" s="74" t="str">
        <f>VLOOKUP(B246,'ABC расчет'!T:Y,6,0)</f>
        <v>C</v>
      </c>
      <c r="AI246" s="74" t="str">
        <f>VLOOKUP(B246,'ABC расчет'!AC:AH,6,0)</f>
        <v>C</v>
      </c>
      <c r="AJ246" s="74"/>
      <c r="AK246" s="74"/>
      <c r="AL246" s="19"/>
    </row>
    <row r="247" spans="1:38" x14ac:dyDescent="0.3">
      <c r="A247" s="51" t="s">
        <v>251</v>
      </c>
      <c r="B247" s="21" t="s">
        <v>71</v>
      </c>
      <c r="C247" s="20">
        <f>IFERROR(VLOOKUP(B247,'Факт продаж'!A:B,2,0),"нет продаж")</f>
        <v>9</v>
      </c>
      <c r="D247" s="47">
        <f>IFERROR(VLOOKUP(B247,'Факт продаж'!A:C,3,0),"нет продаж")</f>
        <v>40698.674599999998</v>
      </c>
      <c r="E247" s="47">
        <f>IFERROR(VLOOKUP(B247,'Факт продаж'!A:E,5,0),"нет продаж")</f>
        <v>15474.540325817656</v>
      </c>
      <c r="F247" s="25">
        <f>IFERROR(VLOOKUP(B247,'Факт продаж'!A:C,3,0)/SUM('План Антонова'!$C$11:$C$13),0)</f>
        <v>3.0902934738253024E-4</v>
      </c>
      <c r="G247" s="5">
        <f>IFERROR(VLOOKUP(B247,'Факт продаж'!J:K,2,0),"нет продаж")</f>
        <v>26</v>
      </c>
      <c r="H247" s="48">
        <f>IFERROR(VLOOKUP(B247,'Факт продаж'!J:L,3,0),"нет продаж")</f>
        <v>99632</v>
      </c>
      <c r="I247" s="48">
        <f>IFERROR(VLOOKUP(B247,'Факт продаж'!J:N,5,0),"нет продаж")</f>
        <v>22567.624987409439</v>
      </c>
      <c r="J247" s="7">
        <f>IFERROR(VLOOKUP(B247,'Факт продаж'!J:L,3,0)/SUM('План Антонова'!$C$14:$C$16),0)</f>
        <v>6.8794503451455856E-4</v>
      </c>
      <c r="K247" s="44">
        <f>IFERROR(VLOOKUP(B247,'Факт продаж'!J:O,6,0),"-")</f>
        <v>0.45837126740092637</v>
      </c>
      <c r="L247" s="44">
        <f>IF(AND(F247=0,J247&gt;0),5,IF(J247/F247&gt;5,5,IF(J247/F247=0,0.0000001,J247/F247)))</f>
        <v>2.2261479058265286</v>
      </c>
      <c r="M247" s="5" t="str">
        <f>IFERROR(VLOOKUP(B247,'Факт продаж'!S:T,2,0),"нет продаж")</f>
        <v>нет продаж</v>
      </c>
      <c r="N247" s="48" t="str">
        <f>IFERROR(VLOOKUP(B247,'Факт продаж'!S:U,3,0),"нет продаж")</f>
        <v>нет продаж</v>
      </c>
      <c r="O247" s="48" t="str">
        <f>IFERROR(VLOOKUP(B247,'Факт продаж'!S:W,5,0),"нет продаж")</f>
        <v>нет продаж</v>
      </c>
      <c r="P247" s="7">
        <f>IFERROR(VLOOKUP(B247,'Факт продаж'!S:U,3,0)/SUM('План Антонова'!$C$17:$C$19),0)</f>
        <v>0</v>
      </c>
      <c r="Q247" s="44" t="str">
        <f>IFERROR(VLOOKUP(B247,'Факт продаж'!S:X,6,0),"-")</f>
        <v>-</v>
      </c>
      <c r="R247" s="44">
        <f>IF(AND(J247=0,P247&gt;0),5,IF(P247/J247&gt;5,5,IF(P247/J247=0,0.0000001,P247/J247)))</f>
        <v>9.9999999999999995E-8</v>
      </c>
      <c r="S247" s="16">
        <f>IFERROR(VLOOKUP(B247,'Факт продаж'!AB:AD,2,0),"нет продаж")</f>
        <v>1</v>
      </c>
      <c r="T247" s="16">
        <f>IFERROR(VLOOKUP(B247,'Факт продаж'!AB:AD,3,0),"нет продаж")</f>
        <v>6484</v>
      </c>
      <c r="U247" s="16">
        <f>IFERROR(VLOOKUP(B247,'Факт продаж'!AB:AF,5,0),"нет продаж")</f>
        <v>3157.0387808009341</v>
      </c>
      <c r="V247" s="7">
        <f>IFERROR(VLOOKUP(B247,'Факт продаж'!AB:AD,3,0)/SUM('План Антонова'!$C$20:$C$22),0)</f>
        <v>4.2137552779702783E-5</v>
      </c>
      <c r="W247" s="44">
        <f>IFERROR(VLOOKUP(B247,'Факт продаж'!AB:AG,6,0),"-")</f>
        <v>1</v>
      </c>
      <c r="X247" s="44">
        <f>IF(AND(P247=0,V247&gt;0),5,IF(V247/P247&gt;5,5,IF(V247/P247=0,0.0000001,V247/P247)))</f>
        <v>5</v>
      </c>
      <c r="Y247" s="44">
        <f>IFERROR(VLOOKUP(B247,'Факт продаж'!AB:AH,7,0),"-")</f>
        <v>-0.79598497180987371</v>
      </c>
      <c r="Z247" s="44">
        <f>IF(AND(F247=0,V247&gt;0),5,IF(V247/F247&gt;5,5,IF(V247/F247=0,0.0000001,V247/F247)))</f>
        <v>0.13635453440460155</v>
      </c>
      <c r="AB247" s="10" t="str">
        <f>IFERROR(VLOOKUP(VALUE(IF(L247&lt;1,1,0)&amp;IF(J247&lt;'Факт продаж'!$M$24,0,1)),$AB$1:$AC$4,2,FALSE),"НЕТ ПРОДАЖ")</f>
        <v>Темная лошадка</v>
      </c>
      <c r="AC247" s="10" t="str">
        <f>IFERROR(VLOOKUP(VALUE(IF(R247&lt;1,1,0)&amp;IF(P247&lt;'Факт продаж'!$V$24,0,1)),$AB$1:$AC$4,2,FALSE),"НЕТ ПРОДАЖ")</f>
        <v>Собака</v>
      </c>
      <c r="AD247" s="10" t="str">
        <f>IFERROR(VLOOKUP(VALUE(IF(X247&lt;1,1,0)&amp;IF(V247&lt;'Факт продаж'!$AE$24,0,1)),$AB$1:$AC$4,2,FALSE),"НЕТ ПРОДАЖ")</f>
        <v>Темная лошадка</v>
      </c>
      <c r="AE247" s="18" t="str">
        <f>IFERROR(VLOOKUP(VALUE(IF(Z247&lt;1,1,0)&amp;IF(V247&lt;'Факт продаж'!$AE$24,0,1)),$AB$1:$AC$4,2,FALSE),"НЕТ ПРОДАЖ")</f>
        <v>Собака</v>
      </c>
      <c r="AF247" s="74" t="str">
        <f>VLOOKUP(B247,'ABC расчет'!B:G,6,0)</f>
        <v>C</v>
      </c>
      <c r="AG247" s="74" t="str">
        <f>VLOOKUP(B247,'ABC расчет'!K:P,6,0)</f>
        <v>C</v>
      </c>
      <c r="AH247" s="74" t="str">
        <f>VLOOKUP(B247,'ABC расчет'!T:Y,6,0)</f>
        <v>C</v>
      </c>
      <c r="AI247" s="74" t="str">
        <f>VLOOKUP(B247,'ABC расчет'!AC:AH,6,0)</f>
        <v>C</v>
      </c>
      <c r="AJ247" s="74"/>
      <c r="AK247" s="74"/>
      <c r="AL247" s="19"/>
    </row>
    <row r="248" spans="1:38" x14ac:dyDescent="0.3">
      <c r="A248" s="51" t="s">
        <v>252</v>
      </c>
      <c r="B248" s="21" t="s">
        <v>276</v>
      </c>
      <c r="C248" s="20" t="str">
        <f>IFERROR(VLOOKUP(B248,'Факт продаж'!A:B,2,0),"нет продаж")</f>
        <v>нет продаж</v>
      </c>
      <c r="D248" s="47" t="str">
        <f>IFERROR(VLOOKUP(B248,'Факт продаж'!A:C,3,0),"нет продаж")</f>
        <v>нет продаж</v>
      </c>
      <c r="E248" s="47" t="str">
        <f>IFERROR(VLOOKUP(B248,'Факт продаж'!A:E,5,0),"нет продаж")</f>
        <v>нет продаж</v>
      </c>
      <c r="F248" s="25">
        <f>IFERROR(VLOOKUP(B248,'Факт продаж'!A:C,3,0)/SUM('План Антонова'!$C$11:$C$13),0)</f>
        <v>0</v>
      </c>
      <c r="G248" s="5">
        <f>IFERROR(VLOOKUP(B248,'Факт продаж'!J:K,2,0),"нет продаж")</f>
        <v>6</v>
      </c>
      <c r="H248" s="48">
        <f>IFERROR(VLOOKUP(B248,'Факт продаж'!J:L,3,0),"нет продаж")</f>
        <v>12315</v>
      </c>
      <c r="I248" s="48">
        <f>IFERROR(VLOOKUP(B248,'Факт продаж'!J:N,5,0),"нет продаж")</f>
        <v>5521.6376095278938</v>
      </c>
      <c r="J248" s="7">
        <f>IFERROR(VLOOKUP(B248,'Факт продаж'!J:L,3,0)/SUM('План Антонова'!$C$14:$C$16),0)</f>
        <v>8.5033353742239328E-5</v>
      </c>
      <c r="K248" s="44">
        <f>IFERROR(VLOOKUP(B248,'Факт продаж'!J:O,6,0),"-")</f>
        <v>1</v>
      </c>
      <c r="L248" s="44">
        <f>IF(AND(F248=0,J248&gt;0),5,IF(J248/F248&gt;5,5,IF(J248/F248=0,0.0000001,J248/F248)))</f>
        <v>5</v>
      </c>
      <c r="M248" s="5">
        <f>IFERROR(VLOOKUP(B248,'Факт продаж'!S:T,2,0),"нет продаж")</f>
        <v>12</v>
      </c>
      <c r="N248" s="48">
        <f>IFERROR(VLOOKUP(B248,'Факт продаж'!S:U,3,0),"нет продаж")</f>
        <v>26730</v>
      </c>
      <c r="O248" s="48">
        <f>IFERROR(VLOOKUP(B248,'Факт продаж'!S:W,5,0),"нет продаж")</f>
        <v>15663.708293528845</v>
      </c>
      <c r="P248" s="7">
        <f>IFERROR(VLOOKUP(B248,'Факт продаж'!S:U,3,0)/SUM('План Антонова'!$C$17:$C$19),0)</f>
        <v>1.6281377632232626E-4</v>
      </c>
      <c r="Q248" s="44">
        <f>IFERROR(VLOOKUP(B248,'Факт продаж'!S:X,6,0),"-")</f>
        <v>1.8367867290856328</v>
      </c>
      <c r="R248" s="44">
        <f>IF(AND(J248=0,P248&gt;0),5,IF(P248/J248&gt;5,5,IF(P248/J248=0,0.0000001,P248/J248)))</f>
        <v>1.9147048676436058</v>
      </c>
      <c r="S248" s="16">
        <f>IFERROR(VLOOKUP(B248,'Факт продаж'!AB:AD,2,0),"нет продаж")</f>
        <v>8</v>
      </c>
      <c r="T248" s="16">
        <f>IFERROR(VLOOKUP(B248,'Факт продаж'!AB:AD,3,0),"нет продаж")</f>
        <v>10592.4</v>
      </c>
      <c r="U248" s="16">
        <f>IFERROR(VLOOKUP(B248,'Факт продаж'!AB:AF,5,0),"нет продаж")</f>
        <v>2920.8730572573782</v>
      </c>
      <c r="V248" s="7">
        <f>IFERROR(VLOOKUP(B248,'Факт продаж'!AB:AD,3,0)/SUM('План Антонова'!$C$20:$C$22),0)</f>
        <v>6.8836800441660046E-5</v>
      </c>
      <c r="W248" s="44">
        <f>IFERROR(VLOOKUP(B248,'Факт продаж'!AB:AG,6,0),"-")</f>
        <v>-0.81352608191356068</v>
      </c>
      <c r="X248" s="44">
        <f>IF(AND(P248=0,V248&gt;0),5,IF(V248/P248&gt;5,5,IF(V248/P248=0,0.0000001,V248/P248)))</f>
        <v>0.42279469217262189</v>
      </c>
      <c r="Y248" s="44">
        <f>IFERROR(VLOOKUP(B248,'Факт продаж'!AB:AH,7,0),"-")</f>
        <v>1</v>
      </c>
      <c r="Z248" s="44">
        <f>IF(AND(F248=0,V248&gt;0),5,IF(V248/F248&gt;5,5,IF(V248/F248=0,0.0000001,V248/F248)))</f>
        <v>5</v>
      </c>
      <c r="AB248" s="10" t="str">
        <f>IFERROR(VLOOKUP(VALUE(IF(L248&lt;1,1,0)&amp;IF(J248&lt;'Факт продаж'!$M$24,0,1)),$AB$1:$AC$4,2,FALSE),"НЕТ ПРОДАЖ")</f>
        <v>Темная лошадка</v>
      </c>
      <c r="AC248" s="10" t="str">
        <f>IFERROR(VLOOKUP(VALUE(IF(R248&lt;1,1,0)&amp;IF(P248&lt;'Факт продаж'!$V$24,0,1)),$AB$1:$AC$4,2,FALSE),"НЕТ ПРОДАЖ")</f>
        <v>Темная лошадка</v>
      </c>
      <c r="AD248" s="10" t="str">
        <f>IFERROR(VLOOKUP(VALUE(IF(X248&lt;1,1,0)&amp;IF(V248&lt;'Факт продаж'!$AE$24,0,1)),$AB$1:$AC$4,2,FALSE),"НЕТ ПРОДАЖ")</f>
        <v>Собака</v>
      </c>
      <c r="AE248" s="18" t="str">
        <f>IFERROR(VLOOKUP(VALUE(IF(Z248&lt;1,1,0)&amp;IF(V248&lt;'Факт продаж'!$AE$24,0,1)),$AB$1:$AC$4,2,FALSE),"НЕТ ПРОДАЖ")</f>
        <v>Темная лошадка</v>
      </c>
      <c r="AF248" s="74" t="str">
        <f>VLOOKUP(B248,'ABC расчет'!B:G,6,0)</f>
        <v>C</v>
      </c>
      <c r="AG248" s="74" t="str">
        <f>VLOOKUP(B248,'ABC расчет'!K:P,6,0)</f>
        <v>C</v>
      </c>
      <c r="AH248" s="74" t="str">
        <f>VLOOKUP(B248,'ABC расчет'!T:Y,6,0)</f>
        <v>C</v>
      </c>
      <c r="AI248" s="74" t="str">
        <f>VLOOKUP(B248,'ABC расчет'!AC:AH,6,0)</f>
        <v>C</v>
      </c>
      <c r="AJ248" s="74"/>
      <c r="AK248" s="74"/>
      <c r="AL248" s="19"/>
    </row>
    <row r="249" spans="1:38" x14ac:dyDescent="0.3">
      <c r="A249" s="51" t="s">
        <v>256</v>
      </c>
      <c r="B249" s="21" t="s">
        <v>141</v>
      </c>
      <c r="C249" s="20" t="str">
        <f>IFERROR(VLOOKUP(B249,'Факт продаж'!A:B,2,0),"нет продаж")</f>
        <v>нет продаж</v>
      </c>
      <c r="D249" s="47" t="str">
        <f>IFERROR(VLOOKUP(B249,'Факт продаж'!A:C,3,0),"нет продаж")</f>
        <v>нет продаж</v>
      </c>
      <c r="E249" s="47" t="str">
        <f>IFERROR(VLOOKUP(B249,'Факт продаж'!A:E,5,0),"нет продаж")</f>
        <v>нет продаж</v>
      </c>
      <c r="F249" s="25">
        <f>IFERROR(VLOOKUP(B249,'Факт продаж'!A:C,3,0)/SUM('План Антонова'!$C$11:$C$13),0)</f>
        <v>0</v>
      </c>
      <c r="G249" s="5">
        <f>IFERROR(VLOOKUP(B249,'Факт продаж'!J:K,2,0),"нет продаж")</f>
        <v>9</v>
      </c>
      <c r="H249" s="48">
        <f>IFERROR(VLOOKUP(B249,'Факт продаж'!J:L,3,0),"нет продаж")</f>
        <v>32458.6</v>
      </c>
      <c r="I249" s="48">
        <f>IFERROR(VLOOKUP(B249,'Факт продаж'!J:N,5,0),"нет продаж")</f>
        <v>15492.651437918845</v>
      </c>
      <c r="J249" s="7">
        <f>IFERROR(VLOOKUP(B249,'Факт продаж'!J:L,3,0)/SUM('План Антонова'!$C$14:$C$16),0)</f>
        <v>2.2412209628727968E-4</v>
      </c>
      <c r="K249" s="44">
        <f>IFERROR(VLOOKUP(B249,'Факт продаж'!J:O,6,0),"-")</f>
        <v>1</v>
      </c>
      <c r="L249" s="44">
        <f>IF(AND(F249=0,J249&gt;0),5,IF(J249/F249&gt;5,5,IF(J249/F249=0,0.0000001,J249/F249)))</f>
        <v>5</v>
      </c>
      <c r="M249" s="5">
        <f>IFERROR(VLOOKUP(B249,'Факт продаж'!S:T,2,0),"нет продаж")</f>
        <v>17</v>
      </c>
      <c r="N249" s="48">
        <f>IFERROR(VLOOKUP(B249,'Факт продаж'!S:U,3,0),"нет продаж")</f>
        <v>51958.549999999996</v>
      </c>
      <c r="O249" s="48">
        <f>IFERROR(VLOOKUP(B249,'Факт продаж'!S:W,5,0),"нет продаж")</f>
        <v>16606.691306023218</v>
      </c>
      <c r="P249" s="7">
        <f>IFERROR(VLOOKUP(B249,'Факт продаж'!S:U,3,0)/SUM('План Антонова'!$C$17:$C$19),0)</f>
        <v>3.1648214507042289E-4</v>
      </c>
      <c r="Q249" s="44">
        <f>IFERROR(VLOOKUP(B249,'Факт продаж'!S:X,6,0),"-")</f>
        <v>7.1907631341767475E-2</v>
      </c>
      <c r="R249" s="44">
        <f>IF(AND(J249=0,P249&gt;0),5,IF(P249/J249&gt;5,5,IF(P249/J249=0,0.0000001,P249/J249)))</f>
        <v>1.4120970235114887</v>
      </c>
      <c r="S249" s="16">
        <f>IFERROR(VLOOKUP(B249,'Факт продаж'!AB:AD,2,0),"нет продаж")</f>
        <v>2</v>
      </c>
      <c r="T249" s="16">
        <f>IFERROR(VLOOKUP(B249,'Факт продаж'!AB:AD,3,0),"нет продаж")</f>
        <v>6906.35</v>
      </c>
      <c r="U249" s="16">
        <f>IFERROR(VLOOKUP(B249,'Факт продаж'!AB:AF,5,0),"нет продаж")</f>
        <v>2769.7492375797956</v>
      </c>
      <c r="V249" s="7">
        <f>IFERROR(VLOOKUP(B249,'Факт продаж'!AB:AD,3,0)/SUM('План Антонова'!$C$20:$C$22),0)</f>
        <v>4.4882277550909984E-5</v>
      </c>
      <c r="W249" s="44">
        <f>IFERROR(VLOOKUP(B249,'Факт продаж'!AB:AG,6,0),"-")</f>
        <v>-0.83321486583090687</v>
      </c>
      <c r="X249" s="44">
        <f>IF(AND(P249=0,V249&gt;0),5,IF(V249/P249&gt;5,5,IF(V249/P249=0,0.0000001,V249/P249)))</f>
        <v>0.14181614429124551</v>
      </c>
      <c r="Y249" s="44">
        <f>IFERROR(VLOOKUP(B249,'Факт продаж'!AB:AH,7,0),"-")</f>
        <v>1</v>
      </c>
      <c r="Z249" s="44">
        <f>IF(AND(F249=0,V249&gt;0),5,IF(V249/F249&gt;5,5,IF(V249/F249=0,0.0000001,V249/F249)))</f>
        <v>5</v>
      </c>
      <c r="AB249" s="10" t="str">
        <f>IFERROR(VLOOKUP(VALUE(IF(L249&lt;1,1,0)&amp;IF(J249&lt;'Факт продаж'!$M$24,0,1)),$AB$1:$AC$4,2,FALSE),"НЕТ ПРОДАЖ")</f>
        <v>Темная лошадка</v>
      </c>
      <c r="AC249" s="10" t="str">
        <f>IFERROR(VLOOKUP(VALUE(IF(R249&lt;1,1,0)&amp;IF(P249&lt;'Факт продаж'!$V$24,0,1)),$AB$1:$AC$4,2,FALSE),"НЕТ ПРОДАЖ")</f>
        <v>Темная лошадка</v>
      </c>
      <c r="AD249" s="10" t="str">
        <f>IFERROR(VLOOKUP(VALUE(IF(X249&lt;1,1,0)&amp;IF(V249&lt;'Факт продаж'!$AE$24,0,1)),$AB$1:$AC$4,2,FALSE),"НЕТ ПРОДАЖ")</f>
        <v>Собака</v>
      </c>
      <c r="AE249" s="18" t="str">
        <f>IFERROR(VLOOKUP(VALUE(IF(Z249&lt;1,1,0)&amp;IF(V249&lt;'Факт продаж'!$AE$24,0,1)),$AB$1:$AC$4,2,FALSE),"НЕТ ПРОДАЖ")</f>
        <v>Темная лошадка</v>
      </c>
      <c r="AF249" s="74" t="str">
        <f>VLOOKUP(B249,'ABC расчет'!B:G,6,0)</f>
        <v>C</v>
      </c>
      <c r="AG249" s="74" t="str">
        <f>VLOOKUP(B249,'ABC расчет'!K:P,6,0)</f>
        <v>C</v>
      </c>
      <c r="AH249" s="74" t="str">
        <f>VLOOKUP(B249,'ABC расчет'!T:Y,6,0)</f>
        <v>C</v>
      </c>
      <c r="AI249" s="74" t="str">
        <f>VLOOKUP(B249,'ABC расчет'!AC:AH,6,0)</f>
        <v>C</v>
      </c>
      <c r="AJ249" s="74"/>
      <c r="AK249" s="74"/>
      <c r="AL249" s="19"/>
    </row>
    <row r="250" spans="1:38" x14ac:dyDescent="0.3">
      <c r="A250" s="51" t="s">
        <v>258</v>
      </c>
      <c r="B250" s="21" t="s">
        <v>21</v>
      </c>
      <c r="C250" s="20">
        <f>IFERROR(VLOOKUP(B250,'Факт продаж'!A:B,2,0),"нет продаж")</f>
        <v>2</v>
      </c>
      <c r="D250" s="47">
        <f>IFERROR(VLOOKUP(B250,'Факт продаж'!A:C,3,0),"нет продаж")</f>
        <v>5419.0227000000004</v>
      </c>
      <c r="E250" s="47">
        <f>IFERROR(VLOOKUP(B250,'Факт продаж'!A:E,5,0),"нет продаж")</f>
        <v>2732.3261381089583</v>
      </c>
      <c r="F250" s="25">
        <f>IFERROR(VLOOKUP(B250,'Факт продаж'!A:C,3,0)/SUM('План Антонова'!$C$11:$C$13),0)</f>
        <v>4.1147213389404011E-5</v>
      </c>
      <c r="G250" s="5">
        <f>IFERROR(VLOOKUP(B250,'Факт продаж'!J:K,2,0),"нет продаж")</f>
        <v>20</v>
      </c>
      <c r="H250" s="48">
        <f>IFERROR(VLOOKUP(B250,'Факт продаж'!J:L,3,0),"нет продаж")</f>
        <v>50566</v>
      </c>
      <c r="I250" s="48">
        <f>IFERROR(VLOOKUP(B250,'Факт продаж'!J:N,5,0),"нет продаж")</f>
        <v>20818.526720880691</v>
      </c>
      <c r="J250" s="7">
        <f>IFERROR(VLOOKUP(B250,'Факт продаж'!J:L,3,0)/SUM('План Антонова'!$C$14:$C$16),0)</f>
        <v>3.4915116243037548E-4</v>
      </c>
      <c r="K250" s="44">
        <f>IFERROR(VLOOKUP(B250,'Факт продаж'!J:O,6,0),"-")</f>
        <v>6.6193417873933544</v>
      </c>
      <c r="L250" s="44">
        <f>IF(AND(F250=0,J250&gt;0),5,IF(J250/F250&gt;5,5,IF(J250/F250=0,0.0000001,J250/F250)))</f>
        <v>5</v>
      </c>
      <c r="M250" s="5" t="str">
        <f>IFERROR(VLOOKUP(B250,'Факт продаж'!S:T,2,0),"нет продаж")</f>
        <v>нет продаж</v>
      </c>
      <c r="N250" s="48" t="str">
        <f>IFERROR(VLOOKUP(B250,'Факт продаж'!S:U,3,0),"нет продаж")</f>
        <v>нет продаж</v>
      </c>
      <c r="O250" s="48" t="str">
        <f>IFERROR(VLOOKUP(B250,'Факт продаж'!S:W,5,0),"нет продаж")</f>
        <v>нет продаж</v>
      </c>
      <c r="P250" s="7">
        <f>IFERROR(VLOOKUP(B250,'Факт продаж'!S:U,3,0)/SUM('План Антонова'!$C$17:$C$19),0)</f>
        <v>0</v>
      </c>
      <c r="Q250" s="44" t="str">
        <f>IFERROR(VLOOKUP(B250,'Факт продаж'!S:X,6,0),"-")</f>
        <v>-</v>
      </c>
      <c r="R250" s="44">
        <f>IF(AND(J250=0,P250&gt;0),5,IF(P250/J250&gt;5,5,IF(P250/J250=0,0.0000001,P250/J250)))</f>
        <v>9.9999999999999995E-8</v>
      </c>
      <c r="S250" s="16">
        <f>IFERROR(VLOOKUP(B250,'Факт продаж'!AB:AD,2,0),"нет продаж")</f>
        <v>2</v>
      </c>
      <c r="T250" s="16">
        <f>IFERROR(VLOOKUP(B250,'Факт продаж'!AB:AD,3,0),"нет продаж")</f>
        <v>5372.8</v>
      </c>
      <c r="U250" s="16">
        <f>IFERROR(VLOOKUP(B250,'Факт продаж'!AB:AF,5,0),"нет продаж")</f>
        <v>2425.060164348557</v>
      </c>
      <c r="V250" s="7">
        <f>IFERROR(VLOOKUP(B250,'Факт продаж'!AB:AD,3,0)/SUM('План Антонова'!$C$20:$C$22),0)</f>
        <v>3.4916200427943728E-5</v>
      </c>
      <c r="W250" s="44">
        <f>IFERROR(VLOOKUP(B250,'Факт продаж'!AB:AG,6,0),"-")</f>
        <v>1</v>
      </c>
      <c r="X250" s="44">
        <f>IF(AND(P250=0,V250&gt;0),5,IF(V250/P250&gt;5,5,IF(V250/P250=0,0.0000001,V250/P250)))</f>
        <v>5</v>
      </c>
      <c r="Y250" s="44">
        <f>IFERROR(VLOOKUP(B250,'Факт продаж'!AB:AH,7,0),"-")</f>
        <v>-0.11245581904547453</v>
      </c>
      <c r="Z250" s="44">
        <f>IF(AND(F250=0,V250&gt;0),5,IF(V250/F250&gt;5,5,IF(V250/F250=0,0.0000001,V250/F250)))</f>
        <v>0.84856780208924532</v>
      </c>
      <c r="AB250" s="10" t="str">
        <f>IFERROR(VLOOKUP(VALUE(IF(L250&lt;1,1,0)&amp;IF(J250&lt;'Факт продаж'!$M$24,0,1)),$AB$1:$AC$4,2,FALSE),"НЕТ ПРОДАЖ")</f>
        <v>Темная лошадка</v>
      </c>
      <c r="AC250" s="10" t="str">
        <f>IFERROR(VLOOKUP(VALUE(IF(R250&lt;1,1,0)&amp;IF(P250&lt;'Факт продаж'!$V$24,0,1)),$AB$1:$AC$4,2,FALSE),"НЕТ ПРОДАЖ")</f>
        <v>Собака</v>
      </c>
      <c r="AD250" s="10" t="str">
        <f>IFERROR(VLOOKUP(VALUE(IF(X250&lt;1,1,0)&amp;IF(V250&lt;'Факт продаж'!$AE$24,0,1)),$AB$1:$AC$4,2,FALSE),"НЕТ ПРОДАЖ")</f>
        <v>Темная лошадка</v>
      </c>
      <c r="AE250" s="18" t="str">
        <f>IFERROR(VLOOKUP(VALUE(IF(Z250&lt;1,1,0)&amp;IF(V250&lt;'Факт продаж'!$AE$24,0,1)),$AB$1:$AC$4,2,FALSE),"НЕТ ПРОДАЖ")</f>
        <v>Собака</v>
      </c>
      <c r="AF250" s="74" t="str">
        <f>VLOOKUP(B250,'ABC расчет'!B:G,6,0)</f>
        <v>C</v>
      </c>
      <c r="AG250" s="74" t="str">
        <f>VLOOKUP(B250,'ABC расчет'!K:P,6,0)</f>
        <v>B</v>
      </c>
      <c r="AH250" s="74" t="str">
        <f>VLOOKUP(B250,'ABC расчет'!T:Y,6,0)</f>
        <v>C</v>
      </c>
      <c r="AI250" s="74" t="str">
        <f>VLOOKUP(B250,'ABC расчет'!AC:AH,6,0)</f>
        <v>C</v>
      </c>
      <c r="AJ250" s="74"/>
      <c r="AK250" s="74"/>
      <c r="AL250" s="19"/>
    </row>
    <row r="251" spans="1:38" x14ac:dyDescent="0.3">
      <c r="A251" s="51" t="s">
        <v>247</v>
      </c>
      <c r="B251" s="21" t="s">
        <v>111</v>
      </c>
      <c r="C251" s="20">
        <f>IFERROR(VLOOKUP(B251,'Факт продаж'!A:B,2,0),"нет продаж")</f>
        <v>10</v>
      </c>
      <c r="D251" s="47">
        <f>IFERROR(VLOOKUP(B251,'Факт продаж'!A:C,3,0),"нет продаж")</f>
        <v>17545.04</v>
      </c>
      <c r="E251" s="47">
        <f>IFERROR(VLOOKUP(B251,'Факт продаж'!A:E,5,0),"нет продаж")</f>
        <v>8607.1136449826881</v>
      </c>
      <c r="F251" s="25">
        <f>IFERROR(VLOOKUP(B251,'Факт продаж'!A:C,3,0)/SUM('План Антонова'!$C$11:$C$13),0)</f>
        <v>1.3322134723769085E-4</v>
      </c>
      <c r="G251" s="5">
        <f>IFERROR(VLOOKUP(B251,'Факт продаж'!J:K,2,0),"нет продаж")</f>
        <v>8</v>
      </c>
      <c r="H251" s="48">
        <f>IFERROR(VLOOKUP(B251,'Факт продаж'!J:L,3,0),"нет продаж")</f>
        <v>22385.8</v>
      </c>
      <c r="I251" s="48">
        <f>IFERROR(VLOOKUP(B251,'Факт продаж'!J:N,5,0),"нет продаж")</f>
        <v>14382.307976665841</v>
      </c>
      <c r="J251" s="7">
        <f>IFERROR(VLOOKUP(B251,'Факт продаж'!J:L,3,0)/SUM('План Антонова'!$C$14:$C$16),0)</f>
        <v>1.5457082015452872E-4</v>
      </c>
      <c r="K251" s="44">
        <f>IFERROR(VLOOKUP(B251,'Факт продаж'!J:O,6,0),"-")</f>
        <v>0.67097921206717936</v>
      </c>
      <c r="L251" s="44">
        <f>IF(AND(F251=0,J251&gt;0),5,IF(J251/F251&gt;5,5,IF(J251/F251=0,0.0000001,J251/F251)))</f>
        <v>1.1602556449061168</v>
      </c>
      <c r="M251" s="5">
        <f>IFERROR(VLOOKUP(B251,'Факт продаж'!S:T,2,0),"нет продаж")</f>
        <v>2</v>
      </c>
      <c r="N251" s="48">
        <f>IFERROR(VLOOKUP(B251,'Факт продаж'!S:U,3,0),"нет продаж")</f>
        <v>7215.4</v>
      </c>
      <c r="O251" s="48">
        <f>IFERROR(VLOOKUP(B251,'Факт продаж'!S:W,5,0),"нет продаж")</f>
        <v>4198.290385982642</v>
      </c>
      <c r="P251" s="7">
        <f>IFERROR(VLOOKUP(B251,'Факт продаж'!S:U,3,0)/SUM('План Антонова'!$C$17:$C$19),0)</f>
        <v>4.3949364821403395E-5</v>
      </c>
      <c r="Q251" s="44">
        <f>IFERROR(VLOOKUP(B251,'Факт продаж'!S:X,6,0),"-")</f>
        <v>-0.70809341638393253</v>
      </c>
      <c r="R251" s="44">
        <f>IF(AND(J251=0,P251&gt;0),5,IF(P251/J251&gt;5,5,IF(P251/J251=0,0.0000001,P251/J251)))</f>
        <v>0.28433157550348764</v>
      </c>
      <c r="S251" s="16">
        <f>IFERROR(VLOOKUP(B251,'Факт продаж'!AB:AD,2,0),"нет продаж")</f>
        <v>1</v>
      </c>
      <c r="T251" s="16">
        <f>IFERROR(VLOOKUP(B251,'Факт продаж'!AB:AD,3,0),"нет продаж")</f>
        <v>3737</v>
      </c>
      <c r="U251" s="16">
        <f>IFERROR(VLOOKUP(B251,'Факт продаж'!AB:AF,5,0),"нет продаж")</f>
        <v>2232.7765286120039</v>
      </c>
      <c r="V251" s="7">
        <f>IFERROR(VLOOKUP(B251,'Факт продаж'!AB:AD,3,0)/SUM('План Антонова'!$C$20:$C$22),0)</f>
        <v>2.4285631514150108E-5</v>
      </c>
      <c r="W251" s="44">
        <f>IFERROR(VLOOKUP(B251,'Факт продаж'!AB:AG,6,0),"-")</f>
        <v>-0.46817005892044661</v>
      </c>
      <c r="X251" s="44">
        <f>IF(AND(P251=0,V251&gt;0),5,IF(V251/P251&gt;5,5,IF(V251/P251=0,0.0000001,V251/P251)))</f>
        <v>0.55258208196726832</v>
      </c>
      <c r="Y251" s="44">
        <f>IFERROR(VLOOKUP(B251,'Факт продаж'!AB:AH,7,0),"-")</f>
        <v>-0.74058939840842608</v>
      </c>
      <c r="Z251" s="44">
        <f>IF(AND(F251=0,V251&gt;0),5,IF(V251/F251&gt;5,5,IF(V251/F251=0,0.0000001,V251/F251)))</f>
        <v>0.18229534543604467</v>
      </c>
      <c r="AB251" s="10" t="str">
        <f>IFERROR(VLOOKUP(VALUE(IF(L251&lt;1,1,0)&amp;IF(J251&lt;'Факт продаж'!$M$24,0,1)),$AB$1:$AC$4,2,FALSE),"НЕТ ПРОДАЖ")</f>
        <v>Темная лошадка</v>
      </c>
      <c r="AC251" s="10" t="str">
        <f>IFERROR(VLOOKUP(VALUE(IF(R251&lt;1,1,0)&amp;IF(P251&lt;'Факт продаж'!$V$24,0,1)),$AB$1:$AC$4,2,FALSE),"НЕТ ПРОДАЖ")</f>
        <v>Собака</v>
      </c>
      <c r="AD251" s="10" t="str">
        <f>IFERROR(VLOOKUP(VALUE(IF(X251&lt;1,1,0)&amp;IF(V251&lt;'Факт продаж'!$AE$24,0,1)),$AB$1:$AC$4,2,FALSE),"НЕТ ПРОДАЖ")</f>
        <v>Собака</v>
      </c>
      <c r="AE251" s="18" t="str">
        <f>IFERROR(VLOOKUP(VALUE(IF(Z251&lt;1,1,0)&amp;IF(V251&lt;'Факт продаж'!$AE$24,0,1)),$AB$1:$AC$4,2,FALSE),"НЕТ ПРОДАЖ")</f>
        <v>Собака</v>
      </c>
      <c r="AF251" s="74" t="str">
        <f>VLOOKUP(B251,'ABC расчет'!B:G,6,0)</f>
        <v>C</v>
      </c>
      <c r="AG251" s="74" t="str">
        <f>VLOOKUP(B251,'ABC расчет'!K:P,6,0)</f>
        <v>C</v>
      </c>
      <c r="AH251" s="74" t="str">
        <f>VLOOKUP(B251,'ABC расчет'!T:Y,6,0)</f>
        <v>C</v>
      </c>
      <c r="AI251" s="74" t="str">
        <f>VLOOKUP(B251,'ABC расчет'!AC:AH,6,0)</f>
        <v>C</v>
      </c>
      <c r="AJ251" s="74"/>
      <c r="AK251" s="74"/>
      <c r="AL251" s="19"/>
    </row>
    <row r="252" spans="1:38" x14ac:dyDescent="0.3">
      <c r="A252" s="51" t="s">
        <v>260</v>
      </c>
      <c r="B252" s="20" t="s">
        <v>293</v>
      </c>
      <c r="C252" s="20" t="str">
        <f>IFERROR(VLOOKUP(B252,'Факт продаж'!A:B,2,0),"нет продаж")</f>
        <v>нет продаж</v>
      </c>
      <c r="D252" s="47" t="str">
        <f>IFERROR(VLOOKUP(B252,'Факт продаж'!A:C,3,0),"нет продаж")</f>
        <v>нет продаж</v>
      </c>
      <c r="E252" s="47" t="str">
        <f>IFERROR(VLOOKUP(B252,'Факт продаж'!A:E,5,0),"нет продаж")</f>
        <v>нет продаж</v>
      </c>
      <c r="F252" s="25">
        <f>IFERROR(VLOOKUP(B252,'Факт продаж'!A:C,3,0)/SUM('План Антонова'!$C$11:$C$13),0)</f>
        <v>0</v>
      </c>
      <c r="G252" s="5">
        <f>IFERROR(VLOOKUP(B252,'Факт продаж'!J:K,2,0),"нет продаж")</f>
        <v>80</v>
      </c>
      <c r="H252" s="48">
        <f>IFERROR(VLOOKUP(B252,'Факт продаж'!J:L,3,0),"нет продаж")</f>
        <v>67680</v>
      </c>
      <c r="I252" s="48">
        <f>IFERROR(VLOOKUP(B252,'Факт продаж'!J:N,5,0),"нет продаж")</f>
        <v>25569.458117986971</v>
      </c>
      <c r="J252" s="7">
        <f>IFERROR(VLOOKUP(B252,'Факт продаж'!J:L,3,0)/SUM('План Антонова'!$C$14:$C$16),0)</f>
        <v>4.6732094042019958E-4</v>
      </c>
      <c r="K252" s="44">
        <f>IFERROR(VLOOKUP(B252,'Факт продаж'!J:O,6,0),"-")</f>
        <v>1</v>
      </c>
      <c r="L252" s="44">
        <f>IF(AND(F252=0,J252&gt;0),5,IF(J252/F252&gt;5,5,IF(J252/F252=0,0.0000001,J252/F252)))</f>
        <v>5</v>
      </c>
      <c r="M252" s="5">
        <f>IFERROR(VLOOKUP(B252,'Факт продаж'!S:T,2,0),"нет продаж")</f>
        <v>143</v>
      </c>
      <c r="N252" s="48">
        <f>IFERROR(VLOOKUP(B252,'Факт продаж'!S:U,3,0),"нет продаж")</f>
        <v>114901.5</v>
      </c>
      <c r="O252" s="48">
        <f>IFERROR(VLOOKUP(B252,'Факт продаж'!S:W,5,0),"нет продаж")</f>
        <v>28190.404091503948</v>
      </c>
      <c r="P252" s="7">
        <f>IFERROR(VLOOKUP(B252,'Факт продаж'!S:U,3,0)/SUM('План Антонова'!$C$17:$C$19),0)</f>
        <v>6.9987082379722293E-4</v>
      </c>
      <c r="Q252" s="44">
        <f>IFERROR(VLOOKUP(B252,'Факт продаж'!S:X,6,0),"-")</f>
        <v>0.10250299249295614</v>
      </c>
      <c r="R252" s="44">
        <f>IF(AND(J252=0,P252&gt;0),5,IF(P252/J252&gt;5,5,IF(P252/J252=0,0.0000001,P252/J252)))</f>
        <v>1.4976235029569234</v>
      </c>
      <c r="S252" s="16">
        <f>IFERROR(VLOOKUP(B252,'Факт продаж'!AB:AD,2,0),"нет продаж")</f>
        <v>6</v>
      </c>
      <c r="T252" s="16">
        <f>IFERROR(VLOOKUP(B252,'Факт продаж'!AB:AD,3,0),"нет продаж")</f>
        <v>6044.4</v>
      </c>
      <c r="U252" s="16">
        <f>IFERROR(VLOOKUP(B252,'Факт продаж'!AB:AF,5,0),"нет продаж")</f>
        <v>2036.8632157766954</v>
      </c>
      <c r="V252" s="7">
        <f>IFERROR(VLOOKUP(B252,'Факт продаж'!AB:AD,3,0)/SUM('План Антонова'!$C$20:$C$22),0)</f>
        <v>3.9280725481436688E-5</v>
      </c>
      <c r="W252" s="44">
        <f>IFERROR(VLOOKUP(B252,'Факт продаж'!AB:AG,6,0),"-")</f>
        <v>-0.92774622140338292</v>
      </c>
      <c r="X252" s="44">
        <f>IF(AND(P252=0,V252&gt;0),5,IF(V252/P252&gt;5,5,IF(V252/P252=0,0.0000001,V252/P252)))</f>
        <v>5.6125679405115037E-2</v>
      </c>
      <c r="Y252" s="44">
        <f>IFERROR(VLOOKUP(B252,'Факт продаж'!AB:AH,7,0),"-")</f>
        <v>1</v>
      </c>
      <c r="Z252" s="44">
        <f>IF(AND(F252=0,V252&gt;0),5,IF(V252/F252&gt;5,5,IF(V252/F252=0,0.0000001,V252/F252)))</f>
        <v>5</v>
      </c>
      <c r="AB252" s="10" t="str">
        <f>IFERROR(VLOOKUP(VALUE(IF(L252&lt;1,1,0)&amp;IF(J252&lt;'Факт продаж'!$M$24,0,1)),$AB$1:$AC$4,2,FALSE),"НЕТ ПРОДАЖ")</f>
        <v>Темная лошадка</v>
      </c>
      <c r="AC252" s="10" t="str">
        <f>IFERROR(VLOOKUP(VALUE(IF(R252&lt;1,1,0)&amp;IF(P252&lt;'Факт продаж'!$V$24,0,1)),$AB$1:$AC$4,2,FALSE),"НЕТ ПРОДАЖ")</f>
        <v>Темная лошадка</v>
      </c>
      <c r="AD252" s="10" t="str">
        <f>IFERROR(VLOOKUP(VALUE(IF(X252&lt;1,1,0)&amp;IF(V252&lt;'Факт продаж'!$AE$24,0,1)),$AB$1:$AC$4,2,FALSE),"НЕТ ПРОДАЖ")</f>
        <v>Собака</v>
      </c>
      <c r="AE252" s="18" t="str">
        <f>IFERROR(VLOOKUP(VALUE(IF(Z252&lt;1,1,0)&amp;IF(V252&lt;'Факт продаж'!$AE$24,0,1)),$AB$1:$AC$4,2,FALSE),"НЕТ ПРОДАЖ")</f>
        <v>Темная лошадка</v>
      </c>
      <c r="AF252" s="74" t="str">
        <f>VLOOKUP(B252,'ABC расчет'!B:G,6,0)</f>
        <v>C</v>
      </c>
      <c r="AG252" s="74" t="str">
        <f>VLOOKUP(B252,'ABC расчет'!K:P,6,0)</f>
        <v>B</v>
      </c>
      <c r="AH252" s="74" t="str">
        <f>VLOOKUP(B252,'ABC расчет'!T:Y,6,0)</f>
        <v>A</v>
      </c>
      <c r="AI252" s="74" t="str">
        <f>VLOOKUP(B252,'ABC расчет'!AC:AH,6,0)</f>
        <v>C</v>
      </c>
      <c r="AJ252" s="74"/>
      <c r="AK252" s="74"/>
      <c r="AL252" s="19"/>
    </row>
    <row r="253" spans="1:38" x14ac:dyDescent="0.3">
      <c r="A253" s="51" t="s">
        <v>258</v>
      </c>
      <c r="B253" s="21" t="s">
        <v>58</v>
      </c>
      <c r="C253" s="20" t="str">
        <f>IFERROR(VLOOKUP(B253,'Факт продаж'!A:B,2,0),"нет продаж")</f>
        <v>нет продаж</v>
      </c>
      <c r="D253" s="47" t="str">
        <f>IFERROR(VLOOKUP(B253,'Факт продаж'!A:C,3,0),"нет продаж")</f>
        <v>нет продаж</v>
      </c>
      <c r="E253" s="47" t="str">
        <f>IFERROR(VLOOKUP(B253,'Факт продаж'!A:E,5,0),"нет продаж")</f>
        <v>нет продаж</v>
      </c>
      <c r="F253" s="25">
        <f>IFERROR(VLOOKUP(B253,'Факт продаж'!A:C,3,0)/SUM('План Антонова'!$C$11:$C$13),0)</f>
        <v>0</v>
      </c>
      <c r="G253" s="5">
        <f>IFERROR(VLOOKUP(B253,'Факт продаж'!J:K,2,0),"нет продаж")</f>
        <v>14</v>
      </c>
      <c r="H253" s="48">
        <f>IFERROR(VLOOKUP(B253,'Факт продаж'!J:L,3,0),"нет продаж")</f>
        <v>32522</v>
      </c>
      <c r="I253" s="48">
        <f>IFERROR(VLOOKUP(B253,'Факт продаж'!J:N,5,0),"нет продаж")</f>
        <v>15104.744578203336</v>
      </c>
      <c r="J253" s="7">
        <f>IFERROR(VLOOKUP(B253,'Факт продаж'!J:L,3,0)/SUM('План Антонова'!$C$14:$C$16),0)</f>
        <v>2.2455986442591211E-4</v>
      </c>
      <c r="K253" s="44">
        <f>IFERROR(VLOOKUP(B253,'Факт продаж'!J:O,6,0),"-")</f>
        <v>1</v>
      </c>
      <c r="L253" s="44">
        <f>IF(AND(F253=0,J253&gt;0),5,IF(J253/F253&gt;5,5,IF(J253/F253=0,0.0000001,J253/F253)))</f>
        <v>5</v>
      </c>
      <c r="M253" s="5">
        <f>IFERROR(VLOOKUP(B253,'Факт продаж'!S:T,2,0),"нет продаж")</f>
        <v>1</v>
      </c>
      <c r="N253" s="48">
        <f>IFERROR(VLOOKUP(B253,'Факт продаж'!S:U,3,0),"нет продаж")</f>
        <v>1762.25</v>
      </c>
      <c r="O253" s="48">
        <f>IFERROR(VLOOKUP(B253,'Факт продаж'!S:W,5,0),"нет продаж")</f>
        <v>465.24256439985584</v>
      </c>
      <c r="P253" s="7">
        <f>IFERROR(VLOOKUP(B253,'Факт продаж'!S:U,3,0)/SUM('План Антонова'!$C$17:$C$19),0)</f>
        <v>1.0733953510064326E-5</v>
      </c>
      <c r="Q253" s="44">
        <f>IFERROR(VLOOKUP(B253,'Факт продаж'!S:X,6,0),"-")</f>
        <v>-0.96919891217020537</v>
      </c>
      <c r="R253" s="44">
        <f>IF(AND(J253=0,P253&gt;0),5,IF(P253/J253&gt;5,5,IF(P253/J253=0,0.0000001,P253/J253)))</f>
        <v>4.7799964332476359E-2</v>
      </c>
      <c r="S253" s="16">
        <f>IFERROR(VLOOKUP(B253,'Факт продаж'!AB:AD,2,0),"нет продаж")</f>
        <v>3</v>
      </c>
      <c r="T253" s="16">
        <f>IFERROR(VLOOKUP(B253,'Факт продаж'!AB:AD,3,0),"нет продаж")</f>
        <v>5359.5</v>
      </c>
      <c r="U253" s="16">
        <f>IFERROR(VLOOKUP(B253,'Факт продаж'!AB:AF,5,0),"нет продаж")</f>
        <v>1724.3684691992239</v>
      </c>
      <c r="V253" s="7">
        <f>IFERROR(VLOOKUP(B253,'Факт продаж'!AB:AD,3,0)/SUM('План Антонова'!$C$20:$C$22),0)</f>
        <v>3.4829767754907014E-5</v>
      </c>
      <c r="W253" s="44">
        <f>IFERROR(VLOOKUP(B253,'Факт продаж'!AB:AG,6,0),"-")</f>
        <v>2.7063858751264296</v>
      </c>
      <c r="X253" s="44">
        <f>IF(AND(P253=0,V253&gt;0),5,IF(V253/P253&gt;5,5,IF(V253/P253=0,0.0000001,V253/P253)))</f>
        <v>3.2448219309176314</v>
      </c>
      <c r="Y253" s="44">
        <f>IFERROR(VLOOKUP(B253,'Факт продаж'!AB:AH,7,0),"-")</f>
        <v>1</v>
      </c>
      <c r="Z253" s="44">
        <f>IF(AND(F253=0,V253&gt;0),5,IF(V253/F253&gt;5,5,IF(V253/F253=0,0.0000001,V253/F253)))</f>
        <v>5</v>
      </c>
      <c r="AB253" s="10" t="str">
        <f>IFERROR(VLOOKUP(VALUE(IF(L253&lt;1,1,0)&amp;IF(J253&lt;'Факт продаж'!$M$24,0,1)),$AB$1:$AC$4,2,FALSE),"НЕТ ПРОДАЖ")</f>
        <v>Темная лошадка</v>
      </c>
      <c r="AC253" s="10" t="str">
        <f>IFERROR(VLOOKUP(VALUE(IF(R253&lt;1,1,0)&amp;IF(P253&lt;'Факт продаж'!$V$24,0,1)),$AB$1:$AC$4,2,FALSE),"НЕТ ПРОДАЖ")</f>
        <v>Собака</v>
      </c>
      <c r="AD253" s="10" t="str">
        <f>IFERROR(VLOOKUP(VALUE(IF(X253&lt;1,1,0)&amp;IF(V253&lt;'Факт продаж'!$AE$24,0,1)),$AB$1:$AC$4,2,FALSE),"НЕТ ПРОДАЖ")</f>
        <v>Темная лошадка</v>
      </c>
      <c r="AE253" s="18" t="str">
        <f>IFERROR(VLOOKUP(VALUE(IF(Z253&lt;1,1,0)&amp;IF(V253&lt;'Факт продаж'!$AE$24,0,1)),$AB$1:$AC$4,2,FALSE),"НЕТ ПРОДАЖ")</f>
        <v>Темная лошадка</v>
      </c>
      <c r="AF253" s="74" t="str">
        <f>VLOOKUP(B253,'ABC расчет'!B:G,6,0)</f>
        <v>C</v>
      </c>
      <c r="AG253" s="74" t="str">
        <f>VLOOKUP(B253,'ABC расчет'!K:P,6,0)</f>
        <v>B</v>
      </c>
      <c r="AH253" s="74" t="str">
        <f>VLOOKUP(B253,'ABC расчет'!T:Y,6,0)</f>
        <v>C</v>
      </c>
      <c r="AI253" s="74" t="str">
        <f>VLOOKUP(B253,'ABC расчет'!AC:AH,6,0)</f>
        <v>C</v>
      </c>
      <c r="AJ253" s="74"/>
      <c r="AK253" s="74"/>
      <c r="AL253" s="19"/>
    </row>
    <row r="254" spans="1:38" x14ac:dyDescent="0.3">
      <c r="A254" s="51" t="s">
        <v>256</v>
      </c>
      <c r="B254" s="21" t="s">
        <v>142</v>
      </c>
      <c r="C254" s="20" t="str">
        <f>IFERROR(VLOOKUP(B254,'Факт продаж'!A:B,2,0),"нет продаж")</f>
        <v>нет продаж</v>
      </c>
      <c r="D254" s="47" t="str">
        <f>IFERROR(VLOOKUP(B254,'Факт продаж'!A:C,3,0),"нет продаж")</f>
        <v>нет продаж</v>
      </c>
      <c r="E254" s="47" t="str">
        <f>IFERROR(VLOOKUP(B254,'Факт продаж'!A:E,5,0),"нет продаж")</f>
        <v>нет продаж</v>
      </c>
      <c r="F254" s="25">
        <f>IFERROR(VLOOKUP(B254,'Факт продаж'!A:C,3,0)/SUM('План Антонова'!$C$11:$C$13),0)</f>
        <v>0</v>
      </c>
      <c r="G254" s="5">
        <f>IFERROR(VLOOKUP(B254,'Факт продаж'!J:K,2,0),"нет продаж")</f>
        <v>2</v>
      </c>
      <c r="H254" s="48">
        <f>IFERROR(VLOOKUP(B254,'Факт продаж'!J:L,3,0),"нет продаж")</f>
        <v>6411.7</v>
      </c>
      <c r="I254" s="48">
        <f>IFERROR(VLOOKUP(B254,'Факт продаж'!J:N,5,0),"нет продаж")</f>
        <v>2716.730648021367</v>
      </c>
      <c r="J254" s="7">
        <f>IFERROR(VLOOKUP(B254,'Факт продаж'!J:L,3,0)/SUM('План Антонова'!$C$14:$C$16),0)</f>
        <v>4.4271892341787732E-5</v>
      </c>
      <c r="K254" s="44">
        <f>IFERROR(VLOOKUP(B254,'Факт продаж'!J:O,6,0),"-")</f>
        <v>1</v>
      </c>
      <c r="L254" s="44">
        <f>IF(AND(F254=0,J254&gt;0),5,IF(J254/F254&gt;5,5,IF(J254/F254=0,0.0000001,J254/F254)))</f>
        <v>5</v>
      </c>
      <c r="M254" s="5">
        <f>IFERROR(VLOOKUP(B254,'Факт продаж'!S:T,2,0),"нет продаж")</f>
        <v>5</v>
      </c>
      <c r="N254" s="48">
        <f>IFERROR(VLOOKUP(B254,'Факт продаж'!S:U,3,0),"нет продаж")</f>
        <v>15920.4</v>
      </c>
      <c r="O254" s="48">
        <f>IFERROR(VLOOKUP(B254,'Факт продаж'!S:W,5,0),"нет продаж")</f>
        <v>6897.7638762586421</v>
      </c>
      <c r="P254" s="7">
        <f>IFERROR(VLOOKUP(B254,'Факт продаж'!S:U,3,0)/SUM('План Антонова'!$C$17:$C$19),0)</f>
        <v>9.6971958270181919E-5</v>
      </c>
      <c r="Q254" s="44">
        <f>IFERROR(VLOOKUP(B254,'Факт продаж'!S:X,6,0),"-")</f>
        <v>1.5389943906593686</v>
      </c>
      <c r="R254" s="44">
        <f>IF(AND(J254=0,P254&gt;0),5,IF(P254/J254&gt;5,5,IF(P254/J254=0,0.0000001,P254/J254)))</f>
        <v>2.1903730141359059</v>
      </c>
      <c r="S254" s="16">
        <f>IFERROR(VLOOKUP(B254,'Факт продаж'!AB:AD,2,0),"нет продаж")</f>
        <v>1</v>
      </c>
      <c r="T254" s="16">
        <f>IFERROR(VLOOKUP(B254,'Факт продаж'!AB:AD,3,0),"нет продаж")</f>
        <v>3645</v>
      </c>
      <c r="U254" s="16">
        <f>IFERROR(VLOOKUP(B254,'Факт продаж'!AB:AF,5,0),"нет продаж")</f>
        <v>1639.0308377812985</v>
      </c>
      <c r="V254" s="7">
        <f>IFERROR(VLOOKUP(B254,'Факт продаж'!AB:AD,3,0)/SUM('План Антонова'!$C$20:$C$22),0)</f>
        <v>2.3687751369836004E-5</v>
      </c>
      <c r="W254" s="44">
        <f>IFERROR(VLOOKUP(B254,'Факт продаж'!AB:AG,6,0),"-")</f>
        <v>-0.76238229269884616</v>
      </c>
      <c r="X254" s="44">
        <f>IF(AND(P254=0,V254&gt;0),5,IF(V254/P254&gt;5,5,IF(V254/P254=0,0.0000001,V254/P254)))</f>
        <v>0.24427423960891376</v>
      </c>
      <c r="Y254" s="44">
        <f>IFERROR(VLOOKUP(B254,'Факт продаж'!AB:AH,7,0),"-")</f>
        <v>1</v>
      </c>
      <c r="Z254" s="44">
        <f>IF(AND(F254=0,V254&gt;0),5,IF(V254/F254&gt;5,5,IF(V254/F254=0,0.0000001,V254/F254)))</f>
        <v>5</v>
      </c>
      <c r="AB254" s="10" t="str">
        <f>IFERROR(VLOOKUP(VALUE(IF(L254&lt;1,1,0)&amp;IF(J254&lt;'Факт продаж'!$M$24,0,1)),$AB$1:$AC$4,2,FALSE),"НЕТ ПРОДАЖ")</f>
        <v>Темная лошадка</v>
      </c>
      <c r="AC254" s="10" t="str">
        <f>IFERROR(VLOOKUP(VALUE(IF(R254&lt;1,1,0)&amp;IF(P254&lt;'Факт продаж'!$V$24,0,1)),$AB$1:$AC$4,2,FALSE),"НЕТ ПРОДАЖ")</f>
        <v>Темная лошадка</v>
      </c>
      <c r="AD254" s="10" t="str">
        <f>IFERROR(VLOOKUP(VALUE(IF(X254&lt;1,1,0)&amp;IF(V254&lt;'Факт продаж'!$AE$24,0,1)),$AB$1:$AC$4,2,FALSE),"НЕТ ПРОДАЖ")</f>
        <v>Собака</v>
      </c>
      <c r="AE254" s="18" t="str">
        <f>IFERROR(VLOOKUP(VALUE(IF(Z254&lt;1,1,0)&amp;IF(V254&lt;'Факт продаж'!$AE$24,0,1)),$AB$1:$AC$4,2,FALSE),"НЕТ ПРОДАЖ")</f>
        <v>Темная лошадка</v>
      </c>
      <c r="AF254" s="74" t="str">
        <f>VLOOKUP(B254,'ABC расчет'!B:G,6,0)</f>
        <v>C</v>
      </c>
      <c r="AG254" s="74" t="str">
        <f>VLOOKUP(B254,'ABC расчет'!K:P,6,0)</f>
        <v>C</v>
      </c>
      <c r="AH254" s="74" t="str">
        <f>VLOOKUP(B254,'ABC расчет'!T:Y,6,0)</f>
        <v>C</v>
      </c>
      <c r="AI254" s="74" t="str">
        <f>VLOOKUP(B254,'ABC расчет'!AC:AH,6,0)</f>
        <v>C</v>
      </c>
      <c r="AJ254" s="74"/>
      <c r="AK254" s="74"/>
      <c r="AL254" s="19"/>
    </row>
    <row r="255" spans="1:38" x14ac:dyDescent="0.3">
      <c r="A255" s="5" t="s">
        <v>357</v>
      </c>
      <c r="B255" s="21" t="s">
        <v>309</v>
      </c>
      <c r="C255" s="20" t="str">
        <f>IFERROR(VLOOKUP(B255,'Факт продаж'!A:B,2,0),"нет продаж")</f>
        <v>нет продаж</v>
      </c>
      <c r="D255" s="47" t="str">
        <f>IFERROR(VLOOKUP(B255,'Факт продаж'!A:C,3,0),"нет продаж")</f>
        <v>нет продаж</v>
      </c>
      <c r="E255" s="47" t="str">
        <f>IFERROR(VLOOKUP(B255,'Факт продаж'!A:E,5,0),"нет продаж")</f>
        <v>нет продаж</v>
      </c>
      <c r="F255" s="25">
        <f>IFERROR(VLOOKUP(B255,'Факт продаж'!A:C,3,0)/SUM('План Антонова'!$C$11:$C$13),0)</f>
        <v>0</v>
      </c>
      <c r="G255" s="5" t="str">
        <f>IFERROR(VLOOKUP(B255,'Факт продаж'!J:K,2,0),"нет продаж")</f>
        <v>нет продаж</v>
      </c>
      <c r="H255" s="48" t="str">
        <f>IFERROR(VLOOKUP(B255,'Факт продаж'!J:L,3,0),"нет продаж")</f>
        <v>нет продаж</v>
      </c>
      <c r="I255" s="48" t="str">
        <f>IFERROR(VLOOKUP(B255,'Факт продаж'!J:N,5,0),"нет продаж")</f>
        <v>нет продаж</v>
      </c>
      <c r="J255" s="7">
        <f>IFERROR(VLOOKUP(B255,'Факт продаж'!J:L,3,0)/SUM('План Антонова'!$C$14:$C$16),0)</f>
        <v>0</v>
      </c>
      <c r="K255" s="44" t="str">
        <f>IFERROR(VLOOKUP(B255,'Факт продаж'!J:O,6,0),"-")</f>
        <v>-</v>
      </c>
      <c r="L255" s="44" t="e">
        <f>IF(AND(F255=0,J255&gt;0),5,IF(J255/F255&gt;5,5,IF(J255/F255=0,0.0000001,J255/F255)))</f>
        <v>#DIV/0!</v>
      </c>
      <c r="M255" s="5">
        <f>IFERROR(VLOOKUP(B255,'Факт продаж'!S:T,2,0),"нет продаж")</f>
        <v>1</v>
      </c>
      <c r="N255" s="48">
        <f>IFERROR(VLOOKUP(B255,'Факт продаж'!S:U,3,0),"нет продаж")</f>
        <v>4027.5</v>
      </c>
      <c r="O255" s="48">
        <f>IFERROR(VLOOKUP(B255,'Факт продаж'!S:W,5,0),"нет продаж")</f>
        <v>1514.1539095014989</v>
      </c>
      <c r="P255" s="7">
        <f>IFERROR(VLOOKUP(B255,'Факт продаж'!S:U,3,0)/SUM('План Антонова'!$C$17:$C$19),0)</f>
        <v>2.45317053549633E-5</v>
      </c>
      <c r="Q255" s="44">
        <f>IFERROR(VLOOKUP(B255,'Факт продаж'!S:X,6,0),"-")</f>
        <v>1</v>
      </c>
      <c r="R255" s="44">
        <f>IF(AND(J255=0,P255&gt;0),5,IF(P255/J255&gt;5,5,IF(P255/J255=0,0.0000001,P255/J255)))</f>
        <v>5</v>
      </c>
      <c r="S255" s="16">
        <f>IFERROR(VLOOKUP(B255,'Факт продаж'!AB:AD,2,0),"нет продаж")</f>
        <v>1</v>
      </c>
      <c r="T255" s="16">
        <f>IFERROR(VLOOKUP(B255,'Факт продаж'!AB:AD,3,0),"нет продаж")</f>
        <v>4251.25</v>
      </c>
      <c r="U255" s="16">
        <f>IFERROR(VLOOKUP(B255,'Факт продаж'!AB:AF,5,0),"нет продаж")</f>
        <v>1468.7100247624696</v>
      </c>
      <c r="V255" s="7">
        <f>IFERROR(VLOOKUP(B255,'Факт продаж'!AB:AD,3,0)/SUM('План Антонова'!$C$20:$C$22),0)</f>
        <v>2.7627586559949332E-5</v>
      </c>
      <c r="W255" s="44">
        <f>IFERROR(VLOOKUP(B255,'Факт продаж'!AB:AG,6,0),"-")</f>
        <v>-3.001272489795348E-2</v>
      </c>
      <c r="X255" s="44">
        <f>IF(AND(P255=0,V255&gt;0),5,IF(V255/P255&gt;5,5,IF(V255/P255=0,0.0000001,V255/P255)))</f>
        <v>1.1261991842878412</v>
      </c>
      <c r="Y255" s="44">
        <f>IFERROR(VLOOKUP(B255,'Факт продаж'!AB:AH,7,0),"-")</f>
        <v>1</v>
      </c>
      <c r="Z255" s="44">
        <f>IF(AND(F255=0,V255&gt;0),5,IF(V255/F255&gt;5,5,IF(V255/F255=0,0.0000001,V255/F255)))</f>
        <v>5</v>
      </c>
      <c r="AB255" s="10" t="str">
        <f>IFERROR(VLOOKUP(VALUE(IF(L255&lt;1,1,0)&amp;IF(J255&lt;'Факт продаж'!$M$24,0,1)),$AB$1:$AC$4,2,FALSE),"НЕТ ПРОДАЖ")</f>
        <v>НЕТ ПРОДАЖ</v>
      </c>
      <c r="AC255" s="10" t="str">
        <f>IFERROR(VLOOKUP(VALUE(IF(R255&lt;1,1,0)&amp;IF(P255&lt;'Факт продаж'!$V$24,0,1)),$AB$1:$AC$4,2,FALSE),"НЕТ ПРОДАЖ")</f>
        <v>Темная лошадка</v>
      </c>
      <c r="AD255" s="10" t="str">
        <f>IFERROR(VLOOKUP(VALUE(IF(X255&lt;1,1,0)&amp;IF(V255&lt;'Факт продаж'!$AE$24,0,1)),$AB$1:$AC$4,2,FALSE),"НЕТ ПРОДАЖ")</f>
        <v>Темная лошадка</v>
      </c>
      <c r="AE255" s="18" t="str">
        <f>IFERROR(VLOOKUP(VALUE(IF(Z255&lt;1,1,0)&amp;IF(V255&lt;'Факт продаж'!$AE$24,0,1)),$AB$1:$AC$4,2,FALSE),"НЕТ ПРОДАЖ")</f>
        <v>Темная лошадка</v>
      </c>
      <c r="AF255" s="74" t="str">
        <f>VLOOKUP(B255,'ABC расчет'!B:G,6,0)</f>
        <v>A</v>
      </c>
      <c r="AG255" s="74" t="str">
        <f>VLOOKUP(B255,'ABC расчет'!K:P,6,0)</f>
        <v>C</v>
      </c>
      <c r="AH255" s="74" t="str">
        <f>VLOOKUP(B255,'ABC расчет'!T:Y,6,0)</f>
        <v>C</v>
      </c>
      <c r="AI255" s="74" t="str">
        <f>VLOOKUP(B255,'ABC расчет'!AC:AH,6,0)</f>
        <v>C</v>
      </c>
      <c r="AJ255" s="74"/>
      <c r="AK255" s="74"/>
      <c r="AL255" s="19"/>
    </row>
    <row r="256" spans="1:38" x14ac:dyDescent="0.3">
      <c r="A256" s="51" t="s">
        <v>252</v>
      </c>
      <c r="B256" s="21" t="s">
        <v>342</v>
      </c>
      <c r="C256" s="20" t="str">
        <f>IFERROR(VLOOKUP(B256,'Факт продаж'!A:B,2,0),"нет продаж")</f>
        <v>нет продаж</v>
      </c>
      <c r="D256" s="47" t="str">
        <f>IFERROR(VLOOKUP(B256,'Факт продаж'!A:C,3,0),"нет продаж")</f>
        <v>нет продаж</v>
      </c>
      <c r="E256" s="47" t="str">
        <f>IFERROR(VLOOKUP(B256,'Факт продаж'!A:E,5,0),"нет продаж")</f>
        <v>нет продаж</v>
      </c>
      <c r="F256" s="25">
        <f>IFERROR(VLOOKUP(B256,'Факт продаж'!A:C,3,0)/SUM('План Антонова'!$C$11:$C$13),0)</f>
        <v>0</v>
      </c>
      <c r="G256" s="5">
        <f>IFERROR(VLOOKUP(B256,'Факт продаж'!J:K,2,0),"нет продаж")</f>
        <v>35</v>
      </c>
      <c r="H256" s="48">
        <f>IFERROR(VLOOKUP(B256,'Факт продаж'!J:L,3,0),"нет продаж")</f>
        <v>18002.5</v>
      </c>
      <c r="I256" s="48">
        <f>IFERROR(VLOOKUP(B256,'Факт продаж'!J:N,5,0),"нет продаж")</f>
        <v>7232.5262764803792</v>
      </c>
      <c r="J256" s="7">
        <f>IFERROR(VLOOKUP(B256,'Факт продаж'!J:L,3,0)/SUM('План Антонова'!$C$14:$C$16),0)</f>
        <v>1.243047463048854E-4</v>
      </c>
      <c r="K256" s="44">
        <f>IFERROR(VLOOKUP(B256,'Факт продаж'!J:O,6,0),"-")</f>
        <v>1</v>
      </c>
      <c r="L256" s="44">
        <f>IF(AND(F256=0,J256&gt;0),5,IF(J256/F256&gt;5,5,IF(J256/F256=0,0.0000001,J256/F256)))</f>
        <v>5</v>
      </c>
      <c r="M256" s="5" t="str">
        <f>IFERROR(VLOOKUP(B256,'Факт продаж'!S:T,2,0),"нет продаж")</f>
        <v>нет продаж</v>
      </c>
      <c r="N256" s="48" t="str">
        <f>IFERROR(VLOOKUP(B256,'Факт продаж'!S:U,3,0),"нет продаж")</f>
        <v>нет продаж</v>
      </c>
      <c r="O256" s="48" t="str">
        <f>IFERROR(VLOOKUP(B256,'Факт продаж'!S:W,5,0),"нет продаж")</f>
        <v>нет продаж</v>
      </c>
      <c r="P256" s="7">
        <f>IFERROR(VLOOKUP(B256,'Факт продаж'!S:U,3,0)/SUM('План Антонова'!$C$17:$C$19),0)</f>
        <v>0</v>
      </c>
      <c r="Q256" s="44" t="str">
        <f>IFERROR(VLOOKUP(B256,'Факт продаж'!S:X,6,0),"-")</f>
        <v>-</v>
      </c>
      <c r="R256" s="44">
        <f>IF(AND(J256=0,P256&gt;0),5,IF(P256/J256&gt;5,5,IF(P256/J256=0,0.0000001,P256/J256)))</f>
        <v>9.9999999999999995E-8</v>
      </c>
      <c r="S256" s="16">
        <f>IFERROR(VLOOKUP(B256,'Факт продаж'!AB:AD,2,0),"нет продаж")</f>
        <v>5</v>
      </c>
      <c r="T256" s="16">
        <f>IFERROR(VLOOKUP(B256,'Факт продаж'!AB:AD,3,0),"нет продаж")</f>
        <v>2872.5</v>
      </c>
      <c r="U256" s="16">
        <f>IFERROR(VLOOKUP(B256,'Факт продаж'!AB:AF,5,0),"нет продаж")</f>
        <v>1460.4178650984613</v>
      </c>
      <c r="V256" s="7">
        <f>IFERROR(VLOOKUP(B256,'Факт продаж'!AB:AD,3,0)/SUM('План Антонова'!$C$20:$C$22),0)</f>
        <v>1.8667507766763765E-5</v>
      </c>
      <c r="W256" s="44">
        <f>IFERROR(VLOOKUP(B256,'Факт продаж'!AB:AG,6,0),"-")</f>
        <v>1</v>
      </c>
      <c r="X256" s="44">
        <f>IF(AND(P256=0,V256&gt;0),5,IF(V256/P256&gt;5,5,IF(V256/P256=0,0.0000001,V256/P256)))</f>
        <v>5</v>
      </c>
      <c r="Y256" s="44">
        <f>IFERROR(VLOOKUP(B256,'Факт продаж'!AB:AH,7,0),"-")</f>
        <v>1</v>
      </c>
      <c r="Z256" s="44">
        <f>IF(AND(F256=0,V256&gt;0),5,IF(V256/F256&gt;5,5,IF(V256/F256=0,0.0000001,V256/F256)))</f>
        <v>5</v>
      </c>
      <c r="AB256" s="10" t="str">
        <f>IFERROR(VLOOKUP(VALUE(IF(L256&lt;1,1,0)&amp;IF(J256&lt;'Факт продаж'!$M$24,0,1)),$AB$1:$AC$4,2,FALSE),"НЕТ ПРОДАЖ")</f>
        <v>Темная лошадка</v>
      </c>
      <c r="AC256" s="10" t="str">
        <f>IFERROR(VLOOKUP(VALUE(IF(R256&lt;1,1,0)&amp;IF(P256&lt;'Факт продаж'!$V$24,0,1)),$AB$1:$AC$4,2,FALSE),"НЕТ ПРОДАЖ")</f>
        <v>Собака</v>
      </c>
      <c r="AD256" s="10" t="str">
        <f>IFERROR(VLOOKUP(VALUE(IF(X256&lt;1,1,0)&amp;IF(V256&lt;'Факт продаж'!$AE$24,0,1)),$AB$1:$AC$4,2,FALSE),"НЕТ ПРОДАЖ")</f>
        <v>Темная лошадка</v>
      </c>
      <c r="AE256" s="18" t="str">
        <f>IFERROR(VLOOKUP(VALUE(IF(Z256&lt;1,1,0)&amp;IF(V256&lt;'Факт продаж'!$AE$24,0,1)),$AB$1:$AC$4,2,FALSE),"НЕТ ПРОДАЖ")</f>
        <v>Темная лошадка</v>
      </c>
      <c r="AF256" s="74" t="str">
        <f>VLOOKUP(B256,'ABC расчет'!B:G,6,0)</f>
        <v>C</v>
      </c>
      <c r="AG256" s="74" t="str">
        <f>VLOOKUP(B256,'ABC расчет'!K:P,6,0)</f>
        <v>C</v>
      </c>
      <c r="AH256" s="74" t="str">
        <f>VLOOKUP(B256,'ABC расчет'!T:Y,6,0)</f>
        <v>C</v>
      </c>
      <c r="AI256" s="74" t="str">
        <f>VLOOKUP(B256,'ABC расчет'!AC:AH,6,0)</f>
        <v>C</v>
      </c>
      <c r="AJ256" s="74"/>
      <c r="AK256" s="74"/>
      <c r="AL256" s="19"/>
    </row>
    <row r="257" spans="1:38" x14ac:dyDescent="0.3">
      <c r="A257" s="51" t="s">
        <v>116</v>
      </c>
      <c r="B257" s="21" t="s">
        <v>53</v>
      </c>
      <c r="C257" s="20" t="str">
        <f>IFERROR(VLOOKUP(B257,'Факт продаж'!A:B,2,0),"нет продаж")</f>
        <v>нет продаж</v>
      </c>
      <c r="D257" s="47" t="str">
        <f>IFERROR(VLOOKUP(B257,'Факт продаж'!A:C,3,0),"нет продаж")</f>
        <v>нет продаж</v>
      </c>
      <c r="E257" s="47" t="str">
        <f>IFERROR(VLOOKUP(B257,'Факт продаж'!A:E,5,0),"нет продаж")</f>
        <v>нет продаж</v>
      </c>
      <c r="F257" s="25">
        <f>IFERROR(VLOOKUP(B257,'Факт продаж'!A:C,3,0)/SUM('План Антонова'!$C$11:$C$13),0)</f>
        <v>0</v>
      </c>
      <c r="G257" s="5" t="str">
        <f>IFERROR(VLOOKUP(B257,'Факт продаж'!J:K,2,0),"нет продаж")</f>
        <v>нет продаж</v>
      </c>
      <c r="H257" s="48" t="str">
        <f>IFERROR(VLOOKUP(B257,'Факт продаж'!J:L,3,0),"нет продаж")</f>
        <v>нет продаж</v>
      </c>
      <c r="I257" s="48" t="str">
        <f>IFERROR(VLOOKUP(B257,'Факт продаж'!J:N,5,0),"нет продаж")</f>
        <v>нет продаж</v>
      </c>
      <c r="J257" s="7">
        <f>IFERROR(VLOOKUP(B257,'Факт продаж'!J:L,3,0)/SUM('План Антонова'!$C$14:$C$16),0)</f>
        <v>0</v>
      </c>
      <c r="K257" s="44" t="str">
        <f>IFERROR(VLOOKUP(B257,'Факт продаж'!J:O,6,0),"-")</f>
        <v>-</v>
      </c>
      <c r="L257" s="44" t="e">
        <f>IF(AND(F257=0,J257&gt;0),5,IF(J257/F257&gt;5,5,IF(J257/F257=0,0.0000001,J257/F257)))</f>
        <v>#DIV/0!</v>
      </c>
      <c r="M257" s="5" t="str">
        <f>IFERROR(VLOOKUP(B257,'Факт продаж'!S:T,2,0),"нет продаж")</f>
        <v>нет продаж</v>
      </c>
      <c r="N257" s="48" t="str">
        <f>IFERROR(VLOOKUP(B257,'Факт продаж'!S:U,3,0),"нет продаж")</f>
        <v>нет продаж</v>
      </c>
      <c r="O257" s="48" t="str">
        <f>IFERROR(VLOOKUP(B257,'Факт продаж'!S:W,5,0),"нет продаж")</f>
        <v>нет продаж</v>
      </c>
      <c r="P257" s="7">
        <f>IFERROR(VLOOKUP(B257,'Факт продаж'!S:U,3,0)/SUM('План Антонова'!$C$17:$C$19),0)</f>
        <v>0</v>
      </c>
      <c r="Q257" s="44" t="str">
        <f>IFERROR(VLOOKUP(B257,'Факт продаж'!S:X,6,0),"-")</f>
        <v>-</v>
      </c>
      <c r="R257" s="44" t="e">
        <f>IF(AND(J257=0,P257&gt;0),5,IF(P257/J257&gt;5,5,IF(P257/J257=0,0.0000001,P257/J257)))</f>
        <v>#DIV/0!</v>
      </c>
      <c r="S257" s="16">
        <f>IFERROR(VLOOKUP(B257,'Факт продаж'!AB:AD,2,0),"нет продаж")</f>
        <v>1</v>
      </c>
      <c r="T257" s="16">
        <f>IFERROR(VLOOKUP(B257,'Факт продаж'!AB:AD,3,0),"нет продаж")</f>
        <v>2180.4</v>
      </c>
      <c r="U257" s="16">
        <f>IFERROR(VLOOKUP(B257,'Факт продаж'!AB:AF,5,0),"нет продаж")</f>
        <v>1291.3603643143447</v>
      </c>
      <c r="V257" s="7">
        <f>IFERROR(VLOOKUP(B257,'Факт продаж'!AB:AD,3,0)/SUM('План Антонова'!$C$20:$C$22),0)</f>
        <v>1.4169759420244288E-5</v>
      </c>
      <c r="W257" s="44">
        <f>IFERROR(VLOOKUP(B257,'Факт продаж'!AB:AG,6,0),"-")</f>
        <v>1</v>
      </c>
      <c r="X257" s="44">
        <f>IF(AND(P257=0,V257&gt;0),5,IF(V257/P257&gt;5,5,IF(V257/P257=0,0.0000001,V257/P257)))</f>
        <v>5</v>
      </c>
      <c r="Y257" s="44">
        <f>IFERROR(VLOOKUP(B257,'Факт продаж'!AB:AH,7,0),"-")</f>
        <v>1</v>
      </c>
      <c r="Z257" s="44">
        <f>IF(AND(F257=0,V257&gt;0),5,IF(V257/F257&gt;5,5,IF(V257/F257=0,0.0000001,V257/F257)))</f>
        <v>5</v>
      </c>
      <c r="AB257" s="10" t="str">
        <f>IFERROR(VLOOKUP(VALUE(IF(L257&lt;1,1,0)&amp;IF(J257&lt;'Факт продаж'!$M$24,0,1)),$AB$1:$AC$4,2,FALSE),"НЕТ ПРОДАЖ")</f>
        <v>НЕТ ПРОДАЖ</v>
      </c>
      <c r="AC257" s="10" t="str">
        <f>IFERROR(VLOOKUP(VALUE(IF(R257&lt;1,1,0)&amp;IF(P257&lt;'Факт продаж'!$V$24,0,1)),$AB$1:$AC$4,2,FALSE),"НЕТ ПРОДАЖ")</f>
        <v>НЕТ ПРОДАЖ</v>
      </c>
      <c r="AD257" s="10" t="str">
        <f>IFERROR(VLOOKUP(VALUE(IF(X257&lt;1,1,0)&amp;IF(V257&lt;'Факт продаж'!$AE$24,0,1)),$AB$1:$AC$4,2,FALSE),"НЕТ ПРОДАЖ")</f>
        <v>Темная лошадка</v>
      </c>
      <c r="AE257" s="18" t="str">
        <f>IFERROR(VLOOKUP(VALUE(IF(Z257&lt;1,1,0)&amp;IF(V257&lt;'Факт продаж'!$AE$24,0,1)),$AB$1:$AC$4,2,FALSE),"НЕТ ПРОДАЖ")</f>
        <v>Темная лошадка</v>
      </c>
      <c r="AF257" s="74" t="str">
        <f>VLOOKUP(B257,'ABC расчет'!B:G,6,0)</f>
        <v>C</v>
      </c>
      <c r="AG257" s="74" t="str">
        <f>VLOOKUP(B257,'ABC расчет'!K:P,6,0)</f>
        <v>C</v>
      </c>
      <c r="AH257" s="74" t="str">
        <f>VLOOKUP(B257,'ABC расчет'!T:Y,6,0)</f>
        <v>C</v>
      </c>
      <c r="AI257" s="74" t="str">
        <f>VLOOKUP(B257,'ABC расчет'!AC:AH,6,0)</f>
        <v>C</v>
      </c>
      <c r="AJ257" s="74"/>
      <c r="AK257" s="74"/>
      <c r="AL257" s="19"/>
    </row>
    <row r="258" spans="1:38" x14ac:dyDescent="0.3">
      <c r="A258" s="51" t="s">
        <v>247</v>
      </c>
      <c r="B258" s="21" t="s">
        <v>110</v>
      </c>
      <c r="C258" s="20" t="str">
        <f>IFERROR(VLOOKUP(B258,'Факт продаж'!A:B,2,0),"нет продаж")</f>
        <v>нет продаж</v>
      </c>
      <c r="D258" s="47" t="str">
        <f>IFERROR(VLOOKUP(B258,'Факт продаж'!A:C,3,0),"нет продаж")</f>
        <v>нет продаж</v>
      </c>
      <c r="E258" s="47" t="str">
        <f>IFERROR(VLOOKUP(B258,'Факт продаж'!A:E,5,0),"нет продаж")</f>
        <v>нет продаж</v>
      </c>
      <c r="F258" s="25">
        <f>IFERROR(VLOOKUP(B258,'Факт продаж'!A:C,3,0)/SUM('План Антонова'!$C$11:$C$13),0)</f>
        <v>0</v>
      </c>
      <c r="G258" s="5">
        <f>IFERROR(VLOOKUP(B258,'Факт продаж'!J:K,2,0),"нет продаж")</f>
        <v>8</v>
      </c>
      <c r="H258" s="48">
        <f>IFERROR(VLOOKUP(B258,'Факт продаж'!J:L,3,0),"нет продаж")</f>
        <v>6464.5</v>
      </c>
      <c r="I258" s="48">
        <f>IFERROR(VLOOKUP(B258,'Факт продаж'!J:N,5,0),"нет продаж")</f>
        <v>2752.4971318106059</v>
      </c>
      <c r="J258" s="7">
        <f>IFERROR(VLOOKUP(B258,'Факт продаж'!J:L,3,0)/SUM('План Антонова'!$C$14:$C$16),0)</f>
        <v>4.4636468961973703E-5</v>
      </c>
      <c r="K258" s="44">
        <f>IFERROR(VLOOKUP(B258,'Факт продаж'!J:O,6,0),"-")</f>
        <v>1</v>
      </c>
      <c r="L258" s="44">
        <f>IF(AND(F258=0,J258&gt;0),5,IF(J258/F258&gt;5,5,IF(J258/F258=0,0.0000001,J258/F258)))</f>
        <v>5</v>
      </c>
      <c r="M258" s="5">
        <f>IFERROR(VLOOKUP(B258,'Факт продаж'!S:T,2,0),"нет продаж")</f>
        <v>20</v>
      </c>
      <c r="N258" s="48">
        <f>IFERROR(VLOOKUP(B258,'Факт продаж'!S:U,3,0),"нет продаж")</f>
        <v>16456.5</v>
      </c>
      <c r="O258" s="48">
        <f>IFERROR(VLOOKUP(B258,'Факт продаж'!S:W,5,0),"нет продаж")</f>
        <v>7312.3739052492529</v>
      </c>
      <c r="P258" s="7">
        <f>IFERROR(VLOOKUP(B258,'Факт продаж'!S:U,3,0)/SUM('План Антонова'!$C$17:$C$19),0)</f>
        <v>1.0023737037217964E-4</v>
      </c>
      <c r="Q258" s="44">
        <f>IFERROR(VLOOKUP(B258,'Факт продаж'!S:X,6,0),"-")</f>
        <v>1.6566327066212554</v>
      </c>
      <c r="R258" s="44">
        <f>IF(AND(J258=0,P258&gt;0),5,IF(P258/J258&gt;5,5,IF(P258/J258=0,0.0000001,P258/J258)))</f>
        <v>2.2456384365343269</v>
      </c>
      <c r="S258" s="16">
        <f>IFERROR(VLOOKUP(B258,'Факт продаж'!AB:AD,2,0),"нет продаж")</f>
        <v>3</v>
      </c>
      <c r="T258" s="16">
        <f>IFERROR(VLOOKUP(B258,'Факт продаж'!AB:AD,3,0),"нет продаж")</f>
        <v>2460</v>
      </c>
      <c r="U258" s="16">
        <f>IFERROR(VLOOKUP(B258,'Факт продаж'!AB:AF,5,0),"нет продаж")</f>
        <v>1143.7945769726896</v>
      </c>
      <c r="V258" s="7">
        <f>IFERROR(VLOOKUP(B258,'Факт продаж'!AB:AD,3,0)/SUM('План Антонова'!$C$20:$C$22),0)</f>
        <v>1.5986795163181501E-5</v>
      </c>
      <c r="W258" s="44">
        <f>IFERROR(VLOOKUP(B258,'Факт продаж'!AB:AG,6,0),"-")</f>
        <v>-0.84358095034615144</v>
      </c>
      <c r="X258" s="44">
        <f>IF(AND(P258=0,V258&gt;0),5,IF(V258/P258&gt;5,5,IF(V258/P258=0,0.0000001,V258/P258)))</f>
        <v>0.15948937111800524</v>
      </c>
      <c r="Y258" s="44">
        <f>IFERROR(VLOOKUP(B258,'Факт продаж'!AB:AH,7,0),"-")</f>
        <v>1</v>
      </c>
      <c r="Z258" s="44">
        <f>IF(AND(F258=0,V258&gt;0),5,IF(V258/F258&gt;5,5,IF(V258/F258=0,0.0000001,V258/F258)))</f>
        <v>5</v>
      </c>
      <c r="AB258" s="10" t="str">
        <f>IFERROR(VLOOKUP(VALUE(IF(L258&lt;1,1,0)&amp;IF(J258&lt;'Факт продаж'!$M$24,0,1)),$AB$1:$AC$4,2,FALSE),"НЕТ ПРОДАЖ")</f>
        <v>Темная лошадка</v>
      </c>
      <c r="AC258" s="10" t="str">
        <f>IFERROR(VLOOKUP(VALUE(IF(R258&lt;1,1,0)&amp;IF(P258&lt;'Факт продаж'!$V$24,0,1)),$AB$1:$AC$4,2,FALSE),"НЕТ ПРОДАЖ")</f>
        <v>Темная лошадка</v>
      </c>
      <c r="AD258" s="10" t="str">
        <f>IFERROR(VLOOKUP(VALUE(IF(X258&lt;1,1,0)&amp;IF(V258&lt;'Факт продаж'!$AE$24,0,1)),$AB$1:$AC$4,2,FALSE),"НЕТ ПРОДАЖ")</f>
        <v>Собака</v>
      </c>
      <c r="AE258" s="18" t="str">
        <f>IFERROR(VLOOKUP(VALUE(IF(Z258&lt;1,1,0)&amp;IF(V258&lt;'Факт продаж'!$AE$24,0,1)),$AB$1:$AC$4,2,FALSE),"НЕТ ПРОДАЖ")</f>
        <v>Темная лошадка</v>
      </c>
      <c r="AF258" s="74" t="str">
        <f>VLOOKUP(B258,'ABC расчет'!B:G,6,0)</f>
        <v>C</v>
      </c>
      <c r="AG258" s="74" t="str">
        <f>VLOOKUP(B258,'ABC расчет'!K:P,6,0)</f>
        <v>C</v>
      </c>
      <c r="AH258" s="74" t="str">
        <f>VLOOKUP(B258,'ABC расчет'!T:Y,6,0)</f>
        <v>C</v>
      </c>
      <c r="AI258" s="74" t="str">
        <f>VLOOKUP(B258,'ABC расчет'!AC:AH,6,0)</f>
        <v>C</v>
      </c>
      <c r="AJ258" s="74"/>
      <c r="AK258" s="74"/>
      <c r="AL258" s="19"/>
    </row>
    <row r="259" spans="1:38" x14ac:dyDescent="0.3">
      <c r="A259" s="5" t="s">
        <v>388</v>
      </c>
      <c r="B259" s="21" t="s">
        <v>230</v>
      </c>
      <c r="C259" s="20" t="str">
        <f>IFERROR(VLOOKUP(B259,'Факт продаж'!A:B,2,0),"нет продаж")</f>
        <v>нет продаж</v>
      </c>
      <c r="D259" s="47" t="str">
        <f>IFERROR(VLOOKUP(B259,'Факт продаж'!A:C,3,0),"нет продаж")</f>
        <v>нет продаж</v>
      </c>
      <c r="E259" s="47" t="str">
        <f>IFERROR(VLOOKUP(B259,'Факт продаж'!A:E,5,0),"нет продаж")</f>
        <v>нет продаж</v>
      </c>
      <c r="F259" s="25">
        <f>IFERROR(VLOOKUP(B259,'Факт продаж'!A:C,3,0)/SUM('План Антонова'!$C$11:$C$13),0)</f>
        <v>0</v>
      </c>
      <c r="G259" s="5">
        <f>IFERROR(VLOOKUP(B259,'Факт продаж'!J:K,2,0),"нет продаж")</f>
        <v>2</v>
      </c>
      <c r="H259" s="48">
        <f>IFERROR(VLOOKUP(B259,'Факт продаж'!J:L,3,0),"нет продаж")</f>
        <v>19460</v>
      </c>
      <c r="I259" s="48">
        <f>IFERROR(VLOOKUP(B259,'Факт продаж'!J:N,5,0),"нет продаж")</f>
        <v>2690.2610062271842</v>
      </c>
      <c r="J259" s="7">
        <f>IFERROR(VLOOKUP(B259,'Факт продаж'!J:L,3,0)/SUM('План Антонова'!$C$14:$C$16),0)</f>
        <v>1.3436858009126896E-4</v>
      </c>
      <c r="K259" s="44">
        <f>IFERROR(VLOOKUP(B259,'Факт продаж'!J:O,6,0),"-")</f>
        <v>1</v>
      </c>
      <c r="L259" s="44">
        <f>IF(AND(F259=0,J259&gt;0),5,IF(J259/F259&gt;5,5,IF(J259/F259=0,0.0000001,J259/F259)))</f>
        <v>5</v>
      </c>
      <c r="M259" s="5">
        <f>IFERROR(VLOOKUP(B259,'Факт продаж'!S:T,2,0),"нет продаж")</f>
        <v>7</v>
      </c>
      <c r="N259" s="48">
        <f>IFERROR(VLOOKUP(B259,'Факт продаж'!S:U,3,0),"нет продаж")</f>
        <v>56202.5</v>
      </c>
      <c r="O259" s="48">
        <f>IFERROR(VLOOKUP(B259,'Факт продаж'!S:W,5,0),"нет продаж")</f>
        <v>30569.838223252424</v>
      </c>
      <c r="P259" s="7">
        <f>IFERROR(VLOOKUP(B259,'Факт продаж'!S:U,3,0)/SUM('План Антонова'!$C$17:$C$19),0)</f>
        <v>3.423322582774239E-4</v>
      </c>
      <c r="Q259" s="44">
        <f>IFERROR(VLOOKUP(B259,'Факт продаж'!S:X,6,0),"-")</f>
        <v>10.363149580093529</v>
      </c>
      <c r="R259" s="44">
        <f>IF(AND(J259=0,P259&gt;0),5,IF(P259/J259&gt;5,5,IF(P259/J259=0,0.0000001,P259/J259)))</f>
        <v>2.5477106183967786</v>
      </c>
      <c r="S259" s="16">
        <f>IFERROR(VLOOKUP(B259,'Факт продаж'!AB:AD,2,0),"нет продаж")</f>
        <v>3</v>
      </c>
      <c r="T259" s="16">
        <f>IFERROR(VLOOKUP(B259,'Факт продаж'!AB:AD,3,0),"нет продаж")</f>
        <v>1912.5</v>
      </c>
      <c r="U259" s="16">
        <f>IFERROR(VLOOKUP(B259,'Факт продаж'!AB:AF,5,0),"нет продаж")</f>
        <v>1122.2488271516872</v>
      </c>
      <c r="V259" s="7">
        <f>IFERROR(VLOOKUP(B259,'Факт продаж'!AB:AD,3,0)/SUM('План Антонова'!$C$20:$C$22),0)</f>
        <v>1.2428758434790496E-5</v>
      </c>
      <c r="W259" s="44">
        <f>IFERROR(VLOOKUP(B259,'Факт продаж'!AB:AG,6,0),"-")</f>
        <v>-0.96328901648232901</v>
      </c>
      <c r="X259" s="44">
        <f>IF(AND(P259=0,V259&gt;0),5,IF(V259/P259&gt;5,5,IF(V259/P259=0,0.0000001,V259/P259)))</f>
        <v>3.6306126969542871E-2</v>
      </c>
      <c r="Y259" s="44">
        <f>IFERROR(VLOOKUP(B259,'Факт продаж'!AB:AH,7,0),"-")</f>
        <v>1</v>
      </c>
      <c r="Z259" s="44">
        <f>IF(AND(F259=0,V259&gt;0),5,IF(V259/F259&gt;5,5,IF(V259/F259=0,0.0000001,V259/F259)))</f>
        <v>5</v>
      </c>
      <c r="AB259" s="10" t="str">
        <f>IFERROR(VLOOKUP(VALUE(IF(L259&lt;1,1,0)&amp;IF(J259&lt;'Факт продаж'!$M$24,0,1)),$AB$1:$AC$4,2,FALSE),"НЕТ ПРОДАЖ")</f>
        <v>Темная лошадка</v>
      </c>
      <c r="AC259" s="10" t="str">
        <f>IFERROR(VLOOKUP(VALUE(IF(R259&lt;1,1,0)&amp;IF(P259&lt;'Факт продаж'!$V$24,0,1)),$AB$1:$AC$4,2,FALSE),"НЕТ ПРОДАЖ")</f>
        <v>Темная лошадка</v>
      </c>
      <c r="AD259" s="10" t="str">
        <f>IFERROR(VLOOKUP(VALUE(IF(X259&lt;1,1,0)&amp;IF(V259&lt;'Факт продаж'!$AE$24,0,1)),$AB$1:$AC$4,2,FALSE),"НЕТ ПРОДАЖ")</f>
        <v>Собака</v>
      </c>
      <c r="AE259" s="18" t="str">
        <f>IFERROR(VLOOKUP(VALUE(IF(Z259&lt;1,1,0)&amp;IF(V259&lt;'Факт продаж'!$AE$24,0,1)),$AB$1:$AC$4,2,FALSE),"НЕТ ПРОДАЖ")</f>
        <v>Темная лошадка</v>
      </c>
      <c r="AF259" s="74" t="str">
        <f>VLOOKUP(B259,'ABC расчет'!B:G,6,0)</f>
        <v>C</v>
      </c>
      <c r="AG259" s="74" t="str">
        <f>VLOOKUP(B259,'ABC расчет'!K:P,6,0)</f>
        <v>C</v>
      </c>
      <c r="AH259" s="74" t="str">
        <f>VLOOKUP(B259,'ABC расчет'!T:Y,6,0)</f>
        <v>C</v>
      </c>
      <c r="AI259" s="74" t="str">
        <f>VLOOKUP(B259,'ABC расчет'!AC:AH,6,0)</f>
        <v>C</v>
      </c>
      <c r="AJ259" s="74"/>
      <c r="AK259" s="74"/>
      <c r="AL259" s="19"/>
    </row>
    <row r="260" spans="1:38" x14ac:dyDescent="0.3">
      <c r="A260" s="51" t="s">
        <v>255</v>
      </c>
      <c r="B260" s="21" t="s">
        <v>136</v>
      </c>
      <c r="C260" s="20" t="str">
        <f>IFERROR(VLOOKUP(B260,'Факт продаж'!A:B,2,0),"нет продаж")</f>
        <v>нет продаж</v>
      </c>
      <c r="D260" s="47" t="str">
        <f>IFERROR(VLOOKUP(B260,'Факт продаж'!A:C,3,0),"нет продаж")</f>
        <v>нет продаж</v>
      </c>
      <c r="E260" s="47" t="str">
        <f>IFERROR(VLOOKUP(B260,'Факт продаж'!A:E,5,0),"нет продаж")</f>
        <v>нет продаж</v>
      </c>
      <c r="F260" s="25">
        <f>IFERROR(VLOOKUP(B260,'Факт продаж'!A:C,3,0)/SUM('План Антонова'!$C$11:$C$13),0)</f>
        <v>0</v>
      </c>
      <c r="G260" s="5">
        <f>IFERROR(VLOOKUP(B260,'Факт продаж'!J:K,2,0),"нет продаж")</f>
        <v>17</v>
      </c>
      <c r="H260" s="48">
        <f>IFERROR(VLOOKUP(B260,'Факт продаж'!J:L,3,0),"нет продаж")</f>
        <v>31639.5</v>
      </c>
      <c r="I260" s="48">
        <f>IFERROR(VLOOKUP(B260,'Факт продаж'!J:N,5,0),"нет продаж")</f>
        <v>13747.330071624674</v>
      </c>
      <c r="J260" s="7">
        <f>IFERROR(VLOOKUP(B260,'Факт продаж'!J:L,3,0)/SUM('План Антонова'!$C$14:$C$16),0)</f>
        <v>2.1846632527223558E-4</v>
      </c>
      <c r="K260" s="44">
        <f>IFERROR(VLOOKUP(B260,'Факт продаж'!J:O,6,0),"-")</f>
        <v>1</v>
      </c>
      <c r="L260" s="44">
        <f>IF(AND(F260=0,J260&gt;0),5,IF(J260/F260&gt;5,5,IF(J260/F260=0,0.0000001,J260/F260)))</f>
        <v>5</v>
      </c>
      <c r="M260" s="5">
        <f>IFERROR(VLOOKUP(B260,'Факт продаж'!S:T,2,0),"нет продаж")</f>
        <v>9</v>
      </c>
      <c r="N260" s="48">
        <f>IFERROR(VLOOKUP(B260,'Факт продаж'!S:U,3,0),"нет продаж")</f>
        <v>12567.1</v>
      </c>
      <c r="O260" s="48">
        <f>IFERROR(VLOOKUP(B260,'Факт продаж'!S:W,5,0),"нет продаж")</f>
        <v>5629.5655211832709</v>
      </c>
      <c r="P260" s="7">
        <f>IFERROR(VLOOKUP(B260,'Факт продаж'!S:U,3,0)/SUM('План Антонова'!$C$17:$C$19),0)</f>
        <v>7.6546839072963205E-5</v>
      </c>
      <c r="Q260" s="44">
        <f>IFERROR(VLOOKUP(B260,'Факт продаж'!S:X,6,0),"-")</f>
        <v>-0.59049753720520348</v>
      </c>
      <c r="R260" s="44">
        <f>IF(AND(J260=0,P260&gt;0),5,IF(P260/J260&gt;5,5,IF(P260/J260=0,0.0000001,P260/J260)))</f>
        <v>0.35038278314782173</v>
      </c>
      <c r="S260" s="16">
        <f>IFERROR(VLOOKUP(B260,'Факт продаж'!AB:AD,2,0),"нет продаж")</f>
        <v>1</v>
      </c>
      <c r="T260" s="16">
        <f>IFERROR(VLOOKUP(B260,'Факт продаж'!AB:AD,3,0),"нет продаж")</f>
        <v>2105</v>
      </c>
      <c r="U260" s="16">
        <f>IFERROR(VLOOKUP(B260,'Факт продаж'!AB:AF,5,0),"нет продаж")</f>
        <v>970.50460794112655</v>
      </c>
      <c r="V260" s="7">
        <f>IFERROR(VLOOKUP(B260,'Факт продаж'!AB:AD,3,0)/SUM('План Антонова'!$C$20:$C$22),0)</f>
        <v>1.3679757649795552E-5</v>
      </c>
      <c r="W260" s="44">
        <f>IFERROR(VLOOKUP(B260,'Факт продаж'!AB:AG,6,0),"-")</f>
        <v>-0.82760577094462207</v>
      </c>
      <c r="X260" s="44">
        <f>IF(AND(P260=0,V260&gt;0),5,IF(V260/P260&gt;5,5,IF(V260/P260=0,0.0000001,V260/P260)))</f>
        <v>0.17871094111092201</v>
      </c>
      <c r="Y260" s="44">
        <f>IFERROR(VLOOKUP(B260,'Факт продаж'!AB:AH,7,0),"-")</f>
        <v>1</v>
      </c>
      <c r="Z260" s="44">
        <f>IF(AND(F260=0,V260&gt;0),5,IF(V260/F260&gt;5,5,IF(V260/F260=0,0.0000001,V260/F260)))</f>
        <v>5</v>
      </c>
      <c r="AB260" s="10" t="str">
        <f>IFERROR(VLOOKUP(VALUE(IF(L260&lt;1,1,0)&amp;IF(J260&lt;'Факт продаж'!$M$24,0,1)),$AB$1:$AC$4,2,FALSE),"НЕТ ПРОДАЖ")</f>
        <v>Темная лошадка</v>
      </c>
      <c r="AC260" s="10" t="str">
        <f>IFERROR(VLOOKUP(VALUE(IF(R260&lt;1,1,0)&amp;IF(P260&lt;'Факт продаж'!$V$24,0,1)),$AB$1:$AC$4,2,FALSE),"НЕТ ПРОДАЖ")</f>
        <v>Собака</v>
      </c>
      <c r="AD260" s="10" t="str">
        <f>IFERROR(VLOOKUP(VALUE(IF(X260&lt;1,1,0)&amp;IF(V260&lt;'Факт продаж'!$AE$24,0,1)),$AB$1:$AC$4,2,FALSE),"НЕТ ПРОДАЖ")</f>
        <v>Собака</v>
      </c>
      <c r="AE260" s="18" t="str">
        <f>IFERROR(VLOOKUP(VALUE(IF(Z260&lt;1,1,0)&amp;IF(V260&lt;'Факт продаж'!$AE$24,0,1)),$AB$1:$AC$4,2,FALSE),"НЕТ ПРОДАЖ")</f>
        <v>Темная лошадка</v>
      </c>
      <c r="AF260" s="74" t="str">
        <f>VLOOKUP(B260,'ABC расчет'!B:G,6,0)</f>
        <v>C</v>
      </c>
      <c r="AG260" s="74" t="str">
        <f>VLOOKUP(B260,'ABC расчет'!K:P,6,0)</f>
        <v>A</v>
      </c>
      <c r="AH260" s="74" t="str">
        <f>VLOOKUP(B260,'ABC расчет'!T:Y,6,0)</f>
        <v>A</v>
      </c>
      <c r="AI260" s="74" t="str">
        <f>VLOOKUP(B260,'ABC расчет'!AC:AH,6,0)</f>
        <v>C</v>
      </c>
      <c r="AJ260" s="74"/>
      <c r="AK260" s="74"/>
      <c r="AL260" s="19"/>
    </row>
    <row r="261" spans="1:38" x14ac:dyDescent="0.3">
      <c r="A261" s="51" t="s">
        <v>252</v>
      </c>
      <c r="B261" s="21" t="s">
        <v>62</v>
      </c>
      <c r="C261" s="20" t="str">
        <f>IFERROR(VLOOKUP(B261,'Факт продаж'!A:B,2,0),"нет продаж")</f>
        <v>нет продаж</v>
      </c>
      <c r="D261" s="47" t="str">
        <f>IFERROR(VLOOKUP(B261,'Факт продаж'!A:C,3,0),"нет продаж")</f>
        <v>нет продаж</v>
      </c>
      <c r="E261" s="47" t="str">
        <f>IFERROR(VLOOKUP(B261,'Факт продаж'!A:E,5,0),"нет продаж")</f>
        <v>нет продаж</v>
      </c>
      <c r="F261" s="25">
        <f>IFERROR(VLOOKUP(B261,'Факт продаж'!A:C,3,0)/SUM('План Антонова'!$C$11:$C$13),0)</f>
        <v>0</v>
      </c>
      <c r="G261" s="5">
        <f>IFERROR(VLOOKUP(B261,'Факт продаж'!J:K,2,0),"нет продаж")</f>
        <v>17</v>
      </c>
      <c r="H261" s="48">
        <f>IFERROR(VLOOKUP(B261,'Факт продаж'!J:L,3,0),"нет продаж")</f>
        <v>17326.599999999999</v>
      </c>
      <c r="I261" s="48">
        <f>IFERROR(VLOOKUP(B261,'Факт продаж'!J:N,5,0),"нет продаж")</f>
        <v>7053.7459266383748</v>
      </c>
      <c r="J261" s="7">
        <f>IFERROR(VLOOKUP(B261,'Факт продаж'!J:L,3,0)/SUM('План Антонова'!$C$14:$C$16),0)</f>
        <v>1.196377512748911E-4</v>
      </c>
      <c r="K261" s="44">
        <f>IFERROR(VLOOKUP(B261,'Факт продаж'!J:O,6,0),"-")</f>
        <v>1</v>
      </c>
      <c r="L261" s="44">
        <f>IF(AND(F261=0,J261&gt;0),5,IF(J261/F261&gt;5,5,IF(J261/F261=0,0.0000001,J261/F261)))</f>
        <v>5</v>
      </c>
      <c r="M261" s="5">
        <f>IFERROR(VLOOKUP(B261,'Факт продаж'!S:T,2,0),"нет продаж")</f>
        <v>37</v>
      </c>
      <c r="N261" s="48">
        <f>IFERROR(VLOOKUP(B261,'Факт продаж'!S:U,3,0),"нет продаж")</f>
        <v>38678.5</v>
      </c>
      <c r="O261" s="48">
        <f>IFERROR(VLOOKUP(B261,'Факт продаж'!S:W,5,0),"нет продаж")</f>
        <v>16191.196051540481</v>
      </c>
      <c r="P261" s="7">
        <f>IFERROR(VLOOKUP(B261,'Факт продаж'!S:U,3,0)/SUM('План Антонова'!$C$17:$C$19),0)</f>
        <v>2.3559269163797591E-4</v>
      </c>
      <c r="Q261" s="44">
        <f>IFERROR(VLOOKUP(B261,'Факт продаж'!S:X,6,0),"-")</f>
        <v>1.2954039201206058</v>
      </c>
      <c r="R261" s="44">
        <f>IF(AND(J261=0,P261&gt;0),5,IF(P261/J261&gt;5,5,IF(P261/J261=0,0.0000001,P261/J261)))</f>
        <v>1.9692169831632467</v>
      </c>
      <c r="S261" s="16">
        <f>IFERROR(VLOOKUP(B261,'Факт продаж'!AB:AD,2,0),"нет продаж")</f>
        <v>2</v>
      </c>
      <c r="T261" s="16">
        <f>IFERROR(VLOOKUP(B261,'Факт продаж'!AB:AD,3,0),"нет продаж")</f>
        <v>2133</v>
      </c>
      <c r="U261" s="16">
        <f>IFERROR(VLOOKUP(B261,'Факт продаж'!AB:AF,5,0),"нет продаж")</f>
        <v>915.92780211439401</v>
      </c>
      <c r="V261" s="7">
        <f>IFERROR(VLOOKUP(B261,'Факт продаж'!AB:AD,3,0)/SUM('План Антонова'!$C$20:$C$22),0)</f>
        <v>1.3861721171978106E-5</v>
      </c>
      <c r="W261" s="44">
        <f>IFERROR(VLOOKUP(B261,'Факт продаж'!AB:AG,6,0),"-")</f>
        <v>-0.94343050388626171</v>
      </c>
      <c r="X261" s="44">
        <f>IF(AND(P261=0,V261&gt;0),5,IF(V261/P261&gt;5,5,IF(V261/P261=0,0.0000001,V261/P261)))</f>
        <v>5.8837653560488007E-2</v>
      </c>
      <c r="Y261" s="44">
        <f>IFERROR(VLOOKUP(B261,'Факт продаж'!AB:AH,7,0),"-")</f>
        <v>1</v>
      </c>
      <c r="Z261" s="44">
        <f>IF(AND(F261=0,V261&gt;0),5,IF(V261/F261&gt;5,5,IF(V261/F261=0,0.0000001,V261/F261)))</f>
        <v>5</v>
      </c>
      <c r="AB261" s="10" t="str">
        <f>IFERROR(VLOOKUP(VALUE(IF(L261&lt;1,1,0)&amp;IF(J261&lt;'Факт продаж'!$M$24,0,1)),$AB$1:$AC$4,2,FALSE),"НЕТ ПРОДАЖ")</f>
        <v>Темная лошадка</v>
      </c>
      <c r="AC261" s="10" t="str">
        <f>IFERROR(VLOOKUP(VALUE(IF(R261&lt;1,1,0)&amp;IF(P261&lt;'Факт продаж'!$V$24,0,1)),$AB$1:$AC$4,2,FALSE),"НЕТ ПРОДАЖ")</f>
        <v>Темная лошадка</v>
      </c>
      <c r="AD261" s="10" t="str">
        <f>IFERROR(VLOOKUP(VALUE(IF(X261&lt;1,1,0)&amp;IF(V261&lt;'Факт продаж'!$AE$24,0,1)),$AB$1:$AC$4,2,FALSE),"НЕТ ПРОДАЖ")</f>
        <v>Собака</v>
      </c>
      <c r="AE261" s="18" t="str">
        <f>IFERROR(VLOOKUP(VALUE(IF(Z261&lt;1,1,0)&amp;IF(V261&lt;'Факт продаж'!$AE$24,0,1)),$AB$1:$AC$4,2,FALSE),"НЕТ ПРОДАЖ")</f>
        <v>Темная лошадка</v>
      </c>
      <c r="AF261" s="74" t="str">
        <f>VLOOKUP(B261,'ABC расчет'!B:G,6,0)</f>
        <v>C</v>
      </c>
      <c r="AG261" s="74" t="str">
        <f>VLOOKUP(B261,'ABC расчет'!K:P,6,0)</f>
        <v>C</v>
      </c>
      <c r="AH261" s="74" t="str">
        <f>VLOOKUP(B261,'ABC расчет'!T:Y,6,0)</f>
        <v>C</v>
      </c>
      <c r="AI261" s="74" t="str">
        <f>VLOOKUP(B261,'ABC расчет'!AC:AH,6,0)</f>
        <v>C</v>
      </c>
      <c r="AJ261" s="74"/>
      <c r="AK261" s="74"/>
      <c r="AL261" s="19"/>
    </row>
    <row r="262" spans="1:38" x14ac:dyDescent="0.3">
      <c r="A262" s="51" t="s">
        <v>250</v>
      </c>
      <c r="B262" s="21" t="s">
        <v>422</v>
      </c>
      <c r="C262" s="20" t="str">
        <f>IFERROR(VLOOKUP(B262,'Факт продаж'!A:B,2,0),"нет продаж")</f>
        <v>нет продаж</v>
      </c>
      <c r="D262" s="47" t="str">
        <f>IFERROR(VLOOKUP(B262,'Факт продаж'!A:C,3,0),"нет продаж")</f>
        <v>нет продаж</v>
      </c>
      <c r="E262" s="47" t="str">
        <f>IFERROR(VLOOKUP(B262,'Факт продаж'!A:E,5,0),"нет продаж")</f>
        <v>нет продаж</v>
      </c>
      <c r="F262" s="25">
        <f>IFERROR(VLOOKUP(B262,'Факт продаж'!A:C,3,0)/SUM('План Антонова'!$C$11:$C$13),0)</f>
        <v>0</v>
      </c>
      <c r="G262" s="5" t="str">
        <f>IFERROR(VLOOKUP(B262,'Факт продаж'!J:K,2,0),"нет продаж")</f>
        <v>нет продаж</v>
      </c>
      <c r="H262" s="48" t="str">
        <f>IFERROR(VLOOKUP(B262,'Факт продаж'!J:L,3,0),"нет продаж")</f>
        <v>нет продаж</v>
      </c>
      <c r="I262" s="48" t="str">
        <f>IFERROR(VLOOKUP(B262,'Факт продаж'!J:N,5,0),"нет продаж")</f>
        <v>нет продаж</v>
      </c>
      <c r="J262" s="7">
        <f>IFERROR(VLOOKUP(B262,'Факт продаж'!J:L,3,0)/SUM('План Антонова'!$C$14:$C$16),0)</f>
        <v>0</v>
      </c>
      <c r="K262" s="44" t="str">
        <f>IFERROR(VLOOKUP(B262,'Факт продаж'!J:O,6,0),"-")</f>
        <v>-</v>
      </c>
      <c r="L262" s="44" t="e">
        <f>IF(AND(F262=0,J262&gt;0),5,IF(J262/F262&gt;5,5,IF(J262/F262=0,0.0000001,J262/F262)))</f>
        <v>#DIV/0!</v>
      </c>
      <c r="M262" s="5" t="str">
        <f>IFERROR(VLOOKUP(B262,'Факт продаж'!S:T,2,0),"нет продаж")</f>
        <v>нет продаж</v>
      </c>
      <c r="N262" s="48" t="str">
        <f>IFERROR(VLOOKUP(B262,'Факт продаж'!S:U,3,0),"нет продаж")</f>
        <v>нет продаж</v>
      </c>
      <c r="O262" s="48" t="str">
        <f>IFERROR(VLOOKUP(B262,'Факт продаж'!S:W,5,0),"нет продаж")</f>
        <v>нет продаж</v>
      </c>
      <c r="P262" s="7">
        <f>IFERROR(VLOOKUP(B262,'Факт продаж'!S:U,3,0)/SUM('План Антонова'!$C$17:$C$19),0)</f>
        <v>0</v>
      </c>
      <c r="Q262" s="44" t="str">
        <f>IFERROR(VLOOKUP(B262,'Факт продаж'!S:X,6,0),"-")</f>
        <v>-</v>
      </c>
      <c r="R262" s="44" t="e">
        <f>IF(AND(J262=0,P262&gt;0),5,IF(P262/J262&gt;5,5,IF(P262/J262=0,0.0000001,P262/J262)))</f>
        <v>#DIV/0!</v>
      </c>
      <c r="S262" s="16">
        <f>IFERROR(VLOOKUP(B262,'Факт продаж'!AB:AD,2,0),"нет продаж")</f>
        <v>2</v>
      </c>
      <c r="T262" s="16">
        <f>IFERROR(VLOOKUP(B262,'Факт продаж'!AB:AD,3,0),"нет продаж")</f>
        <v>2472.6000000000004</v>
      </c>
      <c r="U262" s="16">
        <f>IFERROR(VLOOKUP(B262,'Факт продаж'!AB:AF,5,0),"нет продаж")</f>
        <v>833.77396788501426</v>
      </c>
      <c r="V262" s="7">
        <f>IFERROR(VLOOKUP(B262,'Факт продаж'!AB:AD,3,0)/SUM('План Антонова'!$C$20:$C$22),0)</f>
        <v>1.6068678748163654E-5</v>
      </c>
      <c r="W262" s="44">
        <f>IFERROR(VLOOKUP(B262,'Факт продаж'!AB:AG,6,0),"-")</f>
        <v>1</v>
      </c>
      <c r="X262" s="44">
        <f>IF(AND(P262=0,V262&gt;0),5,IF(V262/P262&gt;5,5,IF(V262/P262=0,0.0000001,V262/P262)))</f>
        <v>5</v>
      </c>
      <c r="Y262" s="44">
        <f>IFERROR(VLOOKUP(B262,'Факт продаж'!AB:AH,7,0),"-")</f>
        <v>1</v>
      </c>
      <c r="Z262" s="44">
        <f>IF(AND(F262=0,V262&gt;0),5,IF(V262/F262&gt;5,5,IF(V262/F262=0,0.0000001,V262/F262)))</f>
        <v>5</v>
      </c>
      <c r="AB262" s="10" t="str">
        <f>IFERROR(VLOOKUP(VALUE(IF(L262&lt;1,1,0)&amp;IF(J262&lt;'Факт продаж'!$M$24,0,1)),$AB$1:$AC$4,2,FALSE),"НЕТ ПРОДАЖ")</f>
        <v>НЕТ ПРОДАЖ</v>
      </c>
      <c r="AC262" s="10" t="str">
        <f>IFERROR(VLOOKUP(VALUE(IF(R262&lt;1,1,0)&amp;IF(P262&lt;'Факт продаж'!$V$24,0,1)),$AB$1:$AC$4,2,FALSE),"НЕТ ПРОДАЖ")</f>
        <v>НЕТ ПРОДАЖ</v>
      </c>
      <c r="AD262" s="10" t="str">
        <f>IFERROR(VLOOKUP(VALUE(IF(X262&lt;1,1,0)&amp;IF(V262&lt;'Факт продаж'!$AE$24,0,1)),$AB$1:$AC$4,2,FALSE),"НЕТ ПРОДАЖ")</f>
        <v>Темная лошадка</v>
      </c>
      <c r="AE262" s="18" t="str">
        <f>IFERROR(VLOOKUP(VALUE(IF(Z262&lt;1,1,0)&amp;IF(V262&lt;'Факт продаж'!$AE$24,0,1)),$AB$1:$AC$4,2,FALSE),"НЕТ ПРОДАЖ")</f>
        <v>Темная лошадка</v>
      </c>
      <c r="AF262" s="74" t="str">
        <f>VLOOKUP(B262,'ABC расчет'!B:G,6,0)</f>
        <v>C</v>
      </c>
      <c r="AG262" s="74" t="str">
        <f>VLOOKUP(B262,'ABC расчет'!K:P,6,0)</f>
        <v>C</v>
      </c>
      <c r="AH262" s="74" t="str">
        <f>VLOOKUP(B262,'ABC расчет'!T:Y,6,0)</f>
        <v>C</v>
      </c>
      <c r="AI262" s="74" t="str">
        <f>VLOOKUP(B262,'ABC расчет'!AC:AH,6,0)</f>
        <v>C</v>
      </c>
      <c r="AJ262" s="74"/>
      <c r="AK262" s="74"/>
      <c r="AL262" s="19"/>
    </row>
    <row r="263" spans="1:38" x14ac:dyDescent="0.3">
      <c r="A263" s="51" t="s">
        <v>247</v>
      </c>
      <c r="B263" s="21" t="s">
        <v>210</v>
      </c>
      <c r="C263" s="20" t="str">
        <f>IFERROR(VLOOKUP(B263,'Факт продаж'!A:B,2,0),"нет продаж")</f>
        <v>нет продаж</v>
      </c>
      <c r="D263" s="47" t="str">
        <f>IFERROR(VLOOKUP(B263,'Факт продаж'!A:C,3,0),"нет продаж")</f>
        <v>нет продаж</v>
      </c>
      <c r="E263" s="47" t="str">
        <f>IFERROR(VLOOKUP(B263,'Факт продаж'!A:E,5,0),"нет продаж")</f>
        <v>нет продаж</v>
      </c>
      <c r="F263" s="25">
        <f>IFERROR(VLOOKUP(B263,'Факт продаж'!A:C,3,0)/SUM('План Антонова'!$C$11:$C$13),0)</f>
        <v>0</v>
      </c>
      <c r="G263" s="5">
        <f>IFERROR(VLOOKUP(B263,'Факт продаж'!J:K,2,0),"нет продаж")</f>
        <v>5</v>
      </c>
      <c r="H263" s="48">
        <f>IFERROR(VLOOKUP(B263,'Факт продаж'!J:L,3,0),"нет продаж")</f>
        <v>4593.1000000000004</v>
      </c>
      <c r="I263" s="48">
        <f>IFERROR(VLOOKUP(B263,'Факт продаж'!J:N,5,0),"нет продаж")</f>
        <v>1756.3724475136341</v>
      </c>
      <c r="J263" s="7">
        <f>IFERROR(VLOOKUP(B263,'Факт продаж'!J:L,3,0)/SUM('План Антонова'!$C$14:$C$16),0)</f>
        <v>3.1714713526064108E-5</v>
      </c>
      <c r="K263" s="44">
        <f>IFERROR(VLOOKUP(B263,'Факт продаж'!J:O,6,0),"-")</f>
        <v>1</v>
      </c>
      <c r="L263" s="44">
        <f>IF(AND(F263=0,J263&gt;0),5,IF(J263/F263&gt;5,5,IF(J263/F263=0,0.0000001,J263/F263)))</f>
        <v>5</v>
      </c>
      <c r="M263" s="5">
        <f>IFERROR(VLOOKUP(B263,'Факт продаж'!S:T,2,0),"нет продаж")</f>
        <v>16</v>
      </c>
      <c r="N263" s="48">
        <f>IFERROR(VLOOKUP(B263,'Факт продаж'!S:U,3,0),"нет продаж")</f>
        <v>13350</v>
      </c>
      <c r="O263" s="48">
        <f>IFERROR(VLOOKUP(B263,'Факт продаж'!S:W,5,0),"нет продаж")</f>
        <v>2892.3281515732297</v>
      </c>
      <c r="P263" s="7">
        <f>IFERROR(VLOOKUP(B263,'Факт продаж'!S:U,3,0)/SUM('План Антонова'!$C$17:$C$19),0)</f>
        <v>8.1315522405651157E-5</v>
      </c>
      <c r="Q263" s="44">
        <f>IFERROR(VLOOKUP(B263,'Факт продаж'!S:X,6,0),"-")</f>
        <v>0.64676242539996776</v>
      </c>
      <c r="R263" s="44">
        <f>IF(AND(J263=0,P263&gt;0),5,IF(P263/J263&gt;5,5,IF(P263/J263=0,0.0000001,P263/J263)))</f>
        <v>2.5639683719300699</v>
      </c>
      <c r="S263" s="16">
        <f>IFERROR(VLOOKUP(B263,'Факт продаж'!AB:AD,2,0),"нет продаж")</f>
        <v>2</v>
      </c>
      <c r="T263" s="16">
        <f>IFERROR(VLOOKUP(B263,'Факт продаж'!AB:AD,3,0),"нет продаж")</f>
        <v>1832</v>
      </c>
      <c r="U263" s="16">
        <f>IFERROR(VLOOKUP(B263,'Факт продаж'!AB:AF,5,0),"нет продаж")</f>
        <v>680.36383195506448</v>
      </c>
      <c r="V263" s="7">
        <f>IFERROR(VLOOKUP(B263,'Факт продаж'!AB:AD,3,0)/SUM('План Антонова'!$C$20:$C$22),0)</f>
        <v>1.1905613308515655E-5</v>
      </c>
      <c r="W263" s="44">
        <f>IFERROR(VLOOKUP(B263,'Факт продаж'!AB:AG,6,0),"-")</f>
        <v>-0.76476948800398292</v>
      </c>
      <c r="X263" s="44">
        <f>IF(AND(P263=0,V263&gt;0),5,IF(V263/P263&gt;5,5,IF(V263/P263=0,0.0000001,V263/P263)))</f>
        <v>0.14641255391711355</v>
      </c>
      <c r="Y263" s="44">
        <f>IFERROR(VLOOKUP(B263,'Факт продаж'!AB:AH,7,0),"-")</f>
        <v>1</v>
      </c>
      <c r="Z263" s="44">
        <f>IF(AND(F263=0,V263&gt;0),5,IF(V263/F263&gt;5,5,IF(V263/F263=0,0.0000001,V263/F263)))</f>
        <v>5</v>
      </c>
      <c r="AB263" s="10" t="str">
        <f>IFERROR(VLOOKUP(VALUE(IF(L263&lt;1,1,0)&amp;IF(J263&lt;'Факт продаж'!$M$24,0,1)),$AB$1:$AC$4,2,FALSE),"НЕТ ПРОДАЖ")</f>
        <v>Темная лошадка</v>
      </c>
      <c r="AC263" s="10" t="str">
        <f>IFERROR(VLOOKUP(VALUE(IF(R263&lt;1,1,0)&amp;IF(P263&lt;'Факт продаж'!$V$24,0,1)),$AB$1:$AC$4,2,FALSE),"НЕТ ПРОДАЖ")</f>
        <v>Темная лошадка</v>
      </c>
      <c r="AD263" s="10" t="str">
        <f>IFERROR(VLOOKUP(VALUE(IF(X263&lt;1,1,0)&amp;IF(V263&lt;'Факт продаж'!$AE$24,0,1)),$AB$1:$AC$4,2,FALSE),"НЕТ ПРОДАЖ")</f>
        <v>Собака</v>
      </c>
      <c r="AE263" s="18" t="str">
        <f>IFERROR(VLOOKUP(VALUE(IF(Z263&lt;1,1,0)&amp;IF(V263&lt;'Факт продаж'!$AE$24,0,1)),$AB$1:$AC$4,2,FALSE),"НЕТ ПРОДАЖ")</f>
        <v>Темная лошадка</v>
      </c>
      <c r="AF263" s="74" t="str">
        <f>VLOOKUP(B263,'ABC расчет'!B:G,6,0)</f>
        <v>C</v>
      </c>
      <c r="AG263" s="74" t="str">
        <f>VLOOKUP(B263,'ABC расчет'!K:P,6,0)</f>
        <v>C</v>
      </c>
      <c r="AH263" s="74" t="str">
        <f>VLOOKUP(B263,'ABC расчет'!T:Y,6,0)</f>
        <v>C</v>
      </c>
      <c r="AI263" s="74" t="str">
        <f>VLOOKUP(B263,'ABC расчет'!AC:AH,6,0)</f>
        <v>C</v>
      </c>
      <c r="AJ263" s="74"/>
      <c r="AK263" s="74"/>
      <c r="AL263" s="19" t="s">
        <v>455</v>
      </c>
    </row>
    <row r="264" spans="1:38" x14ac:dyDescent="0.3">
      <c r="A264" s="51" t="s">
        <v>247</v>
      </c>
      <c r="B264" s="21" t="s">
        <v>316</v>
      </c>
      <c r="C264" s="20" t="str">
        <f>IFERROR(VLOOKUP(B264,'Факт продаж'!A:B,2,0),"нет продаж")</f>
        <v>нет продаж</v>
      </c>
      <c r="D264" s="47" t="str">
        <f>IFERROR(VLOOKUP(B264,'Факт продаж'!A:C,3,0),"нет продаж")</f>
        <v>нет продаж</v>
      </c>
      <c r="E264" s="47" t="str">
        <f>IFERROR(VLOOKUP(B264,'Факт продаж'!A:E,5,0),"нет продаж")</f>
        <v>нет продаж</v>
      </c>
      <c r="F264" s="25">
        <f>IFERROR(VLOOKUP(B264,'Факт продаж'!A:C,3,0)/SUM('План Антонова'!$C$11:$C$13),0)</f>
        <v>0</v>
      </c>
      <c r="G264" s="5">
        <f>IFERROR(VLOOKUP(B264,'Факт продаж'!J:K,2,0),"нет продаж")</f>
        <v>22</v>
      </c>
      <c r="H264" s="48">
        <f>IFERROR(VLOOKUP(B264,'Факт продаж'!J:L,3,0),"нет продаж")</f>
        <v>13318</v>
      </c>
      <c r="I264" s="48">
        <f>IFERROR(VLOOKUP(B264,'Факт продаж'!J:N,5,0),"нет продаж")</f>
        <v>5710.5660290111646</v>
      </c>
      <c r="J264" s="7">
        <f>IFERROR(VLOOKUP(B264,'Факт продаж'!J:L,3,0)/SUM('План Антонова'!$C$14:$C$16),0)</f>
        <v>9.1958928553726628E-5</v>
      </c>
      <c r="K264" s="44">
        <f>IFERROR(VLOOKUP(B264,'Факт продаж'!J:O,6,0),"-")</f>
        <v>1</v>
      </c>
      <c r="L264" s="44">
        <f>IF(AND(F264=0,J264&gt;0),5,IF(J264/F264&gt;5,5,IF(J264/F264=0,0.0000001,J264/F264)))</f>
        <v>5</v>
      </c>
      <c r="M264" s="5">
        <f>IFERROR(VLOOKUP(B264,'Факт продаж'!S:T,2,0),"нет продаж")</f>
        <v>128</v>
      </c>
      <c r="N264" s="48">
        <f>IFERROR(VLOOKUP(B264,'Факт продаж'!S:U,3,0),"нет продаж")</f>
        <v>74234</v>
      </c>
      <c r="O264" s="48">
        <f>IFERROR(VLOOKUP(B264,'Факт продаж'!S:W,5,0),"нет продаж")</f>
        <v>4638.464680162384</v>
      </c>
      <c r="P264" s="7">
        <f>IFERROR(VLOOKUP(B264,'Факт продаж'!S:U,3,0)/SUM('План Антонова'!$C$17:$C$19),0)</f>
        <v>4.5216303297836017E-4</v>
      </c>
      <c r="Q264" s="44">
        <f>IFERROR(VLOOKUP(B264,'Факт продаж'!S:X,6,0),"-")</f>
        <v>-0.18773994441220476</v>
      </c>
      <c r="R264" s="44">
        <f>IF(AND(J264=0,P264&gt;0),5,IF(P264/J264&gt;5,5,IF(P264/J264=0,0.0000001,P264/J264)))</f>
        <v>4.9170106708473202</v>
      </c>
      <c r="S264" s="16">
        <f>IFERROR(VLOOKUP(B264,'Факт продаж'!AB:AD,2,0),"нет продаж")</f>
        <v>8</v>
      </c>
      <c r="T264" s="16">
        <f>IFERROR(VLOOKUP(B264,'Факт продаж'!AB:AD,3,0),"нет продаж")</f>
        <v>4752</v>
      </c>
      <c r="U264" s="16">
        <f>IFERROR(VLOOKUP(B264,'Факт продаж'!AB:AF,5,0),"нет продаж")</f>
        <v>595.23386049252792</v>
      </c>
      <c r="V264" s="7">
        <f>IFERROR(VLOOKUP(B264,'Факт продаж'!AB:AD,3,0)/SUM('План Антонова'!$C$20:$C$22),0)</f>
        <v>3.0881809193267681E-5</v>
      </c>
      <c r="W264" s="44">
        <f>IFERROR(VLOOKUP(B264,'Факт продаж'!AB:AG,6,0),"-")</f>
        <v>-0.87167437901635814</v>
      </c>
      <c r="X264" s="44">
        <f>IF(AND(P264=0,V264&gt;0),5,IF(V264/P264&gt;5,5,IF(V264/P264=0,0.0000001,V264/P264)))</f>
        <v>6.8297952156441855E-2</v>
      </c>
      <c r="Y264" s="44">
        <f>IFERROR(VLOOKUP(B264,'Факт продаж'!AB:AH,7,0),"-")</f>
        <v>1</v>
      </c>
      <c r="Z264" s="44">
        <f>IF(AND(F264=0,V264&gt;0),5,IF(V264/F264&gt;5,5,IF(V264/F264=0,0.0000001,V264/F264)))</f>
        <v>5</v>
      </c>
      <c r="AB264" s="10" t="str">
        <f>IFERROR(VLOOKUP(VALUE(IF(L264&lt;1,1,0)&amp;IF(J264&lt;'Факт продаж'!$M$24,0,1)),$AB$1:$AC$4,2,FALSE),"НЕТ ПРОДАЖ")</f>
        <v>Темная лошадка</v>
      </c>
      <c r="AC264" s="10" t="str">
        <f>IFERROR(VLOOKUP(VALUE(IF(R264&lt;1,1,0)&amp;IF(P264&lt;'Факт продаж'!$V$24,0,1)),$AB$1:$AC$4,2,FALSE),"НЕТ ПРОДАЖ")</f>
        <v>Темная лошадка</v>
      </c>
      <c r="AD264" s="10" t="str">
        <f>IFERROR(VLOOKUP(VALUE(IF(X264&lt;1,1,0)&amp;IF(V264&lt;'Факт продаж'!$AE$24,0,1)),$AB$1:$AC$4,2,FALSE),"НЕТ ПРОДАЖ")</f>
        <v>Собака</v>
      </c>
      <c r="AE264" s="18" t="str">
        <f>IFERROR(VLOOKUP(VALUE(IF(Z264&lt;1,1,0)&amp;IF(V264&lt;'Факт продаж'!$AE$24,0,1)),$AB$1:$AC$4,2,FALSE),"НЕТ ПРОДАЖ")</f>
        <v>Темная лошадка</v>
      </c>
      <c r="AF264" s="74" t="str">
        <f>VLOOKUP(B264,'ABC расчет'!B:G,6,0)</f>
        <v>C</v>
      </c>
      <c r="AG264" s="74" t="str">
        <f>VLOOKUP(B264,'ABC расчет'!K:P,6,0)</f>
        <v>C</v>
      </c>
      <c r="AH264" s="74" t="str">
        <f>VLOOKUP(B264,'ABC расчет'!T:Y,6,0)</f>
        <v>A</v>
      </c>
      <c r="AI264" s="74" t="str">
        <f>VLOOKUP(B264,'ABC расчет'!AC:AH,6,0)</f>
        <v>C</v>
      </c>
      <c r="AJ264" s="74"/>
      <c r="AK264" s="74"/>
      <c r="AL264" s="19" t="s">
        <v>455</v>
      </c>
    </row>
    <row r="265" spans="1:38" x14ac:dyDescent="0.3">
      <c r="A265" s="51" t="s">
        <v>260</v>
      </c>
      <c r="B265" s="20" t="s">
        <v>275</v>
      </c>
      <c r="C265" s="20" t="str">
        <f>IFERROR(VLOOKUP(B265,'Факт продаж'!A:B,2,0),"нет продаж")</f>
        <v>нет продаж</v>
      </c>
      <c r="D265" s="47" t="str">
        <f>IFERROR(VLOOKUP(B265,'Факт продаж'!A:C,3,0),"нет продаж")</f>
        <v>нет продаж</v>
      </c>
      <c r="E265" s="47" t="str">
        <f>IFERROR(VLOOKUP(B265,'Факт продаж'!A:E,5,0),"нет продаж")</f>
        <v>нет продаж</v>
      </c>
      <c r="F265" s="25">
        <f>IFERROR(VLOOKUP(B265,'Факт продаж'!A:C,3,0)/SUM('План Антонова'!$C$11:$C$13),0)</f>
        <v>0</v>
      </c>
      <c r="G265" s="5" t="str">
        <f>IFERROR(VLOOKUP(B265,'Факт продаж'!J:K,2,0),"нет продаж")</f>
        <v>нет продаж</v>
      </c>
      <c r="H265" s="48" t="str">
        <f>IFERROR(VLOOKUP(B265,'Факт продаж'!J:L,3,0),"нет продаж")</f>
        <v>нет продаж</v>
      </c>
      <c r="I265" s="48" t="str">
        <f>IFERROR(VLOOKUP(B265,'Факт продаж'!J:N,5,0),"нет продаж")</f>
        <v>нет продаж</v>
      </c>
      <c r="J265" s="7">
        <f>IFERROR(VLOOKUP(B265,'Факт продаж'!J:L,3,0)/SUM('План Антонова'!$C$14:$C$16),0)</f>
        <v>0</v>
      </c>
      <c r="K265" s="44" t="str">
        <f>IFERROR(VLOOKUP(B265,'Факт продаж'!J:O,6,0),"-")</f>
        <v>-</v>
      </c>
      <c r="L265" s="44" t="e">
        <f>IF(AND(F265=0,J265&gt;0),5,IF(J265/F265&gt;5,5,IF(J265/F265=0,0.0000001,J265/F265)))</f>
        <v>#DIV/0!</v>
      </c>
      <c r="M265" s="5" t="str">
        <f>IFERROR(VLOOKUP(B265,'Факт продаж'!S:T,2,0),"нет продаж")</f>
        <v>нет продаж</v>
      </c>
      <c r="N265" s="48" t="str">
        <f>IFERROR(VLOOKUP(B265,'Факт продаж'!S:U,3,0),"нет продаж")</f>
        <v>нет продаж</v>
      </c>
      <c r="O265" s="48" t="str">
        <f>IFERROR(VLOOKUP(B265,'Факт продаж'!S:W,5,0),"нет продаж")</f>
        <v>нет продаж</v>
      </c>
      <c r="P265" s="7">
        <f>IFERROR(VLOOKUP(B265,'Факт продаж'!S:U,3,0)/SUM('План Антонова'!$C$17:$C$19),0)</f>
        <v>0</v>
      </c>
      <c r="Q265" s="44" t="str">
        <f>IFERROR(VLOOKUP(B265,'Факт продаж'!S:X,6,0),"-")</f>
        <v>-</v>
      </c>
      <c r="R265" s="44" t="e">
        <f>IF(AND(J265=0,P265&gt;0),5,IF(P265/J265&gt;5,5,IF(P265/J265=0,0.0000001,P265/J265)))</f>
        <v>#DIV/0!</v>
      </c>
      <c r="S265" s="16">
        <f>IFERROR(VLOOKUP(B265,'Факт продаж'!AB:AD,2,0),"нет продаж")</f>
        <v>1</v>
      </c>
      <c r="T265" s="16">
        <f>IFERROR(VLOOKUP(B265,'Факт продаж'!AB:AD,3,0),"нет продаж")</f>
        <v>1055</v>
      </c>
      <c r="U265" s="16">
        <f>IFERROR(VLOOKUP(B265,'Факт продаж'!AB:AF,5,0),"нет продаж")</f>
        <v>373.54653519573361</v>
      </c>
      <c r="V265" s="7">
        <f>IFERROR(VLOOKUP(B265,'Факт продаж'!AB:AD,3,0)/SUM('План Антонова'!$C$20:$C$22),0)</f>
        <v>6.8561255679497903E-6</v>
      </c>
      <c r="W265" s="44">
        <f>IFERROR(VLOOKUP(B265,'Факт продаж'!AB:AG,6,0),"-")</f>
        <v>1</v>
      </c>
      <c r="X265" s="44">
        <f>IF(AND(P265=0,V265&gt;0),5,IF(V265/P265&gt;5,5,IF(V265/P265=0,0.0000001,V265/P265)))</f>
        <v>5</v>
      </c>
      <c r="Y265" s="44">
        <f>IFERROR(VLOOKUP(B265,'Факт продаж'!AB:AH,7,0),"-")</f>
        <v>1</v>
      </c>
      <c r="Z265" s="44">
        <f>IF(AND(F265=0,V265&gt;0),5,IF(V265/F265&gt;5,5,IF(V265/F265=0,0.0000001,V265/F265)))</f>
        <v>5</v>
      </c>
      <c r="AB265" s="10" t="str">
        <f>IFERROR(VLOOKUP(VALUE(IF(L265&lt;1,1,0)&amp;IF(J265&lt;'Факт продаж'!$M$24,0,1)),$AB$1:$AC$4,2,FALSE),"НЕТ ПРОДАЖ")</f>
        <v>НЕТ ПРОДАЖ</v>
      </c>
      <c r="AC265" s="10" t="str">
        <f>IFERROR(VLOOKUP(VALUE(IF(R265&lt;1,1,0)&amp;IF(P265&lt;'Факт продаж'!$V$24,0,1)),$AB$1:$AC$4,2,FALSE),"НЕТ ПРОДАЖ")</f>
        <v>НЕТ ПРОДАЖ</v>
      </c>
      <c r="AD265" s="10" t="str">
        <f>IFERROR(VLOOKUP(VALUE(IF(X265&lt;1,1,0)&amp;IF(V265&lt;'Факт продаж'!$AE$24,0,1)),$AB$1:$AC$4,2,FALSE),"НЕТ ПРОДАЖ")</f>
        <v>Темная лошадка</v>
      </c>
      <c r="AE265" s="18" t="str">
        <f>IFERROR(VLOOKUP(VALUE(IF(Z265&lt;1,1,0)&amp;IF(V265&lt;'Факт продаж'!$AE$24,0,1)),$AB$1:$AC$4,2,FALSE),"НЕТ ПРОДАЖ")</f>
        <v>Темная лошадка</v>
      </c>
      <c r="AF265" s="74" t="str">
        <f>VLOOKUP(B265,'ABC расчет'!B:G,6,0)</f>
        <v>C</v>
      </c>
      <c r="AG265" s="74" t="str">
        <f>VLOOKUP(B265,'ABC расчет'!K:P,6,0)</f>
        <v>C</v>
      </c>
      <c r="AH265" s="74" t="str">
        <f>VLOOKUP(B265,'ABC расчет'!T:Y,6,0)</f>
        <v>C</v>
      </c>
      <c r="AI265" s="74" t="str">
        <f>VLOOKUP(B265,'ABC расчет'!AC:AH,6,0)</f>
        <v>C</v>
      </c>
      <c r="AJ265" s="74"/>
      <c r="AK265" s="74"/>
      <c r="AL265" s="5"/>
    </row>
  </sheetData>
  <autoFilter ref="A6:AQ265">
    <sortState ref="A8:AN265">
      <sortCondition descending="1" ref="U6:U265"/>
    </sortState>
  </autoFilter>
  <sortState ref="A8:C307">
    <sortCondition ref="A7:A307"/>
  </sortState>
  <mergeCells count="29">
    <mergeCell ref="A5:A6"/>
    <mergeCell ref="F5:F6"/>
    <mergeCell ref="J5:J6"/>
    <mergeCell ref="P5:P6"/>
    <mergeCell ref="C5:C6"/>
    <mergeCell ref="G5:G6"/>
    <mergeCell ref="M5:M6"/>
    <mergeCell ref="K5:K6"/>
    <mergeCell ref="L5:L6"/>
    <mergeCell ref="D5:D6"/>
    <mergeCell ref="H5:H6"/>
    <mergeCell ref="B5:B6"/>
    <mergeCell ref="N5:N6"/>
    <mergeCell ref="E5:E6"/>
    <mergeCell ref="I5:I6"/>
    <mergeCell ref="O5:O6"/>
    <mergeCell ref="Q5:Q6"/>
    <mergeCell ref="R5:R6"/>
    <mergeCell ref="AL5:AL6"/>
    <mergeCell ref="Y5:Y6"/>
    <mergeCell ref="Z5:Z6"/>
    <mergeCell ref="AF5:AI5"/>
    <mergeCell ref="V5:V6"/>
    <mergeCell ref="S5:S6"/>
    <mergeCell ref="W5:W6"/>
    <mergeCell ref="AB5:AE5"/>
    <mergeCell ref="T5:T6"/>
    <mergeCell ref="U5:U6"/>
    <mergeCell ref="X5:X6"/>
  </mergeCells>
  <conditionalFormatting sqref="AB7:AE265">
    <cfRule type="cellIs" dxfId="74" priority="724" operator="equal">
      <formula>"НЕТ ПРОДАЖ"</formula>
    </cfRule>
    <cfRule type="cellIs" dxfId="73" priority="725" operator="equal">
      <formula>"Корова"</formula>
    </cfRule>
    <cfRule type="cellIs" dxfId="72" priority="726" operator="equal">
      <formula>"Звезда"</formula>
    </cfRule>
    <cfRule type="cellIs" dxfId="71" priority="727" operator="equal">
      <formula>"Темная лошадка"</formula>
    </cfRule>
    <cfRule type="cellIs" dxfId="70" priority="728" operator="equal">
      <formula>"Собака"</formula>
    </cfRule>
  </conditionalFormatting>
  <conditionalFormatting sqref="AF7:AK265">
    <cfRule type="containsText" dxfId="69" priority="1" operator="containsText" text="A">
      <formula>NOT(ISERROR(SEARCH("A",AF7)))</formula>
    </cfRule>
    <cfRule type="containsText" dxfId="68" priority="2" operator="containsText" text="B">
      <formula>NOT(ISERROR(SEARCH("B",AF7)))</formula>
    </cfRule>
    <cfRule type="containsText" dxfId="67" priority="3" operator="containsText" text="C">
      <formula>NOT(ISERROR(SEARCH("C",AF7)))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9"/>
  <sheetViews>
    <sheetView zoomScale="90" zoomScaleNormal="90" workbookViewId="0">
      <selection activeCell="X66" sqref="X66"/>
    </sheetView>
  </sheetViews>
  <sheetFormatPr defaultRowHeight="14.4" x14ac:dyDescent="0.3"/>
  <cols>
    <col min="1" max="1" width="32.6640625" customWidth="1"/>
    <col min="2" max="2" width="16.6640625" customWidth="1"/>
    <col min="3" max="3" width="16.109375" customWidth="1"/>
    <col min="4" max="4" width="14.109375" customWidth="1"/>
    <col min="5" max="5" width="11.109375" style="6" customWidth="1"/>
    <col min="6" max="6" width="9.109375" style="6"/>
    <col min="7" max="7" width="13.109375" customWidth="1"/>
    <col min="10" max="10" width="26.88671875" customWidth="1"/>
    <col min="11" max="11" width="16.88671875" customWidth="1"/>
    <col min="12" max="12" width="13.44140625" customWidth="1"/>
    <col min="13" max="13" width="15" style="67" bestFit="1" customWidth="1"/>
    <col min="14" max="14" width="13" style="6" customWidth="1"/>
    <col min="15" max="15" width="9.109375" style="6"/>
    <col min="16" max="16" width="10.44140625" customWidth="1"/>
    <col min="21" max="21" width="11.109375" style="45" bestFit="1" customWidth="1"/>
    <col min="22" max="22" width="15" style="67" bestFit="1" customWidth="1"/>
    <col min="23" max="24" width="9.109375" style="6"/>
    <col min="30" max="30" width="12.109375" customWidth="1"/>
    <col min="31" max="31" width="16.44140625" style="67" customWidth="1"/>
    <col min="32" max="33" width="9.109375" style="6"/>
  </cols>
  <sheetData>
    <row r="1" spans="1:34" s="4" customFormat="1" ht="72" x14ac:dyDescent="0.3">
      <c r="A1" s="59" t="s">
        <v>115</v>
      </c>
      <c r="B1" s="59" t="s">
        <v>356</v>
      </c>
      <c r="C1" s="57" t="s">
        <v>423</v>
      </c>
      <c r="D1" s="58" t="s">
        <v>424</v>
      </c>
      <c r="E1" s="73" t="s">
        <v>370</v>
      </c>
      <c r="F1" s="73" t="s">
        <v>371</v>
      </c>
      <c r="G1" s="61" t="s">
        <v>450</v>
      </c>
      <c r="J1" s="59" t="s">
        <v>115</v>
      </c>
      <c r="K1" s="59" t="s">
        <v>356</v>
      </c>
      <c r="L1" s="60" t="s">
        <v>427</v>
      </c>
      <c r="M1" s="69" t="s">
        <v>428</v>
      </c>
      <c r="N1" s="73" t="s">
        <v>370</v>
      </c>
      <c r="O1" s="73" t="s">
        <v>371</v>
      </c>
      <c r="P1" s="61" t="s">
        <v>372</v>
      </c>
      <c r="S1" s="59" t="s">
        <v>115</v>
      </c>
      <c r="T1" s="71" t="s">
        <v>356</v>
      </c>
      <c r="U1" s="68" t="s">
        <v>433</v>
      </c>
      <c r="V1" s="66" t="s">
        <v>434</v>
      </c>
      <c r="W1" s="73" t="s">
        <v>370</v>
      </c>
      <c r="X1" s="73" t="s">
        <v>371</v>
      </c>
      <c r="Y1" s="61" t="s">
        <v>373</v>
      </c>
      <c r="AB1" s="59" t="s">
        <v>115</v>
      </c>
      <c r="AC1" s="71" t="s">
        <v>356</v>
      </c>
      <c r="AD1" s="56" t="s">
        <v>439</v>
      </c>
      <c r="AE1" s="72" t="s">
        <v>440</v>
      </c>
      <c r="AF1" s="73" t="s">
        <v>370</v>
      </c>
      <c r="AG1" s="73" t="s">
        <v>371</v>
      </c>
      <c r="AH1" s="61" t="s">
        <v>374</v>
      </c>
    </row>
    <row r="2" spans="1:34" x14ac:dyDescent="0.3">
      <c r="A2" s="51" t="s">
        <v>246</v>
      </c>
      <c r="B2" s="21" t="s">
        <v>106</v>
      </c>
      <c r="C2" s="20">
        <v>270</v>
      </c>
      <c r="D2" s="47">
        <v>326781.973</v>
      </c>
      <c r="E2" s="44">
        <f>IFERROR(D2/SUMIF(A:A,A2,D:D),0)</f>
        <v>0.70604642058789513</v>
      </c>
      <c r="F2" s="44">
        <f>IF(A2=A1,E2+F1,E2)</f>
        <v>0.70604642058789513</v>
      </c>
      <c r="G2" s="5" t="str">
        <f>IF(A2&lt;&gt;A1,"A",IF(F2&lt;0.8,"A",IF(F2&lt;0.95,"B","C")))</f>
        <v>A</v>
      </c>
      <c r="J2" s="51" t="s">
        <v>246</v>
      </c>
      <c r="K2" s="62" t="s">
        <v>106</v>
      </c>
      <c r="L2" s="5">
        <v>222</v>
      </c>
      <c r="M2" s="70">
        <v>299870.4499999999</v>
      </c>
      <c r="N2" s="44">
        <f>IFERROR(M2/SUMIF(J:J,J2,M:M),0)</f>
        <v>0.47703446854014331</v>
      </c>
      <c r="O2" s="44">
        <f>IF(J2=J1,N2+O1,N2)</f>
        <v>0.47703446854014331</v>
      </c>
      <c r="P2" s="5" t="str">
        <f>IF(J2&lt;&gt;J1,"A",IF(O2&lt;0.8,"A",IF(O2&lt;0.95,"B","C")))</f>
        <v>A</v>
      </c>
      <c r="S2" s="51" t="s">
        <v>246</v>
      </c>
      <c r="T2" s="62" t="s">
        <v>106</v>
      </c>
      <c r="U2" s="48">
        <v>374</v>
      </c>
      <c r="V2" s="70">
        <v>568407.56999999983</v>
      </c>
      <c r="W2" s="44">
        <f>IFERROR(V2/SUMIF(S:S,S2,V:V),0)</f>
        <v>0.63292660842698489</v>
      </c>
      <c r="X2" s="44">
        <f>IF(S2=S1,W2+X1,W2)</f>
        <v>0.63292660842698489</v>
      </c>
      <c r="Y2" s="5" t="str">
        <f>IF(S2&lt;&gt;S1,"A",IF(X2&lt;0.8,"A",IF(X2&lt;0.95,"B","C")))</f>
        <v>A</v>
      </c>
      <c r="AB2" s="51" t="s">
        <v>246</v>
      </c>
      <c r="AC2" s="62" t="s">
        <v>106</v>
      </c>
      <c r="AD2" s="5">
        <v>873</v>
      </c>
      <c r="AE2" s="70">
        <v>1392798.6000999999</v>
      </c>
      <c r="AF2" s="44">
        <f>IFERROR(AE2/SUMIF(AB:AB,AB2,AE:AE),0)</f>
        <v>0.74912372526279702</v>
      </c>
      <c r="AG2" s="44">
        <f>IF(AB2=AB1,AF2+AG1,AF2)</f>
        <v>0.74912372526279702</v>
      </c>
      <c r="AH2" s="5" t="str">
        <f>IF(AB2&lt;&gt;AB1,"A",IF(AG2&lt;0.8,"A",IF(AG2&lt;0.95,"B","C")))</f>
        <v>A</v>
      </c>
    </row>
    <row r="3" spans="1:34" x14ac:dyDescent="0.3">
      <c r="A3" t="s">
        <v>246</v>
      </c>
      <c r="B3" t="s">
        <v>104</v>
      </c>
      <c r="C3">
        <v>67</v>
      </c>
      <c r="D3">
        <v>66495.336800000005</v>
      </c>
      <c r="E3" s="44">
        <f t="shared" ref="E3:E66" si="0">IFERROR(D3/SUMIF(A:A,A3,D:D),0)</f>
        <v>0.14367008713000992</v>
      </c>
      <c r="F3" s="44">
        <f t="shared" ref="F3:F66" si="1">IF(A3=A2,E3+F2,E3)</f>
        <v>0.84971650771790508</v>
      </c>
      <c r="G3" s="5" t="str">
        <f t="shared" ref="G3:G66" si="2">IF(A3&lt;&gt;A2,"A",IF(F3&lt;0.8,"A",IF(F3&lt;0.95,"B","C")))</f>
        <v>B</v>
      </c>
      <c r="J3" s="51" t="s">
        <v>246</v>
      </c>
      <c r="K3" s="62" t="s">
        <v>105</v>
      </c>
      <c r="L3" s="5">
        <v>207</v>
      </c>
      <c r="M3" s="70">
        <v>214920.65</v>
      </c>
      <c r="N3" s="44">
        <f t="shared" ref="N3:N66" si="3">IFERROR(M3/SUMIF(J:J,J3,M:M),0)</f>
        <v>0.34189616899915343</v>
      </c>
      <c r="O3" s="44">
        <f t="shared" ref="O3:O66" si="4">IF(J3=J2,N3+O2,N3)</f>
        <v>0.81893063753929674</v>
      </c>
      <c r="P3" s="5" t="str">
        <f t="shared" ref="P3:P66" si="5">IF(J3&lt;&gt;J2,"A",IF(O3&lt;0.8,"A",IF(O3&lt;0.95,"B","C")))</f>
        <v>B</v>
      </c>
      <c r="S3" s="51" t="s">
        <v>246</v>
      </c>
      <c r="T3" s="62" t="s">
        <v>180</v>
      </c>
      <c r="U3" s="48">
        <v>124</v>
      </c>
      <c r="V3" s="70">
        <v>142853.5</v>
      </c>
      <c r="W3" s="44">
        <f t="shared" ref="W3:W66" si="6">IFERROR(V3/SUMIF(S:S,S3,V:V),0)</f>
        <v>0.15906857337759295</v>
      </c>
      <c r="X3" s="44">
        <f t="shared" ref="X3:X66" si="7">IF(S3=S2,W3+X2,W3)</f>
        <v>0.79199518180457784</v>
      </c>
      <c r="Y3" s="5" t="str">
        <f t="shared" ref="Y3:Y66" si="8">IF(S3&lt;&gt;S2,"A",IF(X3&lt;0.8,"A",IF(X3&lt;0.95,"B","C")))</f>
        <v>A</v>
      </c>
      <c r="AB3" s="51" t="s">
        <v>246</v>
      </c>
      <c r="AC3" s="62" t="s">
        <v>105</v>
      </c>
      <c r="AD3" s="5">
        <v>313</v>
      </c>
      <c r="AE3" s="70">
        <v>354117.80999999988</v>
      </c>
      <c r="AF3" s="44">
        <f t="shared" ref="AF3:AF66" si="9">IFERROR(AE3/SUMIF(AB:AB,AB3,AE:AE),0)</f>
        <v>0.19046404339439807</v>
      </c>
      <c r="AG3" s="44">
        <f t="shared" ref="AG3:AG66" si="10">IF(AB3=AB2,AF3+AG2,AF3)</f>
        <v>0.93958776865719507</v>
      </c>
      <c r="AH3" s="5" t="str">
        <f t="shared" ref="AH3:AH66" si="11">IF(AB3&lt;&gt;AB2,"A",IF(AG3&lt;0.8,"A",IF(AG3&lt;0.95,"B","C")))</f>
        <v>B</v>
      </c>
    </row>
    <row r="4" spans="1:34" x14ac:dyDescent="0.3">
      <c r="A4" s="51" t="s">
        <v>246</v>
      </c>
      <c r="B4" s="21" t="s">
        <v>105</v>
      </c>
      <c r="C4" s="20">
        <v>63</v>
      </c>
      <c r="D4" s="47">
        <v>60158.892599999999</v>
      </c>
      <c r="E4" s="44">
        <f t="shared" si="0"/>
        <v>0.12997954078318028</v>
      </c>
      <c r="F4" s="44">
        <f t="shared" si="1"/>
        <v>0.97969604850108538</v>
      </c>
      <c r="G4" s="5" t="str">
        <f t="shared" si="2"/>
        <v>C</v>
      </c>
      <c r="J4" s="51" t="s">
        <v>246</v>
      </c>
      <c r="K4" s="62" t="s">
        <v>104</v>
      </c>
      <c r="L4" s="5">
        <v>93</v>
      </c>
      <c r="M4" s="70">
        <v>95640.8</v>
      </c>
      <c r="N4" s="44">
        <f t="shared" si="3"/>
        <v>0.15214556218778527</v>
      </c>
      <c r="O4" s="44">
        <f t="shared" si="4"/>
        <v>0.97107619972708203</v>
      </c>
      <c r="P4" s="5" t="str">
        <f t="shared" si="5"/>
        <v>C</v>
      </c>
      <c r="S4" s="51" t="s">
        <v>246</v>
      </c>
      <c r="T4" s="62" t="s">
        <v>105</v>
      </c>
      <c r="U4" s="48">
        <v>123</v>
      </c>
      <c r="V4" s="70">
        <v>142173.29999999996</v>
      </c>
      <c r="W4" s="44">
        <f t="shared" si="6"/>
        <v>0.15831116495839814</v>
      </c>
      <c r="X4" s="44">
        <f t="shared" si="7"/>
        <v>0.95030634676297598</v>
      </c>
      <c r="Y4" s="5" t="str">
        <f t="shared" si="8"/>
        <v>C</v>
      </c>
      <c r="AB4" s="51" t="s">
        <v>246</v>
      </c>
      <c r="AC4" s="62" t="s">
        <v>104</v>
      </c>
      <c r="AD4" s="5">
        <v>73</v>
      </c>
      <c r="AE4" s="70">
        <v>91649.66</v>
      </c>
      <c r="AF4" s="44">
        <f t="shared" si="9"/>
        <v>4.9294230130141822E-2</v>
      </c>
      <c r="AG4" s="44">
        <f t="shared" si="10"/>
        <v>0.98888199878733685</v>
      </c>
      <c r="AH4" s="5" t="str">
        <f t="shared" si="11"/>
        <v>C</v>
      </c>
    </row>
    <row r="5" spans="1:34" x14ac:dyDescent="0.3">
      <c r="A5" s="51" t="s">
        <v>246</v>
      </c>
      <c r="B5" s="21" t="s">
        <v>180</v>
      </c>
      <c r="C5" s="20">
        <v>8</v>
      </c>
      <c r="D5" s="47">
        <v>9397.35</v>
      </c>
      <c r="E5" s="44">
        <f t="shared" si="0"/>
        <v>2.0303951498914712E-2</v>
      </c>
      <c r="F5" s="44">
        <f t="shared" si="1"/>
        <v>1</v>
      </c>
      <c r="G5" s="5" t="str">
        <f t="shared" si="2"/>
        <v>C</v>
      </c>
      <c r="J5" s="51" t="s">
        <v>246</v>
      </c>
      <c r="K5" s="62" t="s">
        <v>180</v>
      </c>
      <c r="L5" s="5">
        <v>14</v>
      </c>
      <c r="M5" s="70">
        <v>18181.900000000001</v>
      </c>
      <c r="N5" s="44">
        <f t="shared" si="3"/>
        <v>2.8923800272917972E-2</v>
      </c>
      <c r="O5" s="44">
        <f t="shared" si="4"/>
        <v>1</v>
      </c>
      <c r="P5" s="5" t="str">
        <f t="shared" si="5"/>
        <v>C</v>
      </c>
      <c r="S5" s="51" t="s">
        <v>246</v>
      </c>
      <c r="T5" s="62" t="s">
        <v>104</v>
      </c>
      <c r="U5" s="48">
        <v>39</v>
      </c>
      <c r="V5" s="70">
        <v>44627.999999999993</v>
      </c>
      <c r="W5" s="44">
        <f t="shared" si="6"/>
        <v>4.9693653237024064E-2</v>
      </c>
      <c r="X5" s="44">
        <f t="shared" si="7"/>
        <v>1</v>
      </c>
      <c r="Y5" s="5" t="str">
        <f t="shared" si="8"/>
        <v>C</v>
      </c>
      <c r="AB5" s="51" t="s">
        <v>246</v>
      </c>
      <c r="AC5" s="62" t="s">
        <v>180</v>
      </c>
      <c r="AD5" s="5">
        <v>15</v>
      </c>
      <c r="AE5" s="70">
        <v>20671</v>
      </c>
      <c r="AF5" s="44">
        <f t="shared" si="9"/>
        <v>1.1118001212663108E-2</v>
      </c>
      <c r="AG5" s="44">
        <f t="shared" si="10"/>
        <v>1</v>
      </c>
      <c r="AH5" s="5" t="str">
        <f t="shared" si="11"/>
        <v>C</v>
      </c>
    </row>
    <row r="6" spans="1:34" x14ac:dyDescent="0.3">
      <c r="A6" s="51" t="s">
        <v>271</v>
      </c>
      <c r="B6" s="21" t="s">
        <v>25</v>
      </c>
      <c r="C6" s="20">
        <v>87</v>
      </c>
      <c r="D6" s="47">
        <v>284409.4522</v>
      </c>
      <c r="E6" s="44">
        <f t="shared" si="0"/>
        <v>0.66132882613745425</v>
      </c>
      <c r="F6" s="44">
        <f t="shared" si="1"/>
        <v>0.66132882613745425</v>
      </c>
      <c r="G6" s="5" t="str">
        <f t="shared" si="2"/>
        <v>A</v>
      </c>
      <c r="J6" s="51" t="s">
        <v>271</v>
      </c>
      <c r="K6" s="62" t="s">
        <v>103</v>
      </c>
      <c r="L6" s="5">
        <v>81</v>
      </c>
      <c r="M6" s="70">
        <v>532881.41</v>
      </c>
      <c r="N6" s="44">
        <f t="shared" si="3"/>
        <v>0.63268420526725067</v>
      </c>
      <c r="O6" s="44">
        <f t="shared" si="4"/>
        <v>0.63268420526725067</v>
      </c>
      <c r="P6" s="5" t="str">
        <f t="shared" si="5"/>
        <v>A</v>
      </c>
      <c r="S6" s="51" t="s">
        <v>271</v>
      </c>
      <c r="T6" s="62" t="s">
        <v>103</v>
      </c>
      <c r="U6" s="48">
        <v>75</v>
      </c>
      <c r="V6" s="70">
        <v>489655.05099999992</v>
      </c>
      <c r="W6" s="44">
        <f t="shared" si="6"/>
        <v>0.6003714753593713</v>
      </c>
      <c r="X6" s="44">
        <f t="shared" si="7"/>
        <v>0.6003714753593713</v>
      </c>
      <c r="Y6" s="5" t="str">
        <f t="shared" si="8"/>
        <v>A</v>
      </c>
      <c r="AB6" s="51" t="s">
        <v>271</v>
      </c>
      <c r="AC6" s="62" t="s">
        <v>103</v>
      </c>
      <c r="AD6" s="5">
        <v>111</v>
      </c>
      <c r="AE6" s="70">
        <v>719758.11400000006</v>
      </c>
      <c r="AF6" s="44">
        <f t="shared" si="9"/>
        <v>0.5844608726610625</v>
      </c>
      <c r="AG6" s="44">
        <f t="shared" si="10"/>
        <v>0.5844608726610625</v>
      </c>
      <c r="AH6" s="5" t="str">
        <f t="shared" si="11"/>
        <v>A</v>
      </c>
    </row>
    <row r="7" spans="1:34" x14ac:dyDescent="0.3">
      <c r="A7" s="51" t="s">
        <v>271</v>
      </c>
      <c r="B7" s="21" t="s">
        <v>86</v>
      </c>
      <c r="C7" s="20">
        <v>17</v>
      </c>
      <c r="D7" s="47">
        <v>96299.424100000004</v>
      </c>
      <c r="E7" s="44">
        <f t="shared" si="0"/>
        <v>0.22392218192868443</v>
      </c>
      <c r="F7" s="44">
        <f t="shared" si="1"/>
        <v>0.88525100806613866</v>
      </c>
      <c r="G7" s="5" t="str">
        <f t="shared" si="2"/>
        <v>B</v>
      </c>
      <c r="J7" s="51" t="s">
        <v>271</v>
      </c>
      <c r="K7" s="62" t="s">
        <v>86</v>
      </c>
      <c r="L7" s="5">
        <v>40</v>
      </c>
      <c r="M7" s="70">
        <v>252819.15000000002</v>
      </c>
      <c r="N7" s="44">
        <f t="shared" si="3"/>
        <v>0.30016938101498386</v>
      </c>
      <c r="O7" s="44">
        <f t="shared" si="4"/>
        <v>0.93285358628223447</v>
      </c>
      <c r="P7" s="5" t="str">
        <f t="shared" si="5"/>
        <v>B</v>
      </c>
      <c r="S7" s="51" t="s">
        <v>271</v>
      </c>
      <c r="T7" s="62" t="s">
        <v>86</v>
      </c>
      <c r="U7" s="48">
        <v>46</v>
      </c>
      <c r="V7" s="70">
        <v>305862.59999999998</v>
      </c>
      <c r="W7" s="44">
        <f t="shared" si="6"/>
        <v>0.37502151778937387</v>
      </c>
      <c r="X7" s="44">
        <f t="shared" si="7"/>
        <v>0.97539299314874517</v>
      </c>
      <c r="Y7" s="5" t="str">
        <f t="shared" si="8"/>
        <v>C</v>
      </c>
      <c r="AB7" s="51" t="s">
        <v>271</v>
      </c>
      <c r="AC7" s="62" t="s">
        <v>86</v>
      </c>
      <c r="AD7" s="5">
        <v>46</v>
      </c>
      <c r="AE7" s="70">
        <v>364751.45999999996</v>
      </c>
      <c r="AF7" s="44">
        <f t="shared" si="9"/>
        <v>0.29618694457120992</v>
      </c>
      <c r="AG7" s="44">
        <f t="shared" si="10"/>
        <v>0.88064781723227248</v>
      </c>
      <c r="AH7" s="5" t="str">
        <f t="shared" si="11"/>
        <v>B</v>
      </c>
    </row>
    <row r="8" spans="1:34" x14ac:dyDescent="0.3">
      <c r="A8" s="51" t="s">
        <v>271</v>
      </c>
      <c r="B8" s="21" t="s">
        <v>103</v>
      </c>
      <c r="C8" s="20">
        <v>9</v>
      </c>
      <c r="D8" s="47">
        <v>49348.669899999994</v>
      </c>
      <c r="E8" s="44">
        <f t="shared" si="0"/>
        <v>0.11474899193386133</v>
      </c>
      <c r="F8" s="44">
        <f t="shared" si="1"/>
        <v>1</v>
      </c>
      <c r="G8" s="5" t="str">
        <f t="shared" si="2"/>
        <v>C</v>
      </c>
      <c r="J8" s="51" t="s">
        <v>271</v>
      </c>
      <c r="K8" s="62" t="s">
        <v>25</v>
      </c>
      <c r="L8" s="5">
        <v>10</v>
      </c>
      <c r="M8" s="70">
        <v>35965.599999999999</v>
      </c>
      <c r="N8" s="44">
        <f t="shared" si="3"/>
        <v>4.2701559157336387E-2</v>
      </c>
      <c r="O8" s="44">
        <f t="shared" si="4"/>
        <v>0.97555514543957089</v>
      </c>
      <c r="P8" s="5" t="str">
        <f t="shared" si="5"/>
        <v>C</v>
      </c>
      <c r="S8" s="51" t="s">
        <v>271</v>
      </c>
      <c r="T8" s="62" t="s">
        <v>25</v>
      </c>
      <c r="U8" s="48">
        <v>3</v>
      </c>
      <c r="V8" s="70">
        <v>13608.9</v>
      </c>
      <c r="W8" s="44">
        <f t="shared" si="6"/>
        <v>1.6686022852888227E-2</v>
      </c>
      <c r="X8" s="44">
        <f t="shared" si="7"/>
        <v>0.9920790160016334</v>
      </c>
      <c r="Y8" s="5" t="str">
        <f t="shared" si="8"/>
        <v>C</v>
      </c>
      <c r="AB8" s="51" t="s">
        <v>271</v>
      </c>
      <c r="AC8" s="62" t="s">
        <v>47</v>
      </c>
      <c r="AD8" s="5">
        <v>4</v>
      </c>
      <c r="AE8" s="70">
        <v>44658</v>
      </c>
      <c r="AF8" s="44">
        <f t="shared" si="9"/>
        <v>3.6263368406150021E-2</v>
      </c>
      <c r="AG8" s="44">
        <f t="shared" si="10"/>
        <v>0.91691118563842244</v>
      </c>
      <c r="AH8" s="5" t="str">
        <f t="shared" si="11"/>
        <v>B</v>
      </c>
    </row>
    <row r="9" spans="1:34" x14ac:dyDescent="0.3">
      <c r="A9" s="51" t="s">
        <v>271</v>
      </c>
      <c r="B9" s="21" t="s">
        <v>47</v>
      </c>
      <c r="C9" s="20">
        <v>0</v>
      </c>
      <c r="D9" s="47">
        <v>0</v>
      </c>
      <c r="E9" s="44">
        <f t="shared" si="0"/>
        <v>0</v>
      </c>
      <c r="F9" s="44">
        <f t="shared" si="1"/>
        <v>1</v>
      </c>
      <c r="G9" s="5" t="str">
        <f t="shared" si="2"/>
        <v>C</v>
      </c>
      <c r="J9" s="51" t="s">
        <v>271</v>
      </c>
      <c r="K9" s="62" t="s">
        <v>47</v>
      </c>
      <c r="L9" s="5">
        <v>1</v>
      </c>
      <c r="M9" s="70">
        <v>14215</v>
      </c>
      <c r="N9" s="44">
        <f t="shared" si="3"/>
        <v>1.6877312304578174E-2</v>
      </c>
      <c r="O9" s="44">
        <f t="shared" si="4"/>
        <v>0.99243245774414901</v>
      </c>
      <c r="P9" s="5" t="str">
        <f t="shared" si="5"/>
        <v>C</v>
      </c>
      <c r="S9" s="51" t="s">
        <v>271</v>
      </c>
      <c r="T9" s="62" t="s">
        <v>297</v>
      </c>
      <c r="U9" s="48">
        <v>2</v>
      </c>
      <c r="V9" s="70">
        <v>2723.2</v>
      </c>
      <c r="W9" s="44">
        <f t="shared" si="6"/>
        <v>3.3389456482879011E-3</v>
      </c>
      <c r="X9" s="44">
        <f t="shared" si="7"/>
        <v>0.99541796164992125</v>
      </c>
      <c r="Y9" s="5" t="str">
        <f t="shared" si="8"/>
        <v>C</v>
      </c>
      <c r="AB9" s="51" t="s">
        <v>271</v>
      </c>
      <c r="AC9" s="62" t="s">
        <v>297</v>
      </c>
      <c r="AD9" s="5">
        <v>22</v>
      </c>
      <c r="AE9" s="70">
        <v>38183.1</v>
      </c>
      <c r="AF9" s="44">
        <f t="shared" si="9"/>
        <v>3.1005594119505282E-2</v>
      </c>
      <c r="AG9" s="44">
        <f t="shared" si="10"/>
        <v>0.94791677975792776</v>
      </c>
      <c r="AH9" s="5" t="str">
        <f t="shared" si="11"/>
        <v>B</v>
      </c>
    </row>
    <row r="10" spans="1:34" x14ac:dyDescent="0.3">
      <c r="A10" s="51" t="s">
        <v>271</v>
      </c>
      <c r="B10" s="21" t="s">
        <v>179</v>
      </c>
      <c r="C10" s="20">
        <v>0</v>
      </c>
      <c r="D10" s="47">
        <v>0</v>
      </c>
      <c r="E10" s="44">
        <f t="shared" si="0"/>
        <v>0</v>
      </c>
      <c r="F10" s="44">
        <f t="shared" si="1"/>
        <v>1</v>
      </c>
      <c r="G10" s="5" t="str">
        <f t="shared" si="2"/>
        <v>C</v>
      </c>
      <c r="J10" s="51" t="s">
        <v>271</v>
      </c>
      <c r="K10" s="62" t="s">
        <v>179</v>
      </c>
      <c r="L10" s="5">
        <v>3</v>
      </c>
      <c r="M10" s="70">
        <v>6373.8</v>
      </c>
      <c r="N10" s="44">
        <f t="shared" si="3"/>
        <v>7.5675422558508882E-3</v>
      </c>
      <c r="O10" s="44">
        <f t="shared" si="4"/>
        <v>0.99999999999999989</v>
      </c>
      <c r="P10" s="5" t="str">
        <f t="shared" si="5"/>
        <v>C</v>
      </c>
      <c r="S10" s="51" t="s">
        <v>271</v>
      </c>
      <c r="T10" s="62" t="s">
        <v>179</v>
      </c>
      <c r="U10" s="48">
        <v>1</v>
      </c>
      <c r="V10" s="70">
        <v>2345.3000000000002</v>
      </c>
      <c r="W10" s="44">
        <f t="shared" si="6"/>
        <v>2.8755982773683957E-3</v>
      </c>
      <c r="X10" s="44">
        <f t="shared" si="7"/>
        <v>0.99829355992728963</v>
      </c>
      <c r="Y10" s="5" t="str">
        <f t="shared" si="8"/>
        <v>C</v>
      </c>
      <c r="AB10" s="51" t="s">
        <v>271</v>
      </c>
      <c r="AC10" s="62" t="s">
        <v>25</v>
      </c>
      <c r="AD10" s="5">
        <v>9</v>
      </c>
      <c r="AE10" s="70">
        <v>35015</v>
      </c>
      <c r="AF10" s="44">
        <f t="shared" si="9"/>
        <v>2.8433020841536635E-2</v>
      </c>
      <c r="AG10" s="44">
        <f t="shared" si="10"/>
        <v>0.97634980059946441</v>
      </c>
      <c r="AH10" s="5" t="str">
        <f t="shared" si="11"/>
        <v>C</v>
      </c>
    </row>
    <row r="11" spans="1:34" x14ac:dyDescent="0.3">
      <c r="A11" s="51" t="s">
        <v>271</v>
      </c>
      <c r="B11" s="21" t="s">
        <v>296</v>
      </c>
      <c r="C11" s="20">
        <v>0</v>
      </c>
      <c r="D11" s="47">
        <v>0</v>
      </c>
      <c r="E11" s="44">
        <f t="shared" si="0"/>
        <v>0</v>
      </c>
      <c r="F11" s="44">
        <f t="shared" si="1"/>
        <v>1</v>
      </c>
      <c r="G11" s="5" t="str">
        <f t="shared" si="2"/>
        <v>C</v>
      </c>
      <c r="J11" s="51" t="s">
        <v>271</v>
      </c>
      <c r="K11" s="62" t="s">
        <v>297</v>
      </c>
      <c r="L11" s="5">
        <v>0</v>
      </c>
      <c r="M11" s="70">
        <v>0</v>
      </c>
      <c r="N11" s="44">
        <f t="shared" si="3"/>
        <v>0</v>
      </c>
      <c r="O11" s="44">
        <f t="shared" si="4"/>
        <v>0.99999999999999989</v>
      </c>
      <c r="P11" s="5" t="str">
        <f t="shared" si="5"/>
        <v>C</v>
      </c>
      <c r="S11" s="51" t="s">
        <v>271</v>
      </c>
      <c r="T11" s="62" t="s">
        <v>296</v>
      </c>
      <c r="U11" s="48">
        <v>1</v>
      </c>
      <c r="V11" s="70">
        <v>1391.75</v>
      </c>
      <c r="W11" s="44">
        <f t="shared" si="6"/>
        <v>1.7064400727102992E-3</v>
      </c>
      <c r="X11" s="44">
        <f t="shared" si="7"/>
        <v>0.99999999999999989</v>
      </c>
      <c r="Y11" s="5" t="str">
        <f t="shared" si="8"/>
        <v>C</v>
      </c>
      <c r="AB11" s="51" t="s">
        <v>271</v>
      </c>
      <c r="AC11" s="62" t="s">
        <v>296</v>
      </c>
      <c r="AD11" s="5">
        <v>18</v>
      </c>
      <c r="AE11" s="70">
        <v>29125</v>
      </c>
      <c r="AF11" s="44">
        <f t="shared" si="9"/>
        <v>2.3650199400535612E-2</v>
      </c>
      <c r="AG11" s="44">
        <f t="shared" si="10"/>
        <v>1</v>
      </c>
      <c r="AH11" s="5" t="str">
        <f t="shared" si="11"/>
        <v>C</v>
      </c>
    </row>
    <row r="12" spans="1:34" x14ac:dyDescent="0.3">
      <c r="A12" s="51" t="s">
        <v>271</v>
      </c>
      <c r="B12" s="21" t="s">
        <v>297</v>
      </c>
      <c r="C12" s="20">
        <v>0</v>
      </c>
      <c r="D12" s="47">
        <v>0</v>
      </c>
      <c r="E12" s="44">
        <f t="shared" si="0"/>
        <v>0</v>
      </c>
      <c r="F12" s="44">
        <f t="shared" si="1"/>
        <v>1</v>
      </c>
      <c r="G12" s="5" t="str">
        <f t="shared" si="2"/>
        <v>C</v>
      </c>
      <c r="J12" s="51" t="s">
        <v>271</v>
      </c>
      <c r="K12" s="62" t="s">
        <v>296</v>
      </c>
      <c r="L12" s="5">
        <v>0</v>
      </c>
      <c r="M12" s="70">
        <v>0</v>
      </c>
      <c r="N12" s="44">
        <f t="shared" si="3"/>
        <v>0</v>
      </c>
      <c r="O12" s="44">
        <f t="shared" si="4"/>
        <v>0.99999999999999989</v>
      </c>
      <c r="P12" s="5" t="str">
        <f t="shared" si="5"/>
        <v>C</v>
      </c>
      <c r="S12" s="51" t="s">
        <v>271</v>
      </c>
      <c r="T12" s="62" t="s">
        <v>47</v>
      </c>
      <c r="U12" s="48">
        <v>0</v>
      </c>
      <c r="V12" s="70">
        <v>0</v>
      </c>
      <c r="W12" s="44">
        <f t="shared" si="6"/>
        <v>0</v>
      </c>
      <c r="X12" s="44">
        <f t="shared" si="7"/>
        <v>0.99999999999999989</v>
      </c>
      <c r="Y12" s="5" t="str">
        <f t="shared" si="8"/>
        <v>C</v>
      </c>
      <c r="AB12" s="51" t="s">
        <v>271</v>
      </c>
      <c r="AC12" s="62" t="s">
        <v>179</v>
      </c>
      <c r="AD12" s="5">
        <v>0</v>
      </c>
      <c r="AE12" s="70">
        <v>0</v>
      </c>
      <c r="AF12" s="44">
        <f t="shared" si="9"/>
        <v>0</v>
      </c>
      <c r="AG12" s="44">
        <f t="shared" si="10"/>
        <v>1</v>
      </c>
      <c r="AH12" s="5" t="str">
        <f t="shared" si="11"/>
        <v>C</v>
      </c>
    </row>
    <row r="13" spans="1:34" x14ac:dyDescent="0.3">
      <c r="A13" s="51" t="s">
        <v>247</v>
      </c>
      <c r="B13" s="21" t="s">
        <v>209</v>
      </c>
      <c r="C13" s="20">
        <v>302</v>
      </c>
      <c r="D13" s="47">
        <v>148869.7138</v>
      </c>
      <c r="E13" s="44">
        <f t="shared" si="0"/>
        <v>0.61000546957598145</v>
      </c>
      <c r="F13" s="44">
        <f t="shared" si="1"/>
        <v>0.61000546957598145</v>
      </c>
      <c r="G13" s="5" t="str">
        <f t="shared" si="2"/>
        <v>A</v>
      </c>
      <c r="J13" s="51" t="s">
        <v>247</v>
      </c>
      <c r="K13" s="62" t="s">
        <v>212</v>
      </c>
      <c r="L13" s="5">
        <v>1654</v>
      </c>
      <c r="M13" s="70">
        <v>330054</v>
      </c>
      <c r="N13" s="44">
        <f t="shared" si="3"/>
        <v>0.2668415847774222</v>
      </c>
      <c r="O13" s="44">
        <f t="shared" si="4"/>
        <v>0.2668415847774222</v>
      </c>
      <c r="P13" s="5" t="str">
        <f t="shared" si="5"/>
        <v>A</v>
      </c>
      <c r="S13" s="51" t="s">
        <v>247</v>
      </c>
      <c r="T13" s="62" t="s">
        <v>212</v>
      </c>
      <c r="U13" s="48">
        <v>1408</v>
      </c>
      <c r="V13" s="70">
        <v>283214.07</v>
      </c>
      <c r="W13" s="44">
        <f t="shared" si="6"/>
        <v>0.24458383610360132</v>
      </c>
      <c r="X13" s="44">
        <f t="shared" si="7"/>
        <v>0.24458383610360132</v>
      </c>
      <c r="Y13" s="5" t="str">
        <f t="shared" si="8"/>
        <v>A</v>
      </c>
      <c r="AB13" s="51" t="s">
        <v>247</v>
      </c>
      <c r="AC13" s="62" t="s">
        <v>212</v>
      </c>
      <c r="AD13" s="5">
        <v>1257</v>
      </c>
      <c r="AE13" s="70">
        <v>256917.94999999998</v>
      </c>
      <c r="AF13" s="44">
        <f t="shared" si="9"/>
        <v>0.26292538219019596</v>
      </c>
      <c r="AG13" s="44">
        <f t="shared" si="10"/>
        <v>0.26292538219019596</v>
      </c>
      <c r="AH13" s="5" t="str">
        <f t="shared" si="11"/>
        <v>A</v>
      </c>
    </row>
    <row r="14" spans="1:34" x14ac:dyDescent="0.3">
      <c r="A14" s="51" t="s">
        <v>247</v>
      </c>
      <c r="B14" s="21" t="s">
        <v>208</v>
      </c>
      <c r="C14" s="20">
        <v>80</v>
      </c>
      <c r="D14" s="47">
        <v>29918.327399999995</v>
      </c>
      <c r="E14" s="44">
        <f t="shared" si="0"/>
        <v>0.12259272143885151</v>
      </c>
      <c r="F14" s="44">
        <f t="shared" si="1"/>
        <v>0.73259819101483292</v>
      </c>
      <c r="G14" s="5" t="str">
        <f t="shared" si="2"/>
        <v>A</v>
      </c>
      <c r="J14" s="51" t="s">
        <v>247</v>
      </c>
      <c r="K14" s="62" t="s">
        <v>209</v>
      </c>
      <c r="L14" s="5">
        <v>346</v>
      </c>
      <c r="M14" s="70">
        <v>180237.5</v>
      </c>
      <c r="N14" s="44">
        <f t="shared" si="3"/>
        <v>0.14571815562399074</v>
      </c>
      <c r="O14" s="44">
        <f t="shared" si="4"/>
        <v>0.41255974040141297</v>
      </c>
      <c r="P14" s="5" t="str">
        <f t="shared" si="5"/>
        <v>A</v>
      </c>
      <c r="S14" s="51" t="s">
        <v>247</v>
      </c>
      <c r="T14" s="62" t="s">
        <v>112</v>
      </c>
      <c r="U14" s="48">
        <v>152</v>
      </c>
      <c r="V14" s="70">
        <v>156674.30000000002</v>
      </c>
      <c r="W14" s="44">
        <f t="shared" si="6"/>
        <v>0.1353040168973472</v>
      </c>
      <c r="X14" s="44">
        <f t="shared" si="7"/>
        <v>0.37988785300094852</v>
      </c>
      <c r="Y14" s="5" t="str">
        <f t="shared" si="8"/>
        <v>A</v>
      </c>
      <c r="AB14" s="51" t="s">
        <v>247</v>
      </c>
      <c r="AC14" s="62" t="s">
        <v>114</v>
      </c>
      <c r="AD14" s="5">
        <v>135</v>
      </c>
      <c r="AE14" s="70">
        <v>158441.72</v>
      </c>
      <c r="AF14" s="44">
        <f t="shared" si="9"/>
        <v>0.16214651325791762</v>
      </c>
      <c r="AG14" s="44">
        <f t="shared" si="10"/>
        <v>0.42507189544811358</v>
      </c>
      <c r="AH14" s="5" t="str">
        <f t="shared" si="11"/>
        <v>A</v>
      </c>
    </row>
    <row r="15" spans="1:34" x14ac:dyDescent="0.3">
      <c r="A15" s="51" t="s">
        <v>247</v>
      </c>
      <c r="B15" s="21" t="s">
        <v>213</v>
      </c>
      <c r="C15" s="20">
        <v>140</v>
      </c>
      <c r="D15" s="47">
        <v>23935.690000000002</v>
      </c>
      <c r="E15" s="44">
        <f t="shared" si="0"/>
        <v>9.8078389790490245E-2</v>
      </c>
      <c r="F15" s="44">
        <f t="shared" si="1"/>
        <v>0.83067658080532314</v>
      </c>
      <c r="G15" s="5" t="str">
        <f t="shared" si="2"/>
        <v>B</v>
      </c>
      <c r="J15" s="51" t="s">
        <v>247</v>
      </c>
      <c r="K15" s="62" t="s">
        <v>109</v>
      </c>
      <c r="L15" s="5">
        <v>123</v>
      </c>
      <c r="M15" s="70">
        <v>120817.84999999999</v>
      </c>
      <c r="N15" s="44">
        <f t="shared" si="3"/>
        <v>9.7678642171889693E-2</v>
      </c>
      <c r="O15" s="44">
        <f t="shared" si="4"/>
        <v>0.51023838257330267</v>
      </c>
      <c r="P15" s="5" t="str">
        <f t="shared" si="5"/>
        <v>A</v>
      </c>
      <c r="S15" s="51" t="s">
        <v>247</v>
      </c>
      <c r="T15" s="62" t="s">
        <v>114</v>
      </c>
      <c r="U15" s="48">
        <v>119</v>
      </c>
      <c r="V15" s="70">
        <v>134196.32</v>
      </c>
      <c r="W15" s="44">
        <f t="shared" si="6"/>
        <v>0.11589202025374812</v>
      </c>
      <c r="X15" s="44">
        <f t="shared" si="7"/>
        <v>0.49577987325469663</v>
      </c>
      <c r="Y15" s="5" t="str">
        <f t="shared" si="8"/>
        <v>A</v>
      </c>
      <c r="AB15" s="51" t="s">
        <v>247</v>
      </c>
      <c r="AC15" s="62" t="s">
        <v>113</v>
      </c>
      <c r="AD15" s="5">
        <v>87</v>
      </c>
      <c r="AE15" s="70">
        <v>118296.16</v>
      </c>
      <c r="AF15" s="44">
        <f t="shared" si="9"/>
        <v>0.12106224216576761</v>
      </c>
      <c r="AG15" s="44">
        <f t="shared" si="10"/>
        <v>0.54613413761388119</v>
      </c>
      <c r="AH15" s="5" t="str">
        <f t="shared" si="11"/>
        <v>A</v>
      </c>
    </row>
    <row r="16" spans="1:34" x14ac:dyDescent="0.3">
      <c r="A16" s="51" t="s">
        <v>247</v>
      </c>
      <c r="B16" s="21" t="s">
        <v>234</v>
      </c>
      <c r="C16" s="20">
        <v>60</v>
      </c>
      <c r="D16" s="47">
        <v>20121.12</v>
      </c>
      <c r="E16" s="44">
        <f t="shared" si="0"/>
        <v>8.2447886414857008E-2</v>
      </c>
      <c r="F16" s="44">
        <f t="shared" si="1"/>
        <v>0.91312446722018015</v>
      </c>
      <c r="G16" s="5" t="str">
        <f t="shared" si="2"/>
        <v>B</v>
      </c>
      <c r="J16" s="51" t="s">
        <v>247</v>
      </c>
      <c r="K16" s="62" t="s">
        <v>213</v>
      </c>
      <c r="L16" s="5">
        <v>556</v>
      </c>
      <c r="M16" s="70">
        <v>108714.12000000001</v>
      </c>
      <c r="N16" s="44">
        <f t="shared" si="3"/>
        <v>8.7893035892559562E-2</v>
      </c>
      <c r="O16" s="44">
        <f t="shared" si="4"/>
        <v>0.59813141846586226</v>
      </c>
      <c r="P16" s="5" t="str">
        <f t="shared" si="5"/>
        <v>A</v>
      </c>
      <c r="S16" s="51" t="s">
        <v>247</v>
      </c>
      <c r="T16" s="62" t="s">
        <v>213</v>
      </c>
      <c r="U16" s="48">
        <v>469</v>
      </c>
      <c r="V16" s="70">
        <v>90872.799999999988</v>
      </c>
      <c r="W16" s="44">
        <f t="shared" si="6"/>
        <v>7.847780310305677E-2</v>
      </c>
      <c r="X16" s="44">
        <f t="shared" si="7"/>
        <v>0.57425767635775338</v>
      </c>
      <c r="Y16" s="5" t="str">
        <f t="shared" si="8"/>
        <v>A</v>
      </c>
      <c r="AB16" s="51" t="s">
        <v>247</v>
      </c>
      <c r="AC16" s="62" t="s">
        <v>112</v>
      </c>
      <c r="AD16" s="5">
        <v>106</v>
      </c>
      <c r="AE16" s="70">
        <v>113704.14</v>
      </c>
      <c r="AF16" s="44">
        <f t="shared" si="9"/>
        <v>0.11636284839618077</v>
      </c>
      <c r="AG16" s="44">
        <f t="shared" si="10"/>
        <v>0.66249698601006202</v>
      </c>
      <c r="AH16" s="5" t="str">
        <f t="shared" si="11"/>
        <v>A</v>
      </c>
    </row>
    <row r="17" spans="1:34" x14ac:dyDescent="0.3">
      <c r="A17" s="51" t="s">
        <v>247</v>
      </c>
      <c r="B17" s="21" t="s">
        <v>111</v>
      </c>
      <c r="C17" s="20">
        <v>10</v>
      </c>
      <c r="D17" s="47">
        <v>17545.04</v>
      </c>
      <c r="E17" s="44">
        <f t="shared" si="0"/>
        <v>7.1892194125581621E-2</v>
      </c>
      <c r="F17" s="44">
        <f t="shared" si="1"/>
        <v>0.98501666134576182</v>
      </c>
      <c r="G17" s="5" t="str">
        <f t="shared" si="2"/>
        <v>C</v>
      </c>
      <c r="J17" s="51" t="s">
        <v>247</v>
      </c>
      <c r="K17" s="62" t="s">
        <v>211</v>
      </c>
      <c r="L17" s="5">
        <v>510</v>
      </c>
      <c r="M17" s="70">
        <v>83309.399999999994</v>
      </c>
      <c r="N17" s="44">
        <f t="shared" si="3"/>
        <v>6.7353864285408377E-2</v>
      </c>
      <c r="O17" s="44">
        <f t="shared" si="4"/>
        <v>0.66548528275127061</v>
      </c>
      <c r="P17" s="5" t="str">
        <f t="shared" si="5"/>
        <v>A</v>
      </c>
      <c r="S17" s="51" t="s">
        <v>247</v>
      </c>
      <c r="T17" s="62" t="s">
        <v>109</v>
      </c>
      <c r="U17" s="48">
        <v>74</v>
      </c>
      <c r="V17" s="70">
        <v>77659.42</v>
      </c>
      <c r="W17" s="44">
        <f t="shared" si="6"/>
        <v>6.7066720425227239E-2</v>
      </c>
      <c r="X17" s="44">
        <f t="shared" si="7"/>
        <v>0.64132439678298059</v>
      </c>
      <c r="Y17" s="5" t="str">
        <f t="shared" si="8"/>
        <v>A</v>
      </c>
      <c r="AB17" s="51" t="s">
        <v>247</v>
      </c>
      <c r="AC17" s="62" t="s">
        <v>109</v>
      </c>
      <c r="AD17" s="5">
        <v>73</v>
      </c>
      <c r="AE17" s="70">
        <v>75910.100000000006</v>
      </c>
      <c r="AF17" s="44">
        <f t="shared" si="9"/>
        <v>7.7685082161818575E-2</v>
      </c>
      <c r="AG17" s="44">
        <f t="shared" si="10"/>
        <v>0.74018206817188059</v>
      </c>
      <c r="AH17" s="5" t="str">
        <f t="shared" si="11"/>
        <v>A</v>
      </c>
    </row>
    <row r="18" spans="1:34" x14ac:dyDescent="0.3">
      <c r="A18" s="51" t="s">
        <v>247</v>
      </c>
      <c r="B18" s="21" t="s">
        <v>112</v>
      </c>
      <c r="C18" s="20">
        <v>4</v>
      </c>
      <c r="D18" s="47">
        <v>3656.6316999999999</v>
      </c>
      <c r="E18" s="44">
        <f t="shared" si="0"/>
        <v>1.4983338654238209E-2</v>
      </c>
      <c r="F18" s="44">
        <f t="shared" si="1"/>
        <v>1</v>
      </c>
      <c r="G18" s="5" t="str">
        <f t="shared" si="2"/>
        <v>C</v>
      </c>
      <c r="J18" s="51" t="s">
        <v>247</v>
      </c>
      <c r="K18" s="62" t="s">
        <v>234</v>
      </c>
      <c r="L18" s="5">
        <v>192</v>
      </c>
      <c r="M18" s="70">
        <v>77753</v>
      </c>
      <c r="N18" s="44">
        <f t="shared" si="3"/>
        <v>6.2861633978678971E-2</v>
      </c>
      <c r="O18" s="44">
        <f t="shared" si="4"/>
        <v>0.72834691672994956</v>
      </c>
      <c r="P18" s="5" t="str">
        <f t="shared" si="5"/>
        <v>A</v>
      </c>
      <c r="S18" s="51" t="s">
        <v>247</v>
      </c>
      <c r="T18" s="62" t="s">
        <v>316</v>
      </c>
      <c r="U18" s="48">
        <v>128</v>
      </c>
      <c r="V18" s="70">
        <v>74234</v>
      </c>
      <c r="W18" s="44">
        <f t="shared" si="6"/>
        <v>6.4108525714540732E-2</v>
      </c>
      <c r="X18" s="44">
        <f t="shared" si="7"/>
        <v>0.70543292249752132</v>
      </c>
      <c r="Y18" s="5" t="str">
        <f t="shared" si="8"/>
        <v>A</v>
      </c>
      <c r="AB18" s="51" t="s">
        <v>247</v>
      </c>
      <c r="AC18" s="62" t="s">
        <v>211</v>
      </c>
      <c r="AD18" s="5">
        <v>408</v>
      </c>
      <c r="AE18" s="70">
        <v>69061.799999999988</v>
      </c>
      <c r="AF18" s="44">
        <f t="shared" si="9"/>
        <v>7.0676650501620752E-2</v>
      </c>
      <c r="AG18" s="44">
        <f t="shared" si="10"/>
        <v>0.81085871867350134</v>
      </c>
      <c r="AH18" s="5" t="str">
        <f t="shared" si="11"/>
        <v>B</v>
      </c>
    </row>
    <row r="19" spans="1:34" x14ac:dyDescent="0.3">
      <c r="A19" s="51" t="s">
        <v>247</v>
      </c>
      <c r="B19" s="21" t="s">
        <v>107</v>
      </c>
      <c r="C19" s="20">
        <v>0</v>
      </c>
      <c r="D19" s="47">
        <v>0</v>
      </c>
      <c r="E19" s="44">
        <f t="shared" si="0"/>
        <v>0</v>
      </c>
      <c r="F19" s="44">
        <f t="shared" si="1"/>
        <v>1</v>
      </c>
      <c r="G19" s="5" t="str">
        <f t="shared" si="2"/>
        <v>C</v>
      </c>
      <c r="J19" s="51" t="s">
        <v>247</v>
      </c>
      <c r="K19" s="62" t="s">
        <v>112</v>
      </c>
      <c r="L19" s="5">
        <v>72</v>
      </c>
      <c r="M19" s="70">
        <v>75949.399999999994</v>
      </c>
      <c r="N19" s="44">
        <f t="shared" si="3"/>
        <v>6.1403462036195136E-2</v>
      </c>
      <c r="O19" s="44">
        <f t="shared" si="4"/>
        <v>0.78975037876614473</v>
      </c>
      <c r="P19" s="5" t="str">
        <f t="shared" si="5"/>
        <v>A</v>
      </c>
      <c r="S19" s="51" t="s">
        <v>247</v>
      </c>
      <c r="T19" s="62" t="s">
        <v>211</v>
      </c>
      <c r="U19" s="48">
        <v>396</v>
      </c>
      <c r="V19" s="70">
        <v>67082.200000000012</v>
      </c>
      <c r="W19" s="44">
        <f t="shared" si="6"/>
        <v>5.793222706156162E-2</v>
      </c>
      <c r="X19" s="44">
        <f t="shared" si="7"/>
        <v>0.76336514955908297</v>
      </c>
      <c r="Y19" s="5" t="str">
        <f t="shared" si="8"/>
        <v>A</v>
      </c>
      <c r="AB19" s="51" t="s">
        <v>247</v>
      </c>
      <c r="AC19" s="62" t="s">
        <v>213</v>
      </c>
      <c r="AD19" s="5">
        <v>226</v>
      </c>
      <c r="AE19" s="70">
        <v>43560.400000000009</v>
      </c>
      <c r="AF19" s="44">
        <f t="shared" si="9"/>
        <v>4.4578959229426417E-2</v>
      </c>
      <c r="AG19" s="44">
        <f t="shared" si="10"/>
        <v>0.8554376779029278</v>
      </c>
      <c r="AH19" s="5" t="str">
        <f t="shared" si="11"/>
        <v>B</v>
      </c>
    </row>
    <row r="20" spans="1:34" x14ac:dyDescent="0.3">
      <c r="A20" s="51" t="s">
        <v>247</v>
      </c>
      <c r="B20" s="21" t="s">
        <v>108</v>
      </c>
      <c r="C20" s="20">
        <v>0</v>
      </c>
      <c r="D20" s="47">
        <v>0</v>
      </c>
      <c r="E20" s="44">
        <f t="shared" si="0"/>
        <v>0</v>
      </c>
      <c r="F20" s="44">
        <f t="shared" si="1"/>
        <v>1</v>
      </c>
      <c r="G20" s="5" t="str">
        <f t="shared" si="2"/>
        <v>C</v>
      </c>
      <c r="J20" s="51" t="s">
        <v>247</v>
      </c>
      <c r="K20" s="62" t="s">
        <v>205</v>
      </c>
      <c r="L20" s="5">
        <v>134</v>
      </c>
      <c r="M20" s="70">
        <v>67674.2</v>
      </c>
      <c r="N20" s="44">
        <f t="shared" si="3"/>
        <v>5.471314020294929E-2</v>
      </c>
      <c r="O20" s="44">
        <f t="shared" si="4"/>
        <v>0.844463518969094</v>
      </c>
      <c r="P20" s="5" t="str">
        <f t="shared" si="5"/>
        <v>B</v>
      </c>
      <c r="S20" s="51" t="s">
        <v>247</v>
      </c>
      <c r="T20" s="62" t="s">
        <v>113</v>
      </c>
      <c r="U20" s="48">
        <v>47</v>
      </c>
      <c r="V20" s="70">
        <v>64539.299999999996</v>
      </c>
      <c r="W20" s="44">
        <f t="shared" si="6"/>
        <v>5.5736177137813654E-2</v>
      </c>
      <c r="X20" s="44">
        <f t="shared" si="7"/>
        <v>0.81910132669689661</v>
      </c>
      <c r="Y20" s="5" t="str">
        <f t="shared" si="8"/>
        <v>B</v>
      </c>
      <c r="AB20" s="51" t="s">
        <v>247</v>
      </c>
      <c r="AC20" s="62" t="s">
        <v>209</v>
      </c>
      <c r="AD20" s="5">
        <v>58</v>
      </c>
      <c r="AE20" s="70">
        <v>36998.800000000003</v>
      </c>
      <c r="AF20" s="44">
        <f t="shared" si="9"/>
        <v>3.7863931385793109E-2</v>
      </c>
      <c r="AG20" s="44">
        <f t="shared" si="10"/>
        <v>0.89330160928872093</v>
      </c>
      <c r="AH20" s="5" t="str">
        <f t="shared" si="11"/>
        <v>B</v>
      </c>
    </row>
    <row r="21" spans="1:34" x14ac:dyDescent="0.3">
      <c r="A21" s="51" t="s">
        <v>247</v>
      </c>
      <c r="B21" s="21" t="s">
        <v>109</v>
      </c>
      <c r="C21" s="20">
        <v>0</v>
      </c>
      <c r="D21" s="47">
        <v>0</v>
      </c>
      <c r="E21" s="44">
        <f t="shared" si="0"/>
        <v>0</v>
      </c>
      <c r="F21" s="44">
        <f t="shared" si="1"/>
        <v>1</v>
      </c>
      <c r="G21" s="5" t="str">
        <f t="shared" si="2"/>
        <v>C</v>
      </c>
      <c r="J21" s="51" t="s">
        <v>247</v>
      </c>
      <c r="K21" s="62" t="s">
        <v>114</v>
      </c>
      <c r="L21" s="5">
        <v>56</v>
      </c>
      <c r="M21" s="70">
        <v>65811.399999999994</v>
      </c>
      <c r="N21" s="44">
        <f t="shared" si="3"/>
        <v>5.3207106329330484E-2</v>
      </c>
      <c r="O21" s="44">
        <f t="shared" si="4"/>
        <v>0.89767062529842445</v>
      </c>
      <c r="P21" s="5" t="str">
        <f t="shared" si="5"/>
        <v>B</v>
      </c>
      <c r="S21" s="51" t="s">
        <v>247</v>
      </c>
      <c r="T21" s="62" t="s">
        <v>209</v>
      </c>
      <c r="U21" s="48">
        <v>115</v>
      </c>
      <c r="V21" s="70">
        <v>64005.100000000006</v>
      </c>
      <c r="W21" s="44">
        <f t="shared" si="6"/>
        <v>5.5274841706115144E-2</v>
      </c>
      <c r="X21" s="44">
        <f t="shared" si="7"/>
        <v>0.8743761684030118</v>
      </c>
      <c r="Y21" s="5" t="str">
        <f t="shared" si="8"/>
        <v>B</v>
      </c>
      <c r="AB21" s="51" t="s">
        <v>247</v>
      </c>
      <c r="AC21" s="62" t="s">
        <v>234</v>
      </c>
      <c r="AD21" s="5">
        <v>79</v>
      </c>
      <c r="AE21" s="70">
        <v>34395</v>
      </c>
      <c r="AF21" s="44">
        <f t="shared" si="9"/>
        <v>3.5199247543551512E-2</v>
      </c>
      <c r="AG21" s="44">
        <f t="shared" si="10"/>
        <v>0.92850085683227246</v>
      </c>
      <c r="AH21" s="5" t="str">
        <f t="shared" si="11"/>
        <v>B</v>
      </c>
    </row>
    <row r="22" spans="1:34" x14ac:dyDescent="0.3">
      <c r="A22" s="51" t="s">
        <v>247</v>
      </c>
      <c r="B22" s="21" t="s">
        <v>110</v>
      </c>
      <c r="C22" s="20">
        <v>0</v>
      </c>
      <c r="D22" s="47">
        <v>0</v>
      </c>
      <c r="E22" s="44">
        <f t="shared" si="0"/>
        <v>0</v>
      </c>
      <c r="F22" s="44">
        <f t="shared" si="1"/>
        <v>1</v>
      </c>
      <c r="G22" s="5" t="str">
        <f t="shared" si="2"/>
        <v>C</v>
      </c>
      <c r="J22" s="51" t="s">
        <v>247</v>
      </c>
      <c r="K22" s="62" t="s">
        <v>113</v>
      </c>
      <c r="L22" s="5">
        <v>23</v>
      </c>
      <c r="M22" s="70">
        <v>28429.5</v>
      </c>
      <c r="N22" s="44">
        <f t="shared" si="3"/>
        <v>2.2984641405435852E-2</v>
      </c>
      <c r="O22" s="44">
        <f t="shared" si="4"/>
        <v>0.92065526670386033</v>
      </c>
      <c r="P22" s="5" t="str">
        <f t="shared" si="5"/>
        <v>B</v>
      </c>
      <c r="S22" s="51" t="s">
        <v>247</v>
      </c>
      <c r="T22" s="62" t="s">
        <v>234</v>
      </c>
      <c r="U22" s="48">
        <v>115</v>
      </c>
      <c r="V22" s="70">
        <v>46560</v>
      </c>
      <c r="W22" s="44">
        <f t="shared" si="6"/>
        <v>4.0209243167133882E-2</v>
      </c>
      <c r="X22" s="44">
        <f t="shared" si="7"/>
        <v>0.91458541157014572</v>
      </c>
      <c r="Y22" s="5" t="str">
        <f t="shared" si="8"/>
        <v>B</v>
      </c>
      <c r="AB22" s="51" t="s">
        <v>247</v>
      </c>
      <c r="AC22" s="62" t="s">
        <v>205</v>
      </c>
      <c r="AD22" s="5">
        <v>50</v>
      </c>
      <c r="AE22" s="70">
        <v>29558.200000000004</v>
      </c>
      <c r="AF22" s="44">
        <f t="shared" si="9"/>
        <v>3.0249350159668689E-2</v>
      </c>
      <c r="AG22" s="44">
        <f t="shared" si="10"/>
        <v>0.95875020699194113</v>
      </c>
      <c r="AH22" s="5" t="str">
        <f t="shared" si="11"/>
        <v>C</v>
      </c>
    </row>
    <row r="23" spans="1:34" x14ac:dyDescent="0.3">
      <c r="A23" s="51" t="s">
        <v>247</v>
      </c>
      <c r="B23" s="21" t="s">
        <v>113</v>
      </c>
      <c r="C23" s="20">
        <v>0</v>
      </c>
      <c r="D23" s="47">
        <v>0</v>
      </c>
      <c r="E23" s="44">
        <f t="shared" si="0"/>
        <v>0</v>
      </c>
      <c r="F23" s="44">
        <f t="shared" si="1"/>
        <v>1</v>
      </c>
      <c r="G23" s="5" t="str">
        <f t="shared" si="2"/>
        <v>C</v>
      </c>
      <c r="J23" s="51" t="s">
        <v>247</v>
      </c>
      <c r="K23" s="62" t="s">
        <v>207</v>
      </c>
      <c r="L23" s="5">
        <v>34</v>
      </c>
      <c r="M23" s="70">
        <v>22834.6</v>
      </c>
      <c r="N23" s="44">
        <f t="shared" si="3"/>
        <v>1.8461284673897377E-2</v>
      </c>
      <c r="O23" s="44">
        <f t="shared" si="4"/>
        <v>0.93911655137775774</v>
      </c>
      <c r="P23" s="5" t="str">
        <f t="shared" si="5"/>
        <v>B</v>
      </c>
      <c r="S23" s="51" t="s">
        <v>247</v>
      </c>
      <c r="T23" s="62" t="s">
        <v>205</v>
      </c>
      <c r="U23" s="48">
        <v>63</v>
      </c>
      <c r="V23" s="70">
        <v>34487.300000000003</v>
      </c>
      <c r="W23" s="44">
        <f t="shared" si="6"/>
        <v>2.9783252402875784E-2</v>
      </c>
      <c r="X23" s="44">
        <f t="shared" si="7"/>
        <v>0.94436866397302155</v>
      </c>
      <c r="Y23" s="5" t="str">
        <f t="shared" si="8"/>
        <v>B</v>
      </c>
      <c r="AB23" s="51" t="s">
        <v>247</v>
      </c>
      <c r="AC23" s="62" t="s">
        <v>108</v>
      </c>
      <c r="AD23" s="5">
        <v>11</v>
      </c>
      <c r="AE23" s="70">
        <v>12071.5</v>
      </c>
      <c r="AF23" s="44">
        <f t="shared" si="9"/>
        <v>1.2353764114609162E-2</v>
      </c>
      <c r="AG23" s="44">
        <f t="shared" si="10"/>
        <v>0.97110397110655033</v>
      </c>
      <c r="AH23" s="5" t="str">
        <f t="shared" si="11"/>
        <v>C</v>
      </c>
    </row>
    <row r="24" spans="1:34" x14ac:dyDescent="0.3">
      <c r="A24" s="51" t="s">
        <v>247</v>
      </c>
      <c r="B24" s="21" t="s">
        <v>205</v>
      </c>
      <c r="C24" s="20">
        <v>0</v>
      </c>
      <c r="D24" s="47">
        <v>0</v>
      </c>
      <c r="E24" s="44">
        <f t="shared" si="0"/>
        <v>0</v>
      </c>
      <c r="F24" s="44">
        <f t="shared" si="1"/>
        <v>1</v>
      </c>
      <c r="G24" s="5" t="str">
        <f t="shared" si="2"/>
        <v>C</v>
      </c>
      <c r="J24" s="51" t="s">
        <v>247</v>
      </c>
      <c r="K24" s="62" t="s">
        <v>111</v>
      </c>
      <c r="L24" s="5">
        <v>8</v>
      </c>
      <c r="M24" s="70">
        <v>22385.8</v>
      </c>
      <c r="N24" s="44">
        <f t="shared" si="3"/>
        <v>1.8098439493266005E-2</v>
      </c>
      <c r="O24" s="44">
        <f t="shared" si="4"/>
        <v>0.95721499087102369</v>
      </c>
      <c r="P24" s="5" t="str">
        <f t="shared" si="5"/>
        <v>C</v>
      </c>
      <c r="S24" s="51" t="s">
        <v>247</v>
      </c>
      <c r="T24" s="62" t="s">
        <v>110</v>
      </c>
      <c r="U24" s="48">
        <v>20</v>
      </c>
      <c r="V24" s="70">
        <v>16456.5</v>
      </c>
      <c r="W24" s="44">
        <f t="shared" si="6"/>
        <v>1.4211843002146451E-2</v>
      </c>
      <c r="X24" s="44">
        <f t="shared" si="7"/>
        <v>0.95858050697516806</v>
      </c>
      <c r="Y24" s="5" t="str">
        <f t="shared" si="8"/>
        <v>C</v>
      </c>
      <c r="AB24" s="51" t="s">
        <v>247</v>
      </c>
      <c r="AC24" s="62" t="s">
        <v>206</v>
      </c>
      <c r="AD24" s="5">
        <v>12</v>
      </c>
      <c r="AE24" s="70">
        <v>8515.2000000000007</v>
      </c>
      <c r="AF24" s="44">
        <f t="shared" si="9"/>
        <v>8.7143082623302778E-3</v>
      </c>
      <c r="AG24" s="44">
        <f t="shared" si="10"/>
        <v>0.97981827936888066</v>
      </c>
      <c r="AH24" s="5" t="str">
        <f t="shared" si="11"/>
        <v>C</v>
      </c>
    </row>
    <row r="25" spans="1:34" x14ac:dyDescent="0.3">
      <c r="A25" s="51" t="s">
        <v>247</v>
      </c>
      <c r="B25" s="21" t="s">
        <v>206</v>
      </c>
      <c r="C25" s="20">
        <v>0</v>
      </c>
      <c r="D25" s="47">
        <v>0</v>
      </c>
      <c r="E25" s="44">
        <f t="shared" si="0"/>
        <v>0</v>
      </c>
      <c r="F25" s="44">
        <f t="shared" si="1"/>
        <v>1</v>
      </c>
      <c r="G25" s="5" t="str">
        <f t="shared" si="2"/>
        <v>C</v>
      </c>
      <c r="J25" s="51" t="s">
        <v>247</v>
      </c>
      <c r="K25" s="62" t="s">
        <v>107</v>
      </c>
      <c r="L25" s="5">
        <v>20</v>
      </c>
      <c r="M25" s="70">
        <v>20577.099999999999</v>
      </c>
      <c r="N25" s="44">
        <f t="shared" si="3"/>
        <v>1.6636144310093179E-2</v>
      </c>
      <c r="O25" s="44">
        <f t="shared" si="4"/>
        <v>0.97385113518111688</v>
      </c>
      <c r="P25" s="5" t="str">
        <f t="shared" si="5"/>
        <v>C</v>
      </c>
      <c r="S25" s="51" t="s">
        <v>247</v>
      </c>
      <c r="T25" s="62" t="s">
        <v>210</v>
      </c>
      <c r="U25" s="48">
        <v>16</v>
      </c>
      <c r="V25" s="70">
        <v>13350</v>
      </c>
      <c r="W25" s="44">
        <f t="shared" si="6"/>
        <v>1.1529067789545476E-2</v>
      </c>
      <c r="X25" s="44">
        <f t="shared" si="7"/>
        <v>0.97010957476471349</v>
      </c>
      <c r="Y25" s="5" t="str">
        <f t="shared" si="8"/>
        <v>C</v>
      </c>
      <c r="AB25" s="51" t="s">
        <v>247</v>
      </c>
      <c r="AC25" s="62" t="s">
        <v>207</v>
      </c>
      <c r="AD25" s="5">
        <v>10</v>
      </c>
      <c r="AE25" s="70">
        <v>6939.6</v>
      </c>
      <c r="AF25" s="44">
        <f t="shared" si="9"/>
        <v>7.1018664995851173E-3</v>
      </c>
      <c r="AG25" s="44">
        <f t="shared" si="10"/>
        <v>0.98692014586846577</v>
      </c>
      <c r="AH25" s="5" t="str">
        <f t="shared" si="11"/>
        <v>C</v>
      </c>
    </row>
    <row r="26" spans="1:34" x14ac:dyDescent="0.3">
      <c r="A26" s="51" t="s">
        <v>247</v>
      </c>
      <c r="B26" s="21" t="s">
        <v>207</v>
      </c>
      <c r="C26" s="20">
        <v>0</v>
      </c>
      <c r="D26" s="47">
        <v>0</v>
      </c>
      <c r="E26" s="44">
        <f t="shared" si="0"/>
        <v>0</v>
      </c>
      <c r="F26" s="44">
        <f t="shared" si="1"/>
        <v>1</v>
      </c>
      <c r="G26" s="5" t="str">
        <f t="shared" si="2"/>
        <v>C</v>
      </c>
      <c r="J26" s="51" t="s">
        <v>247</v>
      </c>
      <c r="K26" s="62" t="s">
        <v>316</v>
      </c>
      <c r="L26" s="5">
        <v>22</v>
      </c>
      <c r="M26" s="70">
        <v>13318</v>
      </c>
      <c r="N26" s="44">
        <f t="shared" si="3"/>
        <v>1.076731754823668E-2</v>
      </c>
      <c r="O26" s="44">
        <f t="shared" si="4"/>
        <v>0.98461845272935355</v>
      </c>
      <c r="P26" s="5" t="str">
        <f t="shared" si="5"/>
        <v>C</v>
      </c>
      <c r="S26" s="51" t="s">
        <v>247</v>
      </c>
      <c r="T26" s="62" t="s">
        <v>111</v>
      </c>
      <c r="U26" s="48">
        <v>2</v>
      </c>
      <c r="V26" s="70">
        <v>7215.4</v>
      </c>
      <c r="W26" s="44">
        <f t="shared" si="6"/>
        <v>6.2312236500888709E-3</v>
      </c>
      <c r="X26" s="44">
        <f t="shared" si="7"/>
        <v>0.97634079841480237</v>
      </c>
      <c r="Y26" s="5" t="str">
        <f t="shared" si="8"/>
        <v>C</v>
      </c>
      <c r="AB26" s="51" t="s">
        <v>247</v>
      </c>
      <c r="AC26" s="62" t="s">
        <v>316</v>
      </c>
      <c r="AD26" s="5">
        <v>8</v>
      </c>
      <c r="AE26" s="70">
        <v>4752</v>
      </c>
      <c r="AF26" s="44">
        <f t="shared" si="9"/>
        <v>4.8631145319655992E-3</v>
      </c>
      <c r="AG26" s="44">
        <f t="shared" si="10"/>
        <v>0.99178326040043141</v>
      </c>
      <c r="AH26" s="5" t="str">
        <f t="shared" si="11"/>
        <v>C</v>
      </c>
    </row>
    <row r="27" spans="1:34" x14ac:dyDescent="0.3">
      <c r="A27" s="51" t="s">
        <v>247</v>
      </c>
      <c r="B27" s="21" t="s">
        <v>316</v>
      </c>
      <c r="C27" s="20">
        <v>0</v>
      </c>
      <c r="D27" s="47">
        <v>0</v>
      </c>
      <c r="E27" s="44">
        <f t="shared" si="0"/>
        <v>0</v>
      </c>
      <c r="F27" s="44">
        <f t="shared" si="1"/>
        <v>1</v>
      </c>
      <c r="G27" s="5" t="str">
        <f t="shared" si="2"/>
        <v>C</v>
      </c>
      <c r="J27" s="51" t="s">
        <v>247</v>
      </c>
      <c r="K27" s="62" t="s">
        <v>208</v>
      </c>
      <c r="L27" s="5">
        <v>15</v>
      </c>
      <c r="M27" s="70">
        <v>7035.2</v>
      </c>
      <c r="N27" s="44">
        <f t="shared" si="3"/>
        <v>5.6878084108240492E-3</v>
      </c>
      <c r="O27" s="44">
        <f t="shared" si="4"/>
        <v>0.99030626114017761</v>
      </c>
      <c r="P27" s="5" t="str">
        <f t="shared" si="5"/>
        <v>C</v>
      </c>
      <c r="S27" s="51" t="s">
        <v>247</v>
      </c>
      <c r="T27" s="62" t="s">
        <v>107</v>
      </c>
      <c r="U27" s="48">
        <v>7</v>
      </c>
      <c r="V27" s="70">
        <v>7042</v>
      </c>
      <c r="W27" s="44">
        <f t="shared" si="6"/>
        <v>6.0814753089123022E-3</v>
      </c>
      <c r="X27" s="44">
        <f t="shared" si="7"/>
        <v>0.98242227372371471</v>
      </c>
      <c r="Y27" s="5" t="str">
        <f t="shared" si="8"/>
        <v>C</v>
      </c>
      <c r="AB27" s="51" t="s">
        <v>247</v>
      </c>
      <c r="AC27" s="62" t="s">
        <v>111</v>
      </c>
      <c r="AD27" s="5">
        <v>1</v>
      </c>
      <c r="AE27" s="70">
        <v>3737</v>
      </c>
      <c r="AF27" s="44">
        <f t="shared" si="9"/>
        <v>3.8243811039468528E-3</v>
      </c>
      <c r="AG27" s="44">
        <f t="shared" si="10"/>
        <v>0.9956076415043783</v>
      </c>
      <c r="AH27" s="5" t="str">
        <f t="shared" si="11"/>
        <v>C</v>
      </c>
    </row>
    <row r="28" spans="1:34" x14ac:dyDescent="0.3">
      <c r="A28" s="51" t="s">
        <v>247</v>
      </c>
      <c r="B28" s="21" t="s">
        <v>326</v>
      </c>
      <c r="C28" s="20">
        <v>0</v>
      </c>
      <c r="D28" s="47">
        <v>0</v>
      </c>
      <c r="E28" s="44">
        <f t="shared" si="0"/>
        <v>0</v>
      </c>
      <c r="F28" s="44">
        <f t="shared" si="1"/>
        <v>1</v>
      </c>
      <c r="G28" s="5" t="str">
        <f t="shared" si="2"/>
        <v>C</v>
      </c>
      <c r="J28" s="51" t="s">
        <v>247</v>
      </c>
      <c r="K28" s="62" t="s">
        <v>110</v>
      </c>
      <c r="L28" s="5">
        <v>8</v>
      </c>
      <c r="M28" s="70">
        <v>6464.5</v>
      </c>
      <c r="N28" s="44">
        <f t="shared" si="3"/>
        <v>5.2264096929400825E-3</v>
      </c>
      <c r="O28" s="44">
        <f t="shared" si="4"/>
        <v>0.99553267083311769</v>
      </c>
      <c r="P28" s="5" t="str">
        <f t="shared" si="5"/>
        <v>C</v>
      </c>
      <c r="S28" s="51" t="s">
        <v>247</v>
      </c>
      <c r="T28" s="62" t="s">
        <v>207</v>
      </c>
      <c r="U28" s="48">
        <v>10</v>
      </c>
      <c r="V28" s="70">
        <v>6718.8</v>
      </c>
      <c r="W28" s="44">
        <f t="shared" si="6"/>
        <v>5.8023596003294493E-3</v>
      </c>
      <c r="X28" s="44">
        <f t="shared" si="7"/>
        <v>0.9882246333240442</v>
      </c>
      <c r="Y28" s="5" t="str">
        <f t="shared" si="8"/>
        <v>C</v>
      </c>
      <c r="AB28" s="51" t="s">
        <v>247</v>
      </c>
      <c r="AC28" s="62" t="s">
        <v>110</v>
      </c>
      <c r="AD28" s="5">
        <v>3</v>
      </c>
      <c r="AE28" s="70">
        <v>2460</v>
      </c>
      <c r="AF28" s="44">
        <f t="shared" si="9"/>
        <v>2.5175214117498686E-3</v>
      </c>
      <c r="AG28" s="44">
        <f t="shared" si="10"/>
        <v>0.99812516291612818</v>
      </c>
      <c r="AH28" s="5" t="str">
        <f t="shared" si="11"/>
        <v>C</v>
      </c>
    </row>
    <row r="29" spans="1:34" x14ac:dyDescent="0.3">
      <c r="A29" s="51" t="s">
        <v>247</v>
      </c>
      <c r="B29" s="21" t="s">
        <v>210</v>
      </c>
      <c r="C29" s="20">
        <v>0</v>
      </c>
      <c r="D29" s="47">
        <v>0</v>
      </c>
      <c r="E29" s="44">
        <f t="shared" si="0"/>
        <v>0</v>
      </c>
      <c r="F29" s="44">
        <f t="shared" si="1"/>
        <v>1</v>
      </c>
      <c r="G29" s="5" t="str">
        <f t="shared" si="2"/>
        <v>C</v>
      </c>
      <c r="J29" s="51" t="s">
        <v>247</v>
      </c>
      <c r="K29" s="62" t="s">
        <v>210</v>
      </c>
      <c r="L29" s="5">
        <v>5</v>
      </c>
      <c r="M29" s="70">
        <v>4593.1000000000004</v>
      </c>
      <c r="N29" s="44">
        <f t="shared" si="3"/>
        <v>3.7134229036496396E-3</v>
      </c>
      <c r="O29" s="44">
        <f t="shared" si="4"/>
        <v>0.99924609373676732</v>
      </c>
      <c r="P29" s="5" t="str">
        <f t="shared" si="5"/>
        <v>C</v>
      </c>
      <c r="S29" s="51" t="s">
        <v>247</v>
      </c>
      <c r="T29" s="62" t="s">
        <v>208</v>
      </c>
      <c r="U29" s="48">
        <v>10</v>
      </c>
      <c r="V29" s="70">
        <v>5815</v>
      </c>
      <c r="W29" s="44">
        <f t="shared" si="6"/>
        <v>5.0218373929743028E-3</v>
      </c>
      <c r="X29" s="44">
        <f t="shared" si="7"/>
        <v>0.99324647071701855</v>
      </c>
      <c r="Y29" s="5" t="str">
        <f t="shared" si="8"/>
        <v>C</v>
      </c>
      <c r="AB29" s="51" t="s">
        <v>247</v>
      </c>
      <c r="AC29" s="62" t="s">
        <v>210</v>
      </c>
      <c r="AD29" s="5">
        <v>2</v>
      </c>
      <c r="AE29" s="70">
        <v>1832</v>
      </c>
      <c r="AF29" s="44">
        <f t="shared" si="9"/>
        <v>1.8748370838722597E-3</v>
      </c>
      <c r="AG29" s="44">
        <f t="shared" si="10"/>
        <v>1.0000000000000004</v>
      </c>
      <c r="AH29" s="5" t="str">
        <f t="shared" si="11"/>
        <v>C</v>
      </c>
    </row>
    <row r="30" spans="1:34" x14ac:dyDescent="0.3">
      <c r="A30" s="51" t="s">
        <v>247</v>
      </c>
      <c r="B30" s="21" t="s">
        <v>211</v>
      </c>
      <c r="C30" s="20">
        <v>0</v>
      </c>
      <c r="D30" s="47">
        <v>0</v>
      </c>
      <c r="E30" s="44">
        <f t="shared" si="0"/>
        <v>0</v>
      </c>
      <c r="F30" s="44">
        <f t="shared" si="1"/>
        <v>1</v>
      </c>
      <c r="G30" s="5" t="str">
        <f t="shared" si="2"/>
        <v>C</v>
      </c>
      <c r="J30" s="51" t="s">
        <v>247</v>
      </c>
      <c r="K30" s="62" t="s">
        <v>206</v>
      </c>
      <c r="L30" s="5">
        <v>1</v>
      </c>
      <c r="M30" s="70">
        <v>932.5</v>
      </c>
      <c r="N30" s="44">
        <f t="shared" si="3"/>
        <v>7.5390626323252024E-4</v>
      </c>
      <c r="O30" s="44">
        <f t="shared" si="4"/>
        <v>0.99999999999999989</v>
      </c>
      <c r="P30" s="5" t="str">
        <f t="shared" si="5"/>
        <v>C</v>
      </c>
      <c r="S30" s="51" t="s">
        <v>247</v>
      </c>
      <c r="T30" s="62" t="s">
        <v>108</v>
      </c>
      <c r="U30" s="48">
        <v>5</v>
      </c>
      <c r="V30" s="70">
        <v>5354.2</v>
      </c>
      <c r="W30" s="44">
        <f t="shared" si="6"/>
        <v>4.6238902441036994E-3</v>
      </c>
      <c r="X30" s="44">
        <f t="shared" si="7"/>
        <v>0.99787036096112225</v>
      </c>
      <c r="Y30" s="5" t="str">
        <f t="shared" si="8"/>
        <v>C</v>
      </c>
      <c r="AB30" s="51" t="s">
        <v>247</v>
      </c>
      <c r="AC30" s="62" t="s">
        <v>208</v>
      </c>
      <c r="AD30" s="5">
        <v>0</v>
      </c>
      <c r="AE30" s="70">
        <v>0</v>
      </c>
      <c r="AF30" s="44">
        <f t="shared" si="9"/>
        <v>0</v>
      </c>
      <c r="AG30" s="44">
        <f t="shared" si="10"/>
        <v>1.0000000000000004</v>
      </c>
      <c r="AH30" s="5" t="str">
        <f t="shared" si="11"/>
        <v>C</v>
      </c>
    </row>
    <row r="31" spans="1:34" x14ac:dyDescent="0.3">
      <c r="A31" s="51" t="s">
        <v>247</v>
      </c>
      <c r="B31" s="21" t="s">
        <v>212</v>
      </c>
      <c r="C31" s="20">
        <v>0</v>
      </c>
      <c r="D31" s="47">
        <v>0</v>
      </c>
      <c r="E31" s="44">
        <f t="shared" si="0"/>
        <v>0</v>
      </c>
      <c r="F31" s="44">
        <f t="shared" si="1"/>
        <v>1</v>
      </c>
      <c r="G31" s="5" t="str">
        <f t="shared" si="2"/>
        <v>C</v>
      </c>
      <c r="J31" s="51" t="s">
        <v>247</v>
      </c>
      <c r="K31" s="62" t="s">
        <v>108</v>
      </c>
      <c r="L31" s="5">
        <v>0</v>
      </c>
      <c r="M31" s="70">
        <v>0</v>
      </c>
      <c r="N31" s="44">
        <f t="shared" si="3"/>
        <v>0</v>
      </c>
      <c r="O31" s="44">
        <f t="shared" si="4"/>
        <v>0.99999999999999989</v>
      </c>
      <c r="P31" s="5" t="str">
        <f t="shared" si="5"/>
        <v>C</v>
      </c>
      <c r="S31" s="51" t="s">
        <v>247</v>
      </c>
      <c r="T31" s="62" t="s">
        <v>206</v>
      </c>
      <c r="U31" s="48">
        <v>4</v>
      </c>
      <c r="V31" s="70">
        <v>2466</v>
      </c>
      <c r="W31" s="44">
        <f t="shared" si="6"/>
        <v>2.1296390388778385E-3</v>
      </c>
      <c r="X31" s="44">
        <f t="shared" si="7"/>
        <v>1</v>
      </c>
      <c r="Y31" s="5" t="str">
        <f t="shared" si="8"/>
        <v>C</v>
      </c>
      <c r="AB31" s="51" t="s">
        <v>247</v>
      </c>
      <c r="AC31" s="62" t="s">
        <v>107</v>
      </c>
      <c r="AD31" s="5">
        <v>0</v>
      </c>
      <c r="AE31" s="70">
        <v>0</v>
      </c>
      <c r="AF31" s="44">
        <f t="shared" si="9"/>
        <v>0</v>
      </c>
      <c r="AG31" s="44">
        <f t="shared" si="10"/>
        <v>1.0000000000000004</v>
      </c>
      <c r="AH31" s="5" t="str">
        <f t="shared" si="11"/>
        <v>C</v>
      </c>
    </row>
    <row r="32" spans="1:34" x14ac:dyDescent="0.3">
      <c r="A32" s="51" t="s">
        <v>247</v>
      </c>
      <c r="B32" s="21" t="s">
        <v>114</v>
      </c>
      <c r="C32" s="20">
        <v>0</v>
      </c>
      <c r="D32" s="47">
        <v>0</v>
      </c>
      <c r="E32" s="44">
        <f t="shared" si="0"/>
        <v>0</v>
      </c>
      <c r="F32" s="44">
        <f t="shared" si="1"/>
        <v>1</v>
      </c>
      <c r="G32" s="5" t="str">
        <f t="shared" si="2"/>
        <v>C</v>
      </c>
      <c r="J32" s="51" t="s">
        <v>247</v>
      </c>
      <c r="K32" s="62" t="s">
        <v>326</v>
      </c>
      <c r="L32" s="5">
        <v>0</v>
      </c>
      <c r="M32" s="70">
        <v>0</v>
      </c>
      <c r="N32" s="44">
        <f t="shared" si="3"/>
        <v>0</v>
      </c>
      <c r="O32" s="44">
        <f t="shared" si="4"/>
        <v>0.99999999999999989</v>
      </c>
      <c r="P32" s="5" t="str">
        <f t="shared" si="5"/>
        <v>C</v>
      </c>
      <c r="S32" s="51" t="s">
        <v>247</v>
      </c>
      <c r="T32" s="62" t="s">
        <v>326</v>
      </c>
      <c r="U32" s="48">
        <v>0</v>
      </c>
      <c r="V32" s="70">
        <v>0</v>
      </c>
      <c r="W32" s="44">
        <f t="shared" si="6"/>
        <v>0</v>
      </c>
      <c r="X32" s="44">
        <f t="shared" si="7"/>
        <v>1</v>
      </c>
      <c r="Y32" s="5" t="str">
        <f t="shared" si="8"/>
        <v>C</v>
      </c>
      <c r="AB32" s="51" t="s">
        <v>247</v>
      </c>
      <c r="AC32" s="62" t="s">
        <v>326</v>
      </c>
      <c r="AD32" s="5">
        <v>0</v>
      </c>
      <c r="AE32" s="70">
        <v>0</v>
      </c>
      <c r="AF32" s="44">
        <f t="shared" si="9"/>
        <v>0</v>
      </c>
      <c r="AG32" s="44">
        <f t="shared" si="10"/>
        <v>1.0000000000000004</v>
      </c>
      <c r="AH32" s="5" t="str">
        <f t="shared" si="11"/>
        <v>C</v>
      </c>
    </row>
    <row r="33" spans="1:34" x14ac:dyDescent="0.3">
      <c r="A33" s="51" t="s">
        <v>248</v>
      </c>
      <c r="B33" s="21" t="s">
        <v>158</v>
      </c>
      <c r="C33" s="20">
        <v>8</v>
      </c>
      <c r="D33" s="47">
        <v>52826.9058</v>
      </c>
      <c r="E33" s="44">
        <f t="shared" si="0"/>
        <v>1</v>
      </c>
      <c r="F33" s="44">
        <f t="shared" si="1"/>
        <v>1</v>
      </c>
      <c r="G33" s="5" t="str">
        <f t="shared" si="2"/>
        <v>A</v>
      </c>
      <c r="J33" s="51" t="s">
        <v>248</v>
      </c>
      <c r="K33" s="62" t="s">
        <v>158</v>
      </c>
      <c r="L33" s="5">
        <v>76</v>
      </c>
      <c r="M33" s="70">
        <v>395221.65</v>
      </c>
      <c r="N33" s="44">
        <f t="shared" si="3"/>
        <v>1</v>
      </c>
      <c r="O33" s="44">
        <f t="shared" si="4"/>
        <v>1</v>
      </c>
      <c r="P33" s="5" t="str">
        <f t="shared" si="5"/>
        <v>A</v>
      </c>
      <c r="S33" s="51" t="s">
        <v>248</v>
      </c>
      <c r="T33" s="62" t="s">
        <v>158</v>
      </c>
      <c r="U33" s="48">
        <v>77</v>
      </c>
      <c r="V33" s="70">
        <v>407435.76999999984</v>
      </c>
      <c r="W33" s="44">
        <f t="shared" si="6"/>
        <v>1</v>
      </c>
      <c r="X33" s="44">
        <f t="shared" si="7"/>
        <v>1</v>
      </c>
      <c r="Y33" s="5" t="str">
        <f t="shared" si="8"/>
        <v>A</v>
      </c>
      <c r="AB33" s="51" t="s">
        <v>248</v>
      </c>
      <c r="AC33" s="62" t="s">
        <v>158</v>
      </c>
      <c r="AD33" s="5">
        <v>107</v>
      </c>
      <c r="AE33" s="70">
        <v>511430.01</v>
      </c>
      <c r="AF33" s="44">
        <f t="shared" si="9"/>
        <v>1</v>
      </c>
      <c r="AG33" s="44">
        <f t="shared" si="10"/>
        <v>1</v>
      </c>
      <c r="AH33" s="5" t="str">
        <f t="shared" si="11"/>
        <v>A</v>
      </c>
    </row>
    <row r="34" spans="1:34" x14ac:dyDescent="0.3">
      <c r="A34" s="51" t="s">
        <v>249</v>
      </c>
      <c r="B34" s="21" t="s">
        <v>42</v>
      </c>
      <c r="C34" s="20">
        <v>35</v>
      </c>
      <c r="D34" s="47">
        <v>56953.299500000008</v>
      </c>
      <c r="E34" s="44">
        <f t="shared" si="0"/>
        <v>0.37648411886185451</v>
      </c>
      <c r="F34" s="44">
        <f t="shared" si="1"/>
        <v>0.37648411886185451</v>
      </c>
      <c r="G34" s="5" t="str">
        <f t="shared" si="2"/>
        <v>A</v>
      </c>
      <c r="J34" s="51" t="s">
        <v>249</v>
      </c>
      <c r="K34" s="62" t="s">
        <v>66</v>
      </c>
      <c r="L34" s="5">
        <v>573</v>
      </c>
      <c r="M34" s="70">
        <v>1049383.6499999999</v>
      </c>
      <c r="N34" s="44">
        <f t="shared" si="3"/>
        <v>0.50446335158702849</v>
      </c>
      <c r="O34" s="44">
        <f t="shared" si="4"/>
        <v>0.50446335158702849</v>
      </c>
      <c r="P34" s="5" t="str">
        <f t="shared" si="5"/>
        <v>A</v>
      </c>
      <c r="S34" s="51" t="s">
        <v>249</v>
      </c>
      <c r="T34" s="62" t="s">
        <v>66</v>
      </c>
      <c r="U34" s="48">
        <v>403</v>
      </c>
      <c r="V34" s="70">
        <v>671592.64999999991</v>
      </c>
      <c r="W34" s="44">
        <f t="shared" si="6"/>
        <v>0.29521732540148254</v>
      </c>
      <c r="X34" s="44">
        <f t="shared" si="7"/>
        <v>0.29521732540148254</v>
      </c>
      <c r="Y34" s="5" t="str">
        <f t="shared" si="8"/>
        <v>A</v>
      </c>
      <c r="AB34" s="51" t="s">
        <v>249</v>
      </c>
      <c r="AC34" s="62" t="s">
        <v>285</v>
      </c>
      <c r="AD34" s="5">
        <v>192</v>
      </c>
      <c r="AE34" s="70">
        <v>581432.80000000005</v>
      </c>
      <c r="AF34" s="44">
        <f t="shared" si="9"/>
        <v>0.39894405862815713</v>
      </c>
      <c r="AG34" s="44">
        <f t="shared" si="10"/>
        <v>0.39894405862815713</v>
      </c>
      <c r="AH34" s="5" t="str">
        <f t="shared" si="11"/>
        <v>A</v>
      </c>
    </row>
    <row r="35" spans="1:34" x14ac:dyDescent="0.3">
      <c r="A35" s="51" t="s">
        <v>249</v>
      </c>
      <c r="B35" s="21" t="s">
        <v>66</v>
      </c>
      <c r="C35" s="20">
        <v>33</v>
      </c>
      <c r="D35" s="47">
        <v>41931.649799999999</v>
      </c>
      <c r="E35" s="44">
        <f t="shared" si="0"/>
        <v>0.27718499834020777</v>
      </c>
      <c r="F35" s="44">
        <f t="shared" si="1"/>
        <v>0.65366911720206233</v>
      </c>
      <c r="G35" s="5" t="str">
        <f t="shared" si="2"/>
        <v>A</v>
      </c>
      <c r="J35" s="51" t="s">
        <v>249</v>
      </c>
      <c r="K35" s="62" t="s">
        <v>285</v>
      </c>
      <c r="L35" s="5">
        <v>267</v>
      </c>
      <c r="M35" s="70">
        <v>750675.75</v>
      </c>
      <c r="N35" s="44">
        <f t="shared" si="3"/>
        <v>0.36086745281395066</v>
      </c>
      <c r="O35" s="44">
        <f t="shared" si="4"/>
        <v>0.86533080440097909</v>
      </c>
      <c r="P35" s="5" t="str">
        <f t="shared" si="5"/>
        <v>B</v>
      </c>
      <c r="S35" s="51" t="s">
        <v>249</v>
      </c>
      <c r="T35" s="62" t="s">
        <v>42</v>
      </c>
      <c r="U35" s="48">
        <v>305</v>
      </c>
      <c r="V35" s="70">
        <v>563132.88999999978</v>
      </c>
      <c r="W35" s="44">
        <f t="shared" si="6"/>
        <v>0.24754080562288353</v>
      </c>
      <c r="X35" s="44">
        <f t="shared" si="7"/>
        <v>0.5427581310243661</v>
      </c>
      <c r="Y35" s="5" t="str">
        <f t="shared" si="8"/>
        <v>A</v>
      </c>
      <c r="AB35" s="51" t="s">
        <v>249</v>
      </c>
      <c r="AC35" s="62" t="s">
        <v>42</v>
      </c>
      <c r="AD35" s="5">
        <v>151</v>
      </c>
      <c r="AE35" s="70">
        <v>293038.95</v>
      </c>
      <c r="AF35" s="44">
        <f t="shared" si="9"/>
        <v>0.20106562280135143</v>
      </c>
      <c r="AG35" s="44">
        <f t="shared" si="10"/>
        <v>0.60000968142950861</v>
      </c>
      <c r="AH35" s="5" t="str">
        <f t="shared" si="11"/>
        <v>A</v>
      </c>
    </row>
    <row r="36" spans="1:34" x14ac:dyDescent="0.3">
      <c r="A36" s="51" t="s">
        <v>249</v>
      </c>
      <c r="B36" s="21" t="s">
        <v>152</v>
      </c>
      <c r="C36" s="20">
        <v>23</v>
      </c>
      <c r="D36" s="47">
        <v>38163.313700000006</v>
      </c>
      <c r="E36" s="44">
        <f t="shared" si="0"/>
        <v>0.25227478754225713</v>
      </c>
      <c r="F36" s="44">
        <f t="shared" si="1"/>
        <v>0.90594390474431941</v>
      </c>
      <c r="G36" s="5" t="str">
        <f t="shared" si="2"/>
        <v>B</v>
      </c>
      <c r="J36" s="51" t="s">
        <v>249</v>
      </c>
      <c r="K36" s="62" t="s">
        <v>42</v>
      </c>
      <c r="L36" s="5">
        <v>63</v>
      </c>
      <c r="M36" s="70">
        <v>114637.68999999999</v>
      </c>
      <c r="N36" s="44">
        <f t="shared" si="3"/>
        <v>5.5109028347825675E-2</v>
      </c>
      <c r="O36" s="44">
        <f t="shared" si="4"/>
        <v>0.92043983274880481</v>
      </c>
      <c r="P36" s="5" t="str">
        <f t="shared" si="5"/>
        <v>B</v>
      </c>
      <c r="S36" s="51" t="s">
        <v>249</v>
      </c>
      <c r="T36" s="62" t="s">
        <v>285</v>
      </c>
      <c r="U36" s="48">
        <v>202</v>
      </c>
      <c r="V36" s="70">
        <v>554218.92000000004</v>
      </c>
      <c r="W36" s="44">
        <f t="shared" si="6"/>
        <v>0.24362242089650366</v>
      </c>
      <c r="X36" s="44">
        <f t="shared" si="7"/>
        <v>0.78638055192086975</v>
      </c>
      <c r="Y36" s="5" t="str">
        <f t="shared" si="8"/>
        <v>A</v>
      </c>
      <c r="AB36" s="51" t="s">
        <v>249</v>
      </c>
      <c r="AC36" s="62" t="s">
        <v>66</v>
      </c>
      <c r="AD36" s="5">
        <v>152</v>
      </c>
      <c r="AE36" s="70">
        <v>285752.85000000003</v>
      </c>
      <c r="AF36" s="44">
        <f t="shared" si="9"/>
        <v>0.19606634118949429</v>
      </c>
      <c r="AG36" s="44">
        <f t="shared" si="10"/>
        <v>0.7960760226190029</v>
      </c>
      <c r="AH36" s="5" t="str">
        <f t="shared" si="11"/>
        <v>A</v>
      </c>
    </row>
    <row r="37" spans="1:34" x14ac:dyDescent="0.3">
      <c r="A37" s="51" t="s">
        <v>249</v>
      </c>
      <c r="B37" s="21" t="s">
        <v>232</v>
      </c>
      <c r="C37" s="20">
        <v>5</v>
      </c>
      <c r="D37" s="47">
        <v>14228.501799999998</v>
      </c>
      <c r="E37" s="44">
        <f t="shared" si="0"/>
        <v>9.405609525568065E-2</v>
      </c>
      <c r="F37" s="44">
        <f t="shared" si="1"/>
        <v>1</v>
      </c>
      <c r="G37" s="5" t="str">
        <f t="shared" si="2"/>
        <v>C</v>
      </c>
      <c r="J37" s="51" t="s">
        <v>249</v>
      </c>
      <c r="K37" s="62" t="s">
        <v>152</v>
      </c>
      <c r="L37" s="5">
        <v>43</v>
      </c>
      <c r="M37" s="70">
        <v>74820.25</v>
      </c>
      <c r="N37" s="44">
        <f t="shared" si="3"/>
        <v>3.5967850348706469E-2</v>
      </c>
      <c r="O37" s="44">
        <f t="shared" si="4"/>
        <v>0.95640768309751123</v>
      </c>
      <c r="P37" s="5" t="str">
        <f t="shared" si="5"/>
        <v>C</v>
      </c>
      <c r="S37" s="51" t="s">
        <v>249</v>
      </c>
      <c r="T37" s="62" t="s">
        <v>152</v>
      </c>
      <c r="U37" s="48">
        <v>184</v>
      </c>
      <c r="V37" s="70">
        <v>320148.38700000005</v>
      </c>
      <c r="W37" s="44">
        <f t="shared" si="6"/>
        <v>0.14073017407462515</v>
      </c>
      <c r="X37" s="44">
        <f t="shared" si="7"/>
        <v>0.92711072599549493</v>
      </c>
      <c r="Y37" s="5" t="str">
        <f t="shared" si="8"/>
        <v>B</v>
      </c>
      <c r="AB37" s="51" t="s">
        <v>249</v>
      </c>
      <c r="AC37" s="62" t="s">
        <v>152</v>
      </c>
      <c r="AD37" s="5">
        <v>98</v>
      </c>
      <c r="AE37" s="70">
        <v>185177.3</v>
      </c>
      <c r="AF37" s="44">
        <f t="shared" si="9"/>
        <v>0.12705747530549333</v>
      </c>
      <c r="AG37" s="44">
        <f t="shared" si="10"/>
        <v>0.92313349792449628</v>
      </c>
      <c r="AH37" s="5" t="str">
        <f t="shared" si="11"/>
        <v>B</v>
      </c>
    </row>
    <row r="38" spans="1:34" x14ac:dyDescent="0.3">
      <c r="A38" s="51" t="s">
        <v>249</v>
      </c>
      <c r="B38" s="21" t="s">
        <v>12</v>
      </c>
      <c r="C38" s="20">
        <v>0</v>
      </c>
      <c r="D38" s="47">
        <v>0</v>
      </c>
      <c r="E38" s="44">
        <f t="shared" si="0"/>
        <v>0</v>
      </c>
      <c r="F38" s="44">
        <f t="shared" si="1"/>
        <v>1</v>
      </c>
      <c r="G38" s="5" t="str">
        <f t="shared" si="2"/>
        <v>C</v>
      </c>
      <c r="J38" s="51" t="s">
        <v>249</v>
      </c>
      <c r="K38" s="62" t="s">
        <v>162</v>
      </c>
      <c r="L38" s="5">
        <v>26</v>
      </c>
      <c r="M38" s="70">
        <v>42661.85</v>
      </c>
      <c r="N38" s="44">
        <f t="shared" si="3"/>
        <v>2.0508552649836951E-2</v>
      </c>
      <c r="O38" s="44">
        <f t="shared" si="4"/>
        <v>0.97691623574734821</v>
      </c>
      <c r="P38" s="5" t="str">
        <f t="shared" si="5"/>
        <v>C</v>
      </c>
      <c r="S38" s="51" t="s">
        <v>249</v>
      </c>
      <c r="T38" s="62" t="s">
        <v>162</v>
      </c>
      <c r="U38" s="48">
        <v>31</v>
      </c>
      <c r="V38" s="70">
        <v>54759.740000000005</v>
      </c>
      <c r="W38" s="44">
        <f t="shared" si="6"/>
        <v>2.4071174665893952E-2</v>
      </c>
      <c r="X38" s="44">
        <f t="shared" si="7"/>
        <v>0.95118190066138886</v>
      </c>
      <c r="Y38" s="5" t="str">
        <f t="shared" si="8"/>
        <v>C</v>
      </c>
      <c r="AB38" s="51" t="s">
        <v>249</v>
      </c>
      <c r="AC38" s="62" t="s">
        <v>157</v>
      </c>
      <c r="AD38" s="5">
        <v>10</v>
      </c>
      <c r="AE38" s="70">
        <v>42700.85</v>
      </c>
      <c r="AF38" s="44">
        <f t="shared" si="9"/>
        <v>2.9298743390245859E-2</v>
      </c>
      <c r="AG38" s="44">
        <f t="shared" si="10"/>
        <v>0.95243224131474213</v>
      </c>
      <c r="AH38" s="5" t="str">
        <f t="shared" si="11"/>
        <v>C</v>
      </c>
    </row>
    <row r="39" spans="1:34" x14ac:dyDescent="0.3">
      <c r="A39" s="51" t="s">
        <v>249</v>
      </c>
      <c r="B39" s="21" t="s">
        <v>227</v>
      </c>
      <c r="C39" s="20">
        <v>0</v>
      </c>
      <c r="D39" s="47">
        <v>0</v>
      </c>
      <c r="E39" s="44">
        <f t="shared" si="0"/>
        <v>0</v>
      </c>
      <c r="F39" s="44">
        <f t="shared" si="1"/>
        <v>1</v>
      </c>
      <c r="G39" s="5" t="str">
        <f t="shared" si="2"/>
        <v>C</v>
      </c>
      <c r="J39" s="51" t="s">
        <v>249</v>
      </c>
      <c r="K39" s="62" t="s">
        <v>157</v>
      </c>
      <c r="L39" s="5">
        <v>5</v>
      </c>
      <c r="M39" s="70">
        <v>18292.8</v>
      </c>
      <c r="N39" s="44">
        <f t="shared" si="3"/>
        <v>8.7937783268408985E-3</v>
      </c>
      <c r="O39" s="44">
        <f t="shared" si="4"/>
        <v>0.98571001407418912</v>
      </c>
      <c r="P39" s="5" t="str">
        <f t="shared" si="5"/>
        <v>C</v>
      </c>
      <c r="S39" s="51" t="s">
        <v>249</v>
      </c>
      <c r="T39" s="62" t="s">
        <v>232</v>
      </c>
      <c r="U39" s="48">
        <v>15</v>
      </c>
      <c r="V39" s="70">
        <v>40406.699999999997</v>
      </c>
      <c r="W39" s="44">
        <f t="shared" si="6"/>
        <v>1.7761894657870491E-2</v>
      </c>
      <c r="X39" s="44">
        <f t="shared" si="7"/>
        <v>0.96894379531925934</v>
      </c>
      <c r="Y39" s="5" t="str">
        <f t="shared" si="8"/>
        <v>C</v>
      </c>
      <c r="AB39" s="51" t="s">
        <v>249</v>
      </c>
      <c r="AC39" s="62" t="s">
        <v>232</v>
      </c>
      <c r="AD39" s="5">
        <v>13</v>
      </c>
      <c r="AE39" s="70">
        <v>37934.300000000003</v>
      </c>
      <c r="AF39" s="44">
        <f t="shared" si="9"/>
        <v>2.6028224763408776E-2</v>
      </c>
      <c r="AG39" s="44">
        <f t="shared" si="10"/>
        <v>0.97846046607815096</v>
      </c>
      <c r="AH39" s="5" t="str">
        <f t="shared" si="11"/>
        <v>C</v>
      </c>
    </row>
    <row r="40" spans="1:34" x14ac:dyDescent="0.3">
      <c r="A40" s="51" t="s">
        <v>249</v>
      </c>
      <c r="B40" s="21" t="s">
        <v>285</v>
      </c>
      <c r="C40" s="20">
        <v>0</v>
      </c>
      <c r="D40" s="47">
        <v>0</v>
      </c>
      <c r="E40" s="44">
        <f t="shared" si="0"/>
        <v>0</v>
      </c>
      <c r="F40" s="44">
        <f t="shared" si="1"/>
        <v>1</v>
      </c>
      <c r="G40" s="5" t="str">
        <f t="shared" si="2"/>
        <v>C</v>
      </c>
      <c r="J40" s="51" t="s">
        <v>249</v>
      </c>
      <c r="K40" s="62" t="s">
        <v>232</v>
      </c>
      <c r="L40" s="5">
        <v>6</v>
      </c>
      <c r="M40" s="70">
        <v>15196.6</v>
      </c>
      <c r="N40" s="44">
        <f t="shared" si="3"/>
        <v>7.3053623131325114E-3</v>
      </c>
      <c r="O40" s="44">
        <f t="shared" si="4"/>
        <v>0.99301537638732162</v>
      </c>
      <c r="P40" s="5" t="str">
        <f t="shared" si="5"/>
        <v>C</v>
      </c>
      <c r="S40" s="51" t="s">
        <v>249</v>
      </c>
      <c r="T40" s="62" t="s">
        <v>227</v>
      </c>
      <c r="U40" s="48">
        <v>15</v>
      </c>
      <c r="V40" s="70">
        <v>31620.799999999999</v>
      </c>
      <c r="W40" s="44">
        <f t="shared" si="6"/>
        <v>1.3899806680515638E-2</v>
      </c>
      <c r="X40" s="44">
        <f t="shared" si="7"/>
        <v>0.98284360199977494</v>
      </c>
      <c r="Y40" s="5" t="str">
        <f t="shared" si="8"/>
        <v>C</v>
      </c>
      <c r="AB40" s="51" t="s">
        <v>249</v>
      </c>
      <c r="AC40" s="62" t="s">
        <v>12</v>
      </c>
      <c r="AD40" s="5">
        <v>10</v>
      </c>
      <c r="AE40" s="70">
        <v>13349.6</v>
      </c>
      <c r="AF40" s="44">
        <f t="shared" si="9"/>
        <v>9.1596889701827042E-3</v>
      </c>
      <c r="AG40" s="44">
        <f t="shared" si="10"/>
        <v>0.98762015504833367</v>
      </c>
      <c r="AH40" s="5" t="str">
        <f t="shared" si="11"/>
        <v>C</v>
      </c>
    </row>
    <row r="41" spans="1:34" x14ac:dyDescent="0.3">
      <c r="A41" s="51" t="s">
        <v>249</v>
      </c>
      <c r="B41" s="21" t="s">
        <v>157</v>
      </c>
      <c r="C41" s="20">
        <v>0</v>
      </c>
      <c r="D41" s="47">
        <v>0</v>
      </c>
      <c r="E41" s="44">
        <f t="shared" si="0"/>
        <v>0</v>
      </c>
      <c r="F41" s="44">
        <f t="shared" si="1"/>
        <v>1</v>
      </c>
      <c r="G41" s="5" t="str">
        <f t="shared" si="2"/>
        <v>C</v>
      </c>
      <c r="J41" s="51" t="s">
        <v>249</v>
      </c>
      <c r="K41" s="62" t="s">
        <v>227</v>
      </c>
      <c r="L41" s="5">
        <v>4</v>
      </c>
      <c r="M41" s="70">
        <v>9540</v>
      </c>
      <c r="N41" s="44">
        <f t="shared" si="3"/>
        <v>4.5861019219617652E-3</v>
      </c>
      <c r="O41" s="44">
        <f t="shared" si="4"/>
        <v>0.99760147830928336</v>
      </c>
      <c r="P41" s="5" t="str">
        <f t="shared" si="5"/>
        <v>C</v>
      </c>
      <c r="S41" s="51" t="s">
        <v>249</v>
      </c>
      <c r="T41" s="62" t="s">
        <v>12</v>
      </c>
      <c r="U41" s="48">
        <v>23</v>
      </c>
      <c r="V41" s="70">
        <v>31338.75</v>
      </c>
      <c r="W41" s="44">
        <f t="shared" si="6"/>
        <v>1.3775823717584927E-2</v>
      </c>
      <c r="X41" s="44">
        <f t="shared" si="7"/>
        <v>0.99661942571735984</v>
      </c>
      <c r="Y41" s="5" t="str">
        <f t="shared" si="8"/>
        <v>C</v>
      </c>
      <c r="AB41" s="51" t="s">
        <v>249</v>
      </c>
      <c r="AC41" s="62" t="s">
        <v>162</v>
      </c>
      <c r="AD41" s="5">
        <v>6</v>
      </c>
      <c r="AE41" s="70">
        <v>10259.25</v>
      </c>
      <c r="AF41" s="44">
        <f t="shared" si="9"/>
        <v>7.0392775114870038E-3</v>
      </c>
      <c r="AG41" s="44">
        <f t="shared" si="10"/>
        <v>0.9946594325598207</v>
      </c>
      <c r="AH41" s="5" t="str">
        <f t="shared" si="11"/>
        <v>C</v>
      </c>
    </row>
    <row r="42" spans="1:34" x14ac:dyDescent="0.3">
      <c r="A42" s="51" t="s">
        <v>249</v>
      </c>
      <c r="B42" s="21" t="s">
        <v>162</v>
      </c>
      <c r="C42" s="20">
        <v>0</v>
      </c>
      <c r="D42" s="47">
        <v>0</v>
      </c>
      <c r="E42" s="44">
        <f t="shared" si="0"/>
        <v>0</v>
      </c>
      <c r="F42" s="44">
        <f t="shared" si="1"/>
        <v>1</v>
      </c>
      <c r="G42" s="5" t="str">
        <f t="shared" si="2"/>
        <v>C</v>
      </c>
      <c r="J42" s="51" t="s">
        <v>249</v>
      </c>
      <c r="K42" s="62" t="s">
        <v>12</v>
      </c>
      <c r="L42" s="5">
        <v>4</v>
      </c>
      <c r="M42" s="70">
        <v>4989.3999999999996</v>
      </c>
      <c r="N42" s="44">
        <f t="shared" si="3"/>
        <v>2.3985216907165649E-3</v>
      </c>
      <c r="O42" s="44">
        <f t="shared" si="4"/>
        <v>0.99999999999999989</v>
      </c>
      <c r="P42" s="5" t="str">
        <f t="shared" si="5"/>
        <v>C</v>
      </c>
      <c r="S42" s="51" t="s">
        <v>249</v>
      </c>
      <c r="T42" s="62" t="s">
        <v>157</v>
      </c>
      <c r="U42" s="48">
        <v>2</v>
      </c>
      <c r="V42" s="70">
        <v>7690.5</v>
      </c>
      <c r="W42" s="44">
        <f t="shared" si="6"/>
        <v>3.3805742826400823E-3</v>
      </c>
      <c r="X42" s="44">
        <f t="shared" si="7"/>
        <v>0.99999999999999989</v>
      </c>
      <c r="Y42" s="5" t="str">
        <f t="shared" si="8"/>
        <v>C</v>
      </c>
      <c r="AB42" s="51" t="s">
        <v>249</v>
      </c>
      <c r="AC42" s="62" t="s">
        <v>227</v>
      </c>
      <c r="AD42" s="5">
        <v>3</v>
      </c>
      <c r="AE42" s="70">
        <v>7783.5</v>
      </c>
      <c r="AF42" s="44">
        <f t="shared" si="9"/>
        <v>5.340567440179262E-3</v>
      </c>
      <c r="AG42" s="44">
        <f t="shared" si="10"/>
        <v>1</v>
      </c>
      <c r="AH42" s="5" t="str">
        <f t="shared" si="11"/>
        <v>C</v>
      </c>
    </row>
    <row r="43" spans="1:34" x14ac:dyDescent="0.3">
      <c r="A43" s="51" t="s">
        <v>249</v>
      </c>
      <c r="B43" s="21" t="s">
        <v>448</v>
      </c>
      <c r="C43" s="20">
        <v>0</v>
      </c>
      <c r="D43" s="47">
        <v>0</v>
      </c>
      <c r="E43" s="44">
        <f t="shared" si="0"/>
        <v>0</v>
      </c>
      <c r="F43" s="44">
        <f t="shared" si="1"/>
        <v>1</v>
      </c>
      <c r="G43" s="5" t="str">
        <f t="shared" si="2"/>
        <v>C</v>
      </c>
      <c r="J43" s="51" t="s">
        <v>249</v>
      </c>
      <c r="K43" s="62" t="s">
        <v>448</v>
      </c>
      <c r="L43" s="5">
        <v>0</v>
      </c>
      <c r="M43" s="70">
        <v>0</v>
      </c>
      <c r="N43" s="44">
        <f t="shared" si="3"/>
        <v>0</v>
      </c>
      <c r="O43" s="44">
        <f t="shared" si="4"/>
        <v>0.99999999999999989</v>
      </c>
      <c r="P43" s="5" t="str">
        <f t="shared" si="5"/>
        <v>C</v>
      </c>
      <c r="S43" s="51" t="s">
        <v>249</v>
      </c>
      <c r="T43" s="62" t="s">
        <v>448</v>
      </c>
      <c r="U43" s="48">
        <v>0</v>
      </c>
      <c r="V43" s="70">
        <v>0</v>
      </c>
      <c r="W43" s="44">
        <f t="shared" si="6"/>
        <v>0</v>
      </c>
      <c r="X43" s="44">
        <f t="shared" si="7"/>
        <v>0.99999999999999989</v>
      </c>
      <c r="Y43" s="5" t="str">
        <f t="shared" si="8"/>
        <v>C</v>
      </c>
      <c r="AB43" s="51" t="s">
        <v>249</v>
      </c>
      <c r="AC43" s="62" t="s">
        <v>448</v>
      </c>
      <c r="AD43" s="5">
        <v>0</v>
      </c>
      <c r="AE43" s="70">
        <v>0</v>
      </c>
      <c r="AF43" s="44">
        <f t="shared" si="9"/>
        <v>0</v>
      </c>
      <c r="AG43" s="44">
        <f t="shared" si="10"/>
        <v>1</v>
      </c>
      <c r="AH43" s="5" t="str">
        <f t="shared" si="11"/>
        <v>C</v>
      </c>
    </row>
    <row r="44" spans="1:34" x14ac:dyDescent="0.3">
      <c r="A44" s="51" t="s">
        <v>250</v>
      </c>
      <c r="B44" s="21" t="s">
        <v>170</v>
      </c>
      <c r="C44" s="20">
        <v>225</v>
      </c>
      <c r="D44" s="47">
        <v>520646.34129999997</v>
      </c>
      <c r="E44" s="44">
        <f t="shared" si="0"/>
        <v>0.31531507214592969</v>
      </c>
      <c r="F44" s="44">
        <f t="shared" si="1"/>
        <v>0.31531507214592969</v>
      </c>
      <c r="G44" s="5" t="str">
        <f t="shared" si="2"/>
        <v>A</v>
      </c>
      <c r="J44" s="51" t="s">
        <v>250</v>
      </c>
      <c r="K44" s="62" t="s">
        <v>164</v>
      </c>
      <c r="L44" s="5">
        <v>341</v>
      </c>
      <c r="M44" s="70">
        <v>1352925.05</v>
      </c>
      <c r="N44" s="44">
        <f t="shared" si="3"/>
        <v>0.62711516503447473</v>
      </c>
      <c r="O44" s="44">
        <f t="shared" si="4"/>
        <v>0.62711516503447473</v>
      </c>
      <c r="P44" s="5" t="str">
        <f t="shared" si="5"/>
        <v>A</v>
      </c>
      <c r="S44" s="51" t="s">
        <v>250</v>
      </c>
      <c r="T44" s="62" t="s">
        <v>164</v>
      </c>
      <c r="U44" s="48">
        <v>245</v>
      </c>
      <c r="V44" s="70">
        <v>1034041.5800000001</v>
      </c>
      <c r="W44" s="44">
        <f t="shared" si="6"/>
        <v>0.52554353475861582</v>
      </c>
      <c r="X44" s="44">
        <f t="shared" si="7"/>
        <v>0.52554353475861582</v>
      </c>
      <c r="Y44" s="5" t="str">
        <f t="shared" si="8"/>
        <v>A</v>
      </c>
      <c r="AB44" s="51" t="s">
        <v>250</v>
      </c>
      <c r="AC44" s="62" t="s">
        <v>164</v>
      </c>
      <c r="AD44" s="5">
        <v>316</v>
      </c>
      <c r="AE44" s="70">
        <v>1356730.05</v>
      </c>
      <c r="AF44" s="44">
        <f t="shared" si="9"/>
        <v>0.48531162687112422</v>
      </c>
      <c r="AG44" s="44">
        <f t="shared" si="10"/>
        <v>0.48531162687112422</v>
      </c>
      <c r="AH44" s="5" t="str">
        <f t="shared" si="11"/>
        <v>A</v>
      </c>
    </row>
    <row r="45" spans="1:34" x14ac:dyDescent="0.3">
      <c r="A45" s="51" t="s">
        <v>250</v>
      </c>
      <c r="B45" s="21" t="s">
        <v>164</v>
      </c>
      <c r="C45" s="20">
        <v>162</v>
      </c>
      <c r="D45" s="47">
        <v>467913.75909999997</v>
      </c>
      <c r="E45" s="44">
        <f t="shared" si="0"/>
        <v>0.28337904063686858</v>
      </c>
      <c r="F45" s="44">
        <f t="shared" si="1"/>
        <v>0.59869411278279827</v>
      </c>
      <c r="G45" s="5" t="str">
        <f t="shared" si="2"/>
        <v>A</v>
      </c>
      <c r="J45" s="51" t="s">
        <v>250</v>
      </c>
      <c r="K45" s="62" t="s">
        <v>78</v>
      </c>
      <c r="L45" s="5">
        <v>214</v>
      </c>
      <c r="M45" s="70">
        <v>382500.22</v>
      </c>
      <c r="N45" s="44">
        <f t="shared" si="3"/>
        <v>0.17729857880229422</v>
      </c>
      <c r="O45" s="44">
        <f t="shared" si="4"/>
        <v>0.80441374383676889</v>
      </c>
      <c r="P45" s="5" t="str">
        <f t="shared" si="5"/>
        <v>B</v>
      </c>
      <c r="S45" s="51" t="s">
        <v>250</v>
      </c>
      <c r="T45" s="62" t="s">
        <v>78</v>
      </c>
      <c r="U45" s="48">
        <v>198</v>
      </c>
      <c r="V45" s="70">
        <v>346213.85000000003</v>
      </c>
      <c r="W45" s="44">
        <f t="shared" si="6"/>
        <v>0.17596047782855037</v>
      </c>
      <c r="X45" s="44">
        <f t="shared" si="7"/>
        <v>0.70150401258716621</v>
      </c>
      <c r="Y45" s="5" t="str">
        <f t="shared" si="8"/>
        <v>A</v>
      </c>
      <c r="AB45" s="51" t="s">
        <v>250</v>
      </c>
      <c r="AC45" s="62" t="s">
        <v>78</v>
      </c>
      <c r="AD45" s="5">
        <v>504</v>
      </c>
      <c r="AE45" s="70">
        <v>867508.15</v>
      </c>
      <c r="AF45" s="44">
        <f t="shared" si="9"/>
        <v>0.31031360409571473</v>
      </c>
      <c r="AG45" s="44">
        <f t="shared" si="10"/>
        <v>0.79562523096683901</v>
      </c>
      <c r="AH45" s="5" t="str">
        <f t="shared" si="11"/>
        <v>A</v>
      </c>
    </row>
    <row r="46" spans="1:34" x14ac:dyDescent="0.3">
      <c r="A46" s="51" t="s">
        <v>250</v>
      </c>
      <c r="B46" s="21" t="s">
        <v>78</v>
      </c>
      <c r="C46" s="20">
        <v>272</v>
      </c>
      <c r="D46" s="47">
        <v>371245.9878</v>
      </c>
      <c r="E46" s="44">
        <f t="shared" si="0"/>
        <v>0.22483487569461949</v>
      </c>
      <c r="F46" s="44">
        <f t="shared" si="1"/>
        <v>0.82352898847741773</v>
      </c>
      <c r="G46" s="5" t="str">
        <f t="shared" si="2"/>
        <v>B</v>
      </c>
      <c r="J46" s="51" t="s">
        <v>250</v>
      </c>
      <c r="K46" s="62" t="s">
        <v>88</v>
      </c>
      <c r="L46" s="5">
        <v>202</v>
      </c>
      <c r="M46" s="70">
        <v>273548.32999999996</v>
      </c>
      <c r="N46" s="44">
        <f t="shared" si="3"/>
        <v>0.12679660718297359</v>
      </c>
      <c r="O46" s="44">
        <f t="shared" si="4"/>
        <v>0.93121035101974248</v>
      </c>
      <c r="P46" s="5" t="str">
        <f t="shared" si="5"/>
        <v>B</v>
      </c>
      <c r="S46" s="51" t="s">
        <v>250</v>
      </c>
      <c r="T46" s="62" t="s">
        <v>170</v>
      </c>
      <c r="U46" s="48">
        <v>98</v>
      </c>
      <c r="V46" s="70">
        <v>312711.25</v>
      </c>
      <c r="W46" s="44">
        <f t="shared" si="6"/>
        <v>0.15893304375998613</v>
      </c>
      <c r="X46" s="44">
        <f t="shared" si="7"/>
        <v>0.8604370563471524</v>
      </c>
      <c r="Y46" s="5" t="str">
        <f t="shared" si="8"/>
        <v>B</v>
      </c>
      <c r="AB46" s="51" t="s">
        <v>250</v>
      </c>
      <c r="AC46" s="62" t="s">
        <v>170</v>
      </c>
      <c r="AD46" s="5">
        <v>117</v>
      </c>
      <c r="AE46" s="70">
        <v>387454.4</v>
      </c>
      <c r="AF46" s="44">
        <f t="shared" si="9"/>
        <v>0.13859509133919112</v>
      </c>
      <c r="AG46" s="44">
        <f t="shared" si="10"/>
        <v>0.93422032230603014</v>
      </c>
      <c r="AH46" s="5" t="str">
        <f t="shared" si="11"/>
        <v>B</v>
      </c>
    </row>
    <row r="47" spans="1:34" x14ac:dyDescent="0.3">
      <c r="A47" s="51" t="s">
        <v>250</v>
      </c>
      <c r="B47" s="21" t="s">
        <v>88</v>
      </c>
      <c r="C47" s="20">
        <v>290</v>
      </c>
      <c r="D47" s="47">
        <v>291387.8676</v>
      </c>
      <c r="E47" s="44">
        <f t="shared" si="0"/>
        <v>0.17647101152258229</v>
      </c>
      <c r="F47" s="44">
        <f t="shared" si="1"/>
        <v>1</v>
      </c>
      <c r="G47" s="5" t="str">
        <f t="shared" si="2"/>
        <v>C</v>
      </c>
      <c r="J47" s="51" t="s">
        <v>250</v>
      </c>
      <c r="K47" s="62" t="s">
        <v>170</v>
      </c>
      <c r="L47" s="5">
        <v>45</v>
      </c>
      <c r="M47" s="70">
        <v>148405.34000000003</v>
      </c>
      <c r="N47" s="44">
        <f t="shared" si="3"/>
        <v>6.8789648980257509E-2</v>
      </c>
      <c r="O47" s="44">
        <f t="shared" si="4"/>
        <v>1</v>
      </c>
      <c r="P47" s="5" t="str">
        <f t="shared" si="5"/>
        <v>C</v>
      </c>
      <c r="S47" s="51" t="s">
        <v>250</v>
      </c>
      <c r="T47" s="62" t="s">
        <v>88</v>
      </c>
      <c r="U47" s="48">
        <v>210</v>
      </c>
      <c r="V47" s="70">
        <v>274599.3</v>
      </c>
      <c r="W47" s="44">
        <f t="shared" si="6"/>
        <v>0.13956294365284766</v>
      </c>
      <c r="X47" s="44">
        <f t="shared" si="7"/>
        <v>1</v>
      </c>
      <c r="Y47" s="5" t="str">
        <f t="shared" si="8"/>
        <v>C</v>
      </c>
      <c r="AB47" s="51" t="s">
        <v>250</v>
      </c>
      <c r="AC47" s="62" t="s">
        <v>88</v>
      </c>
      <c r="AD47" s="5">
        <v>119</v>
      </c>
      <c r="AE47" s="70">
        <v>181420.09999999998</v>
      </c>
      <c r="AF47" s="44">
        <f t="shared" si="9"/>
        <v>6.4895211746892487E-2</v>
      </c>
      <c r="AG47" s="44">
        <f t="shared" si="10"/>
        <v>0.99911553405292264</v>
      </c>
      <c r="AH47" s="5" t="str">
        <f t="shared" si="11"/>
        <v>C</v>
      </c>
    </row>
    <row r="48" spans="1:34" x14ac:dyDescent="0.3">
      <c r="A48" s="51" t="s">
        <v>250</v>
      </c>
      <c r="B48" s="21" t="s">
        <v>422</v>
      </c>
      <c r="C48" s="20">
        <v>0</v>
      </c>
      <c r="D48" s="47">
        <v>0</v>
      </c>
      <c r="E48" s="44">
        <f t="shared" si="0"/>
        <v>0</v>
      </c>
      <c r="F48" s="44">
        <f t="shared" si="1"/>
        <v>1</v>
      </c>
      <c r="G48" s="5" t="str">
        <f t="shared" si="2"/>
        <v>C</v>
      </c>
      <c r="J48" s="51" t="s">
        <v>250</v>
      </c>
      <c r="K48" s="62" t="s">
        <v>422</v>
      </c>
      <c r="L48" s="5">
        <v>0</v>
      </c>
      <c r="M48" s="70">
        <v>0</v>
      </c>
      <c r="N48" s="44">
        <f t="shared" si="3"/>
        <v>0</v>
      </c>
      <c r="O48" s="44">
        <f t="shared" si="4"/>
        <v>1</v>
      </c>
      <c r="P48" s="5" t="str">
        <f t="shared" si="5"/>
        <v>C</v>
      </c>
      <c r="S48" s="51" t="s">
        <v>250</v>
      </c>
      <c r="T48" s="62" t="s">
        <v>422</v>
      </c>
      <c r="U48" s="48">
        <v>0</v>
      </c>
      <c r="V48" s="70">
        <v>0</v>
      </c>
      <c r="W48" s="44">
        <f t="shared" si="6"/>
        <v>0</v>
      </c>
      <c r="X48" s="44">
        <f t="shared" si="7"/>
        <v>1</v>
      </c>
      <c r="Y48" s="5" t="str">
        <f t="shared" si="8"/>
        <v>C</v>
      </c>
      <c r="AB48" s="51" t="s">
        <v>250</v>
      </c>
      <c r="AC48" s="62" t="s">
        <v>422</v>
      </c>
      <c r="AD48" s="5">
        <v>2</v>
      </c>
      <c r="AE48" s="70">
        <v>2472.6000000000004</v>
      </c>
      <c r="AF48" s="44">
        <f t="shared" si="9"/>
        <v>8.8446594707734371E-4</v>
      </c>
      <c r="AG48" s="44">
        <f t="shared" si="10"/>
        <v>1</v>
      </c>
      <c r="AH48" s="5" t="str">
        <f t="shared" si="11"/>
        <v>C</v>
      </c>
    </row>
    <row r="49" spans="1:34" x14ac:dyDescent="0.3">
      <c r="A49" s="51" t="s">
        <v>272</v>
      </c>
      <c r="B49" s="21" t="s">
        <v>101</v>
      </c>
      <c r="C49" s="20">
        <v>4</v>
      </c>
      <c r="D49" s="47">
        <v>11501.8012</v>
      </c>
      <c r="E49" s="44">
        <f t="shared" si="0"/>
        <v>1</v>
      </c>
      <c r="F49" s="44">
        <f t="shared" si="1"/>
        <v>1</v>
      </c>
      <c r="G49" s="5" t="str">
        <f t="shared" si="2"/>
        <v>A</v>
      </c>
      <c r="J49" s="51" t="s">
        <v>272</v>
      </c>
      <c r="K49" s="62" t="s">
        <v>101</v>
      </c>
      <c r="L49" s="5">
        <v>45</v>
      </c>
      <c r="M49" s="70">
        <v>123032.3</v>
      </c>
      <c r="N49" s="44">
        <f t="shared" si="3"/>
        <v>1</v>
      </c>
      <c r="O49" s="44">
        <f t="shared" si="4"/>
        <v>1</v>
      </c>
      <c r="P49" s="5" t="str">
        <f t="shared" si="5"/>
        <v>A</v>
      </c>
      <c r="S49" s="51" t="s">
        <v>272</v>
      </c>
      <c r="T49" s="62" t="s">
        <v>101</v>
      </c>
      <c r="U49" s="48">
        <v>51</v>
      </c>
      <c r="V49" s="70">
        <v>151012</v>
      </c>
      <c r="W49" s="44">
        <f t="shared" si="6"/>
        <v>1</v>
      </c>
      <c r="X49" s="44">
        <f t="shared" si="7"/>
        <v>1</v>
      </c>
      <c r="Y49" s="5" t="str">
        <f t="shared" si="8"/>
        <v>A</v>
      </c>
      <c r="AB49" s="51" t="s">
        <v>272</v>
      </c>
      <c r="AC49" s="62" t="s">
        <v>101</v>
      </c>
      <c r="AD49" s="5">
        <v>90</v>
      </c>
      <c r="AE49" s="70">
        <v>272538.2</v>
      </c>
      <c r="AF49" s="44">
        <f t="shared" si="9"/>
        <v>1</v>
      </c>
      <c r="AG49" s="44">
        <f t="shared" si="10"/>
        <v>1</v>
      </c>
      <c r="AH49" s="5" t="str">
        <f t="shared" si="11"/>
        <v>A</v>
      </c>
    </row>
    <row r="50" spans="1:34" x14ac:dyDescent="0.3">
      <c r="A50" s="51" t="s">
        <v>329</v>
      </c>
      <c r="B50" s="21" t="s">
        <v>228</v>
      </c>
      <c r="C50" s="20">
        <v>26</v>
      </c>
      <c r="D50" s="47">
        <v>61283.488299999997</v>
      </c>
      <c r="E50" s="44">
        <f t="shared" si="0"/>
        <v>1</v>
      </c>
      <c r="F50" s="44">
        <f t="shared" si="1"/>
        <v>1</v>
      </c>
      <c r="G50" s="5" t="str">
        <f t="shared" si="2"/>
        <v>A</v>
      </c>
      <c r="J50" s="51" t="s">
        <v>329</v>
      </c>
      <c r="K50" s="62" t="s">
        <v>228</v>
      </c>
      <c r="L50" s="5">
        <v>160</v>
      </c>
      <c r="M50" s="70">
        <v>380757.9</v>
      </c>
      <c r="N50" s="44">
        <f t="shared" si="3"/>
        <v>0.39907690265647744</v>
      </c>
      <c r="O50" s="44">
        <f t="shared" si="4"/>
        <v>0.39907690265647744</v>
      </c>
      <c r="P50" s="5" t="str">
        <f t="shared" si="5"/>
        <v>A</v>
      </c>
      <c r="S50" s="51" t="s">
        <v>329</v>
      </c>
      <c r="T50" s="62" t="s">
        <v>228</v>
      </c>
      <c r="U50" s="48">
        <v>503</v>
      </c>
      <c r="V50" s="70">
        <v>1238670.46</v>
      </c>
      <c r="W50" s="44">
        <f t="shared" si="6"/>
        <v>0.49791323674033711</v>
      </c>
      <c r="X50" s="44">
        <f t="shared" si="7"/>
        <v>0.49791323674033711</v>
      </c>
      <c r="Y50" s="5" t="str">
        <f t="shared" si="8"/>
        <v>A</v>
      </c>
      <c r="AB50" s="51" t="s">
        <v>329</v>
      </c>
      <c r="AC50" s="62" t="s">
        <v>228</v>
      </c>
      <c r="AD50" s="5">
        <v>406</v>
      </c>
      <c r="AE50" s="70">
        <v>1096071.78</v>
      </c>
      <c r="AF50" s="44">
        <f t="shared" si="9"/>
        <v>0.56563162067545014</v>
      </c>
      <c r="AG50" s="44">
        <f t="shared" si="10"/>
        <v>0.56563162067545014</v>
      </c>
      <c r="AH50" s="5" t="str">
        <f t="shared" si="11"/>
        <v>A</v>
      </c>
    </row>
    <row r="51" spans="1:34" x14ac:dyDescent="0.3">
      <c r="A51" s="51" t="s">
        <v>329</v>
      </c>
      <c r="B51" s="21" t="s">
        <v>307</v>
      </c>
      <c r="C51" s="20">
        <v>0</v>
      </c>
      <c r="D51" s="47">
        <v>0</v>
      </c>
      <c r="E51" s="44">
        <f t="shared" si="0"/>
        <v>0</v>
      </c>
      <c r="F51" s="44">
        <f t="shared" si="1"/>
        <v>1</v>
      </c>
      <c r="G51" s="5" t="str">
        <f t="shared" si="2"/>
        <v>C</v>
      </c>
      <c r="J51" s="51" t="s">
        <v>329</v>
      </c>
      <c r="K51" s="62" t="s">
        <v>305</v>
      </c>
      <c r="L51" s="5">
        <v>109</v>
      </c>
      <c r="M51" s="70">
        <v>249773.9</v>
      </c>
      <c r="N51" s="44">
        <f t="shared" si="3"/>
        <v>0.26179100782000514</v>
      </c>
      <c r="O51" s="44">
        <f t="shared" si="4"/>
        <v>0.66086791047648252</v>
      </c>
      <c r="P51" s="5" t="str">
        <f t="shared" si="5"/>
        <v>A</v>
      </c>
      <c r="S51" s="51" t="s">
        <v>329</v>
      </c>
      <c r="T51" s="62" t="s">
        <v>305</v>
      </c>
      <c r="U51" s="48">
        <v>140</v>
      </c>
      <c r="V51" s="70">
        <v>323359</v>
      </c>
      <c r="W51" s="44">
        <f t="shared" si="6"/>
        <v>0.12998188906443983</v>
      </c>
      <c r="X51" s="44">
        <f t="shared" si="7"/>
        <v>0.62789512580477691</v>
      </c>
      <c r="Y51" s="5" t="str">
        <f t="shared" si="8"/>
        <v>A</v>
      </c>
      <c r="AB51" s="51" t="s">
        <v>329</v>
      </c>
      <c r="AC51" s="62" t="s">
        <v>168</v>
      </c>
      <c r="AD51" s="5">
        <v>139</v>
      </c>
      <c r="AE51" s="70">
        <v>264607.40000000002</v>
      </c>
      <c r="AF51" s="44">
        <f t="shared" si="9"/>
        <v>0.13655156097962592</v>
      </c>
      <c r="AG51" s="44">
        <f t="shared" si="10"/>
        <v>0.70218318165507609</v>
      </c>
      <c r="AH51" s="5" t="str">
        <f t="shared" si="11"/>
        <v>A</v>
      </c>
    </row>
    <row r="52" spans="1:34" x14ac:dyDescent="0.3">
      <c r="A52" s="51" t="s">
        <v>329</v>
      </c>
      <c r="B52" s="21" t="s">
        <v>341</v>
      </c>
      <c r="C52" s="20">
        <v>0</v>
      </c>
      <c r="D52" s="47">
        <v>0</v>
      </c>
      <c r="E52" s="44">
        <f t="shared" si="0"/>
        <v>0</v>
      </c>
      <c r="F52" s="44">
        <f t="shared" si="1"/>
        <v>1</v>
      </c>
      <c r="G52" s="5" t="str">
        <f t="shared" si="2"/>
        <v>C</v>
      </c>
      <c r="J52" s="51" t="s">
        <v>329</v>
      </c>
      <c r="K52" s="62" t="s">
        <v>274</v>
      </c>
      <c r="L52" s="5">
        <v>50</v>
      </c>
      <c r="M52" s="70">
        <v>182402.8</v>
      </c>
      <c r="N52" s="44">
        <f t="shared" si="3"/>
        <v>0.19117855324832109</v>
      </c>
      <c r="O52" s="44">
        <f t="shared" si="4"/>
        <v>0.85204646372480364</v>
      </c>
      <c r="P52" s="5" t="str">
        <f t="shared" si="5"/>
        <v>B</v>
      </c>
      <c r="S52" s="51" t="s">
        <v>329</v>
      </c>
      <c r="T52" s="62" t="s">
        <v>307</v>
      </c>
      <c r="U52" s="48">
        <v>154</v>
      </c>
      <c r="V52" s="70">
        <v>272965.45</v>
      </c>
      <c r="W52" s="44">
        <f t="shared" si="6"/>
        <v>0.10972499556321272</v>
      </c>
      <c r="X52" s="44">
        <f t="shared" si="7"/>
        <v>0.7376201213679896</v>
      </c>
      <c r="Y52" s="5" t="str">
        <f t="shared" si="8"/>
        <v>A</v>
      </c>
      <c r="AB52" s="51" t="s">
        <v>329</v>
      </c>
      <c r="AC52" s="62" t="s">
        <v>274</v>
      </c>
      <c r="AD52" s="5">
        <v>56</v>
      </c>
      <c r="AE52" s="70">
        <v>232738.55</v>
      </c>
      <c r="AF52" s="44">
        <f t="shared" si="9"/>
        <v>0.12010553107220248</v>
      </c>
      <c r="AG52" s="44">
        <f t="shared" si="10"/>
        <v>0.82228871272727855</v>
      </c>
      <c r="AH52" s="5" t="str">
        <f t="shared" si="11"/>
        <v>B</v>
      </c>
    </row>
    <row r="53" spans="1:34" x14ac:dyDescent="0.3">
      <c r="A53" s="51" t="s">
        <v>329</v>
      </c>
      <c r="B53" s="21" t="s">
        <v>305</v>
      </c>
      <c r="C53" s="20">
        <v>0</v>
      </c>
      <c r="D53" s="47">
        <v>0</v>
      </c>
      <c r="E53" s="44">
        <f t="shared" si="0"/>
        <v>0</v>
      </c>
      <c r="F53" s="44">
        <f t="shared" si="1"/>
        <v>1</v>
      </c>
      <c r="G53" s="5" t="str">
        <f t="shared" si="2"/>
        <v>C</v>
      </c>
      <c r="J53" s="51" t="s">
        <v>329</v>
      </c>
      <c r="K53" s="62" t="s">
        <v>168</v>
      </c>
      <c r="L53" s="5">
        <v>25</v>
      </c>
      <c r="M53" s="70">
        <v>51797.5</v>
      </c>
      <c r="N53" s="44">
        <f t="shared" si="3"/>
        <v>5.4289578404936284E-2</v>
      </c>
      <c r="O53" s="44">
        <f t="shared" si="4"/>
        <v>0.90633604212973995</v>
      </c>
      <c r="P53" s="5" t="str">
        <f t="shared" si="5"/>
        <v>B</v>
      </c>
      <c r="S53" s="51" t="s">
        <v>329</v>
      </c>
      <c r="T53" s="62" t="s">
        <v>274</v>
      </c>
      <c r="U53" s="48">
        <v>63</v>
      </c>
      <c r="V53" s="70">
        <v>240927.45000000004</v>
      </c>
      <c r="W53" s="44">
        <f t="shared" si="6"/>
        <v>9.684655469146794E-2</v>
      </c>
      <c r="X53" s="44">
        <f t="shared" si="7"/>
        <v>0.83446667605945757</v>
      </c>
      <c r="Y53" s="5" t="str">
        <f t="shared" si="8"/>
        <v>B</v>
      </c>
      <c r="AB53" s="51" t="s">
        <v>329</v>
      </c>
      <c r="AC53" s="62" t="s">
        <v>200</v>
      </c>
      <c r="AD53" s="5">
        <v>23</v>
      </c>
      <c r="AE53" s="70">
        <v>99155.199999999997</v>
      </c>
      <c r="AF53" s="44">
        <f t="shared" si="9"/>
        <v>5.116938278841409E-2</v>
      </c>
      <c r="AG53" s="44">
        <f t="shared" si="10"/>
        <v>0.87345809551569265</v>
      </c>
      <c r="AH53" s="5" t="str">
        <f t="shared" si="11"/>
        <v>B</v>
      </c>
    </row>
    <row r="54" spans="1:34" x14ac:dyDescent="0.3">
      <c r="A54" s="51" t="s">
        <v>329</v>
      </c>
      <c r="B54" s="21" t="s">
        <v>168</v>
      </c>
      <c r="C54" s="20">
        <v>0</v>
      </c>
      <c r="D54" s="47">
        <v>0</v>
      </c>
      <c r="E54" s="44">
        <f t="shared" si="0"/>
        <v>0</v>
      </c>
      <c r="F54" s="44">
        <f t="shared" si="1"/>
        <v>1</v>
      </c>
      <c r="G54" s="5" t="str">
        <f t="shared" si="2"/>
        <v>C</v>
      </c>
      <c r="J54" s="51" t="s">
        <v>329</v>
      </c>
      <c r="K54" s="62" t="s">
        <v>172</v>
      </c>
      <c r="L54" s="5">
        <v>15</v>
      </c>
      <c r="M54" s="70">
        <v>35366.31</v>
      </c>
      <c r="N54" s="44">
        <f t="shared" si="3"/>
        <v>3.7067851916372067E-2</v>
      </c>
      <c r="O54" s="44">
        <f t="shared" si="4"/>
        <v>0.94340389404611202</v>
      </c>
      <c r="P54" s="5" t="str">
        <f t="shared" si="5"/>
        <v>B</v>
      </c>
      <c r="S54" s="51" t="s">
        <v>329</v>
      </c>
      <c r="T54" s="62" t="s">
        <v>306</v>
      </c>
      <c r="U54" s="48">
        <v>64</v>
      </c>
      <c r="V54" s="70">
        <v>141713.60000000001</v>
      </c>
      <c r="W54" s="44">
        <f t="shared" si="6"/>
        <v>5.6965173179414838E-2</v>
      </c>
      <c r="X54" s="44">
        <f t="shared" si="7"/>
        <v>0.89143184923887242</v>
      </c>
      <c r="Y54" s="5" t="str">
        <f t="shared" si="8"/>
        <v>B</v>
      </c>
      <c r="AB54" s="51" t="s">
        <v>329</v>
      </c>
      <c r="AC54" s="62" t="s">
        <v>341</v>
      </c>
      <c r="AD54" s="5">
        <v>24</v>
      </c>
      <c r="AE54" s="70">
        <v>79063.5</v>
      </c>
      <c r="AF54" s="44">
        <f t="shared" si="9"/>
        <v>4.0800991739129946E-2</v>
      </c>
      <c r="AG54" s="44">
        <f t="shared" si="10"/>
        <v>0.91425908725482263</v>
      </c>
      <c r="AH54" s="5" t="str">
        <f t="shared" si="11"/>
        <v>B</v>
      </c>
    </row>
    <row r="55" spans="1:34" x14ac:dyDescent="0.3">
      <c r="A55" s="51" t="s">
        <v>329</v>
      </c>
      <c r="B55" s="21" t="s">
        <v>172</v>
      </c>
      <c r="C55" s="20">
        <v>0</v>
      </c>
      <c r="D55" s="47">
        <v>0</v>
      </c>
      <c r="E55" s="44">
        <f t="shared" si="0"/>
        <v>0</v>
      </c>
      <c r="F55" s="44">
        <f t="shared" si="1"/>
        <v>1</v>
      </c>
      <c r="G55" s="5" t="str">
        <f t="shared" si="2"/>
        <v>C</v>
      </c>
      <c r="J55" s="51" t="s">
        <v>329</v>
      </c>
      <c r="K55" s="62" t="s">
        <v>307</v>
      </c>
      <c r="L55" s="5">
        <v>22</v>
      </c>
      <c r="M55" s="70">
        <v>35265.699999999997</v>
      </c>
      <c r="N55" s="44">
        <f t="shared" si="3"/>
        <v>3.6962401373714204E-2</v>
      </c>
      <c r="O55" s="44">
        <f t="shared" si="4"/>
        <v>0.98036629541982623</v>
      </c>
      <c r="P55" s="5" t="str">
        <f t="shared" si="5"/>
        <v>C</v>
      </c>
      <c r="S55" s="51" t="s">
        <v>329</v>
      </c>
      <c r="T55" s="62" t="s">
        <v>168</v>
      </c>
      <c r="U55" s="48">
        <v>46</v>
      </c>
      <c r="V55" s="70">
        <v>84762.6</v>
      </c>
      <c r="W55" s="44">
        <f t="shared" si="6"/>
        <v>3.4072355709949279E-2</v>
      </c>
      <c r="X55" s="44">
        <f t="shared" si="7"/>
        <v>0.92550420494882168</v>
      </c>
      <c r="Y55" s="5" t="str">
        <f t="shared" si="8"/>
        <v>B</v>
      </c>
      <c r="AB55" s="51" t="s">
        <v>329</v>
      </c>
      <c r="AC55" s="62" t="s">
        <v>307</v>
      </c>
      <c r="AD55" s="5">
        <v>34</v>
      </c>
      <c r="AE55" s="70">
        <v>53269.65</v>
      </c>
      <c r="AF55" s="44">
        <f t="shared" si="9"/>
        <v>2.7489986524709169E-2</v>
      </c>
      <c r="AG55" s="44">
        <f t="shared" si="10"/>
        <v>0.94174907377953176</v>
      </c>
      <c r="AH55" s="5" t="str">
        <f t="shared" si="11"/>
        <v>B</v>
      </c>
    </row>
    <row r="56" spans="1:34" x14ac:dyDescent="0.3">
      <c r="A56" s="51" t="s">
        <v>329</v>
      </c>
      <c r="B56" s="21" t="s">
        <v>274</v>
      </c>
      <c r="C56" s="20">
        <v>0</v>
      </c>
      <c r="D56" s="47">
        <v>0</v>
      </c>
      <c r="E56" s="44">
        <f t="shared" si="0"/>
        <v>0</v>
      </c>
      <c r="F56" s="44">
        <f t="shared" si="1"/>
        <v>1</v>
      </c>
      <c r="G56" s="5" t="str">
        <f t="shared" si="2"/>
        <v>C</v>
      </c>
      <c r="J56" s="51" t="s">
        <v>329</v>
      </c>
      <c r="K56" s="62" t="s">
        <v>341</v>
      </c>
      <c r="L56" s="5">
        <v>4</v>
      </c>
      <c r="M56" s="70">
        <v>14629.25</v>
      </c>
      <c r="N56" s="44">
        <f t="shared" si="3"/>
        <v>1.5333091652693935E-2</v>
      </c>
      <c r="O56" s="44">
        <f t="shared" si="4"/>
        <v>0.99569938707252015</v>
      </c>
      <c r="P56" s="5" t="str">
        <f t="shared" si="5"/>
        <v>C</v>
      </c>
      <c r="S56" s="51" t="s">
        <v>329</v>
      </c>
      <c r="T56" s="62" t="s">
        <v>341</v>
      </c>
      <c r="U56" s="48">
        <v>21</v>
      </c>
      <c r="V56" s="70">
        <v>83468.499999999985</v>
      </c>
      <c r="W56" s="44">
        <f t="shared" si="6"/>
        <v>3.3552161242999867E-2</v>
      </c>
      <c r="X56" s="44">
        <f t="shared" si="7"/>
        <v>0.95905636619182155</v>
      </c>
      <c r="Y56" s="5" t="str">
        <f t="shared" si="8"/>
        <v>C</v>
      </c>
      <c r="AB56" s="51" t="s">
        <v>329</v>
      </c>
      <c r="AC56" s="62" t="s">
        <v>305</v>
      </c>
      <c r="AD56" s="5">
        <v>20</v>
      </c>
      <c r="AE56" s="70">
        <v>49401.899999999994</v>
      </c>
      <c r="AF56" s="44">
        <f t="shared" si="9"/>
        <v>2.5494020803497486E-2</v>
      </c>
      <c r="AG56" s="44">
        <f t="shared" si="10"/>
        <v>0.96724309458302926</v>
      </c>
      <c r="AH56" s="5" t="str">
        <f t="shared" si="11"/>
        <v>C</v>
      </c>
    </row>
    <row r="57" spans="1:34" x14ac:dyDescent="0.3">
      <c r="A57" s="51" t="s">
        <v>329</v>
      </c>
      <c r="B57" s="21" t="s">
        <v>306</v>
      </c>
      <c r="C57" s="20">
        <v>0</v>
      </c>
      <c r="D57" s="47">
        <v>0</v>
      </c>
      <c r="E57" s="44">
        <f t="shared" si="0"/>
        <v>0</v>
      </c>
      <c r="F57" s="44">
        <f t="shared" si="1"/>
        <v>1</v>
      </c>
      <c r="G57" s="5" t="str">
        <f t="shared" si="2"/>
        <v>C</v>
      </c>
      <c r="J57" s="51" t="s">
        <v>329</v>
      </c>
      <c r="K57" s="62" t="s">
        <v>306</v>
      </c>
      <c r="L57" s="5">
        <v>2</v>
      </c>
      <c r="M57" s="70">
        <v>4103.2</v>
      </c>
      <c r="N57" s="44">
        <f t="shared" si="3"/>
        <v>4.3006129274797923E-3</v>
      </c>
      <c r="O57" s="44">
        <f t="shared" si="4"/>
        <v>0.99999999999999989</v>
      </c>
      <c r="P57" s="5" t="str">
        <f t="shared" si="5"/>
        <v>C</v>
      </c>
      <c r="S57" s="51" t="s">
        <v>329</v>
      </c>
      <c r="T57" s="62" t="s">
        <v>172</v>
      </c>
      <c r="U57" s="48">
        <v>30</v>
      </c>
      <c r="V57" s="70">
        <v>71891.899999999994</v>
      </c>
      <c r="W57" s="44">
        <f t="shared" si="6"/>
        <v>2.8898669807958962E-2</v>
      </c>
      <c r="X57" s="44">
        <f t="shared" si="7"/>
        <v>0.98795503599978052</v>
      </c>
      <c r="Y57" s="5" t="str">
        <f t="shared" si="8"/>
        <v>C</v>
      </c>
      <c r="AB57" s="51" t="s">
        <v>329</v>
      </c>
      <c r="AC57" s="62" t="s">
        <v>172</v>
      </c>
      <c r="AD57" s="5">
        <v>16</v>
      </c>
      <c r="AE57" s="70">
        <v>39756.300000000003</v>
      </c>
      <c r="AF57" s="44">
        <f t="shared" si="9"/>
        <v>2.0516375671180406E-2</v>
      </c>
      <c r="AG57" s="44">
        <f t="shared" si="10"/>
        <v>0.98775947025420963</v>
      </c>
      <c r="AH57" s="5" t="str">
        <f t="shared" si="11"/>
        <v>C</v>
      </c>
    </row>
    <row r="58" spans="1:34" x14ac:dyDescent="0.3">
      <c r="A58" s="51" t="s">
        <v>329</v>
      </c>
      <c r="B58" s="21" t="s">
        <v>200</v>
      </c>
      <c r="C58" s="20">
        <v>0</v>
      </c>
      <c r="D58" s="47">
        <v>0</v>
      </c>
      <c r="E58" s="44">
        <f t="shared" si="0"/>
        <v>0</v>
      </c>
      <c r="F58" s="44">
        <f t="shared" si="1"/>
        <v>1</v>
      </c>
      <c r="G58" s="5" t="str">
        <f t="shared" si="2"/>
        <v>C</v>
      </c>
      <c r="J58" s="51" t="s">
        <v>329</v>
      </c>
      <c r="K58" s="62" t="s">
        <v>200</v>
      </c>
      <c r="L58" s="5">
        <v>0</v>
      </c>
      <c r="M58" s="70">
        <v>0</v>
      </c>
      <c r="N58" s="44">
        <f t="shared" si="3"/>
        <v>0</v>
      </c>
      <c r="O58" s="44">
        <f t="shared" si="4"/>
        <v>0.99999999999999989</v>
      </c>
      <c r="P58" s="5" t="str">
        <f t="shared" si="5"/>
        <v>C</v>
      </c>
      <c r="S58" s="51" t="s">
        <v>329</v>
      </c>
      <c r="T58" s="62" t="s">
        <v>200</v>
      </c>
      <c r="U58" s="48">
        <v>8</v>
      </c>
      <c r="V58" s="70">
        <v>29964.54</v>
      </c>
      <c r="W58" s="44">
        <f t="shared" si="6"/>
        <v>1.2044964000219479E-2</v>
      </c>
      <c r="X58" s="44">
        <f t="shared" si="7"/>
        <v>1</v>
      </c>
      <c r="Y58" s="5" t="str">
        <f t="shared" si="8"/>
        <v>C</v>
      </c>
      <c r="AB58" s="51" t="s">
        <v>329</v>
      </c>
      <c r="AC58" s="62" t="s">
        <v>306</v>
      </c>
      <c r="AD58" s="5">
        <v>11</v>
      </c>
      <c r="AE58" s="70">
        <v>23719.500000000004</v>
      </c>
      <c r="AF58" s="44">
        <f t="shared" si="9"/>
        <v>1.2240529745790318E-2</v>
      </c>
      <c r="AG58" s="44">
        <f t="shared" si="10"/>
        <v>1</v>
      </c>
      <c r="AH58" s="5" t="str">
        <f t="shared" si="11"/>
        <v>C</v>
      </c>
    </row>
    <row r="59" spans="1:34" x14ac:dyDescent="0.3">
      <c r="A59" s="51" t="s">
        <v>116</v>
      </c>
      <c r="B59" s="21" t="s">
        <v>43</v>
      </c>
      <c r="C59" s="20">
        <v>1001</v>
      </c>
      <c r="D59" s="47">
        <v>2748966.3221</v>
      </c>
      <c r="E59" s="44">
        <f t="shared" si="0"/>
        <v>0.31331057295117209</v>
      </c>
      <c r="F59" s="44">
        <f t="shared" si="1"/>
        <v>0.31331057295117209</v>
      </c>
      <c r="G59" s="5" t="str">
        <f t="shared" si="2"/>
        <v>A</v>
      </c>
      <c r="J59" s="51" t="s">
        <v>116</v>
      </c>
      <c r="K59" s="62" t="s">
        <v>7</v>
      </c>
      <c r="L59" s="5">
        <v>3029</v>
      </c>
      <c r="M59" s="70">
        <v>5214554.08</v>
      </c>
      <c r="N59" s="44">
        <f t="shared" si="3"/>
        <v>0.20148121674024241</v>
      </c>
      <c r="O59" s="44">
        <f t="shared" si="4"/>
        <v>0.20148121674024241</v>
      </c>
      <c r="P59" s="5" t="str">
        <f t="shared" si="5"/>
        <v>A</v>
      </c>
      <c r="S59" s="51" t="s">
        <v>116</v>
      </c>
      <c r="T59" s="62" t="s">
        <v>7</v>
      </c>
      <c r="U59" s="48">
        <v>2859</v>
      </c>
      <c r="V59" s="70">
        <v>4988954.5999999996</v>
      </c>
      <c r="W59" s="44">
        <f t="shared" si="6"/>
        <v>0.16208412685895593</v>
      </c>
      <c r="X59" s="44">
        <f t="shared" si="7"/>
        <v>0.16208412685895593</v>
      </c>
      <c r="Y59" s="5" t="str">
        <f t="shared" si="8"/>
        <v>A</v>
      </c>
      <c r="AB59" s="51" t="s">
        <v>116</v>
      </c>
      <c r="AC59" s="62" t="s">
        <v>7</v>
      </c>
      <c r="AD59" s="5">
        <v>2218</v>
      </c>
      <c r="AE59" s="70">
        <v>3916741.34</v>
      </c>
      <c r="AF59" s="44">
        <f t="shared" si="9"/>
        <v>0.131355171192369</v>
      </c>
      <c r="AG59" s="44">
        <f t="shared" si="10"/>
        <v>0.131355171192369</v>
      </c>
      <c r="AH59" s="5" t="str">
        <f t="shared" si="11"/>
        <v>A</v>
      </c>
    </row>
    <row r="60" spans="1:34" x14ac:dyDescent="0.3">
      <c r="A60" s="51" t="s">
        <v>116</v>
      </c>
      <c r="B60" s="21" t="s">
        <v>245</v>
      </c>
      <c r="C60" s="20">
        <v>550</v>
      </c>
      <c r="D60" s="47">
        <v>1096549.0989999999</v>
      </c>
      <c r="E60" s="44">
        <f t="shared" si="0"/>
        <v>0.1249780412785587</v>
      </c>
      <c r="F60" s="44">
        <f t="shared" si="1"/>
        <v>0.43828861422973081</v>
      </c>
      <c r="G60" s="5" t="str">
        <f t="shared" si="2"/>
        <v>A</v>
      </c>
      <c r="J60" s="51" t="s">
        <v>116</v>
      </c>
      <c r="K60" s="62" t="s">
        <v>153</v>
      </c>
      <c r="L60" s="5">
        <v>1369</v>
      </c>
      <c r="M60" s="70">
        <v>2767314.17</v>
      </c>
      <c r="N60" s="44">
        <f t="shared" si="3"/>
        <v>0.10692416216615669</v>
      </c>
      <c r="O60" s="44">
        <f t="shared" si="4"/>
        <v>0.30840537890639907</v>
      </c>
      <c r="P60" s="5" t="str">
        <f t="shared" si="5"/>
        <v>A</v>
      </c>
      <c r="S60" s="51" t="s">
        <v>116</v>
      </c>
      <c r="T60" s="62" t="s">
        <v>153</v>
      </c>
      <c r="U60" s="48">
        <v>1840</v>
      </c>
      <c r="V60" s="70">
        <v>3661447.4033000013</v>
      </c>
      <c r="W60" s="44">
        <f t="shared" si="6"/>
        <v>0.11895528281693968</v>
      </c>
      <c r="X60" s="44">
        <f t="shared" si="7"/>
        <v>0.28103940967589558</v>
      </c>
      <c r="Y60" s="5" t="str">
        <f t="shared" si="8"/>
        <v>A</v>
      </c>
      <c r="AB60" s="51" t="s">
        <v>116</v>
      </c>
      <c r="AC60" s="62" t="s">
        <v>245</v>
      </c>
      <c r="AD60" s="5">
        <v>1434</v>
      </c>
      <c r="AE60" s="70">
        <v>3747192.1633000001</v>
      </c>
      <c r="AF60" s="44">
        <f t="shared" si="9"/>
        <v>0.12566902569598204</v>
      </c>
      <c r="AG60" s="44">
        <f t="shared" si="10"/>
        <v>0.25702419688835104</v>
      </c>
      <c r="AH60" s="5" t="str">
        <f t="shared" si="11"/>
        <v>A</v>
      </c>
    </row>
    <row r="61" spans="1:34" x14ac:dyDescent="0.3">
      <c r="A61" s="51" t="s">
        <v>116</v>
      </c>
      <c r="B61" s="21" t="s">
        <v>76</v>
      </c>
      <c r="C61" s="20">
        <v>783</v>
      </c>
      <c r="D61" s="47">
        <v>916268.18090000004</v>
      </c>
      <c r="E61" s="44">
        <f t="shared" si="0"/>
        <v>0.1044307114375278</v>
      </c>
      <c r="F61" s="44">
        <f t="shared" si="1"/>
        <v>0.54271932566725867</v>
      </c>
      <c r="G61" s="5" t="str">
        <f t="shared" si="2"/>
        <v>A</v>
      </c>
      <c r="J61" s="51" t="s">
        <v>116</v>
      </c>
      <c r="K61" s="62" t="s">
        <v>242</v>
      </c>
      <c r="L61" s="5">
        <v>982</v>
      </c>
      <c r="M61" s="70">
        <v>1919498.7</v>
      </c>
      <c r="N61" s="44">
        <f t="shared" si="3"/>
        <v>7.4166060544013673E-2</v>
      </c>
      <c r="O61" s="44">
        <f t="shared" si="4"/>
        <v>0.38257143945041272</v>
      </c>
      <c r="P61" s="5" t="str">
        <f t="shared" si="5"/>
        <v>A</v>
      </c>
      <c r="S61" s="51" t="s">
        <v>116</v>
      </c>
      <c r="T61" s="62" t="s">
        <v>14</v>
      </c>
      <c r="U61" s="48">
        <v>1545</v>
      </c>
      <c r="V61" s="70">
        <v>3011351.5799999991</v>
      </c>
      <c r="W61" s="44">
        <f t="shared" si="6"/>
        <v>9.7834582721926799E-2</v>
      </c>
      <c r="X61" s="44">
        <f t="shared" si="7"/>
        <v>0.37887399239782238</v>
      </c>
      <c r="Y61" s="5" t="str">
        <f t="shared" si="8"/>
        <v>A</v>
      </c>
      <c r="AB61" s="51" t="s">
        <v>116</v>
      </c>
      <c r="AC61" s="62" t="s">
        <v>153</v>
      </c>
      <c r="AD61" s="5">
        <v>1568</v>
      </c>
      <c r="AE61" s="70">
        <v>3420547.9700000007</v>
      </c>
      <c r="AF61" s="44">
        <f t="shared" si="9"/>
        <v>0.11471440801629765</v>
      </c>
      <c r="AG61" s="44">
        <f t="shared" si="10"/>
        <v>0.37173860490464872</v>
      </c>
      <c r="AH61" s="5" t="str">
        <f t="shared" si="11"/>
        <v>A</v>
      </c>
    </row>
    <row r="62" spans="1:34" x14ac:dyDescent="0.3">
      <c r="A62" s="51" t="s">
        <v>116</v>
      </c>
      <c r="B62" s="21" t="s">
        <v>40</v>
      </c>
      <c r="C62" s="20">
        <v>591</v>
      </c>
      <c r="D62" s="47">
        <v>898312.90839999984</v>
      </c>
      <c r="E62" s="44">
        <f t="shared" si="0"/>
        <v>0.10238427795842574</v>
      </c>
      <c r="F62" s="44">
        <f t="shared" si="1"/>
        <v>0.64510360362568442</v>
      </c>
      <c r="G62" s="5" t="str">
        <f t="shared" si="2"/>
        <v>A</v>
      </c>
      <c r="J62" s="51" t="s">
        <v>116</v>
      </c>
      <c r="K62" s="62" t="s">
        <v>198</v>
      </c>
      <c r="L62" s="5">
        <v>744</v>
      </c>
      <c r="M62" s="70">
        <v>1808074.96</v>
      </c>
      <c r="N62" s="44">
        <f t="shared" si="3"/>
        <v>6.9860842808320264E-2</v>
      </c>
      <c r="O62" s="44">
        <f t="shared" si="4"/>
        <v>0.452432282258733</v>
      </c>
      <c r="P62" s="5" t="str">
        <f t="shared" si="5"/>
        <v>A</v>
      </c>
      <c r="S62" s="51" t="s">
        <v>116</v>
      </c>
      <c r="T62" s="62" t="s">
        <v>198</v>
      </c>
      <c r="U62" s="48">
        <v>999</v>
      </c>
      <c r="V62" s="70">
        <v>2273770.25</v>
      </c>
      <c r="W62" s="44">
        <f t="shared" si="6"/>
        <v>7.3871601407060297E-2</v>
      </c>
      <c r="X62" s="44">
        <f t="shared" si="7"/>
        <v>0.45274559380488266</v>
      </c>
      <c r="Y62" s="5" t="str">
        <f t="shared" si="8"/>
        <v>A</v>
      </c>
      <c r="AB62" s="51" t="s">
        <v>116</v>
      </c>
      <c r="AC62" s="62" t="s">
        <v>14</v>
      </c>
      <c r="AD62" s="5">
        <v>1393</v>
      </c>
      <c r="AE62" s="70">
        <v>2729452.9170000004</v>
      </c>
      <c r="AF62" s="44">
        <f t="shared" si="9"/>
        <v>9.1537256114555168E-2</v>
      </c>
      <c r="AG62" s="44">
        <f t="shared" si="10"/>
        <v>0.46327586101920387</v>
      </c>
      <c r="AH62" s="5" t="str">
        <f t="shared" si="11"/>
        <v>A</v>
      </c>
    </row>
    <row r="63" spans="1:34" x14ac:dyDescent="0.3">
      <c r="A63" s="51" t="s">
        <v>116</v>
      </c>
      <c r="B63" s="21" t="s">
        <v>153</v>
      </c>
      <c r="C63" s="20">
        <v>431</v>
      </c>
      <c r="D63" s="47">
        <v>796455.75419999997</v>
      </c>
      <c r="E63" s="44">
        <f t="shared" si="0"/>
        <v>9.0775214913521349E-2</v>
      </c>
      <c r="F63" s="44">
        <f t="shared" si="1"/>
        <v>0.73587881853920578</v>
      </c>
      <c r="G63" s="5" t="str">
        <f t="shared" si="2"/>
        <v>A</v>
      </c>
      <c r="J63" s="51" t="s">
        <v>116</v>
      </c>
      <c r="K63" s="62" t="s">
        <v>14</v>
      </c>
      <c r="L63" s="5">
        <v>865</v>
      </c>
      <c r="M63" s="70">
        <v>1645151.4599999997</v>
      </c>
      <c r="N63" s="44">
        <f t="shared" si="3"/>
        <v>6.3565764741821643E-2</v>
      </c>
      <c r="O63" s="44">
        <f t="shared" si="4"/>
        <v>0.51599804700055463</v>
      </c>
      <c r="P63" s="5" t="str">
        <f t="shared" si="5"/>
        <v>A</v>
      </c>
      <c r="S63" s="51" t="s">
        <v>116</v>
      </c>
      <c r="T63" s="62" t="s">
        <v>82</v>
      </c>
      <c r="U63" s="48">
        <v>717</v>
      </c>
      <c r="V63" s="70">
        <v>1963688.2899999996</v>
      </c>
      <c r="W63" s="44">
        <f t="shared" si="6"/>
        <v>6.3797474105658558E-2</v>
      </c>
      <c r="X63" s="44">
        <f t="shared" si="7"/>
        <v>0.51654306791054116</v>
      </c>
      <c r="Y63" s="5" t="str">
        <f t="shared" si="8"/>
        <v>A</v>
      </c>
      <c r="AB63" s="51" t="s">
        <v>116</v>
      </c>
      <c r="AC63" s="62" t="s">
        <v>198</v>
      </c>
      <c r="AD63" s="5">
        <v>947</v>
      </c>
      <c r="AE63" s="70">
        <v>2134168.4</v>
      </c>
      <c r="AF63" s="44">
        <f t="shared" si="9"/>
        <v>7.157328789430456E-2</v>
      </c>
      <c r="AG63" s="44">
        <f t="shared" si="10"/>
        <v>0.53484914891350843</v>
      </c>
      <c r="AH63" s="5" t="str">
        <f t="shared" si="11"/>
        <v>A</v>
      </c>
    </row>
    <row r="64" spans="1:34" x14ac:dyDescent="0.3">
      <c r="A64" s="51" t="s">
        <v>116</v>
      </c>
      <c r="B64" s="21" t="s">
        <v>175</v>
      </c>
      <c r="C64" s="20">
        <v>71</v>
      </c>
      <c r="D64" s="47">
        <v>427449.98600000003</v>
      </c>
      <c r="E64" s="44">
        <f t="shared" si="0"/>
        <v>4.8718166877840231E-2</v>
      </c>
      <c r="F64" s="44">
        <f t="shared" si="1"/>
        <v>0.78459698541704603</v>
      </c>
      <c r="G64" s="5" t="str">
        <f t="shared" si="2"/>
        <v>A</v>
      </c>
      <c r="J64" s="51" t="s">
        <v>116</v>
      </c>
      <c r="K64" s="62" t="s">
        <v>280</v>
      </c>
      <c r="L64" s="5">
        <v>416</v>
      </c>
      <c r="M64" s="70">
        <v>1448990.2000000002</v>
      </c>
      <c r="N64" s="44">
        <f t="shared" si="3"/>
        <v>5.5986437969915009E-2</v>
      </c>
      <c r="O64" s="44">
        <f t="shared" si="4"/>
        <v>0.57198448497046961</v>
      </c>
      <c r="P64" s="5" t="str">
        <f t="shared" si="5"/>
        <v>A</v>
      </c>
      <c r="S64" s="51" t="s">
        <v>116</v>
      </c>
      <c r="T64" s="62" t="s">
        <v>242</v>
      </c>
      <c r="U64" s="48">
        <v>917</v>
      </c>
      <c r="V64" s="70">
        <v>1846021.05</v>
      </c>
      <c r="W64" s="44">
        <f t="shared" si="6"/>
        <v>5.9974630767837218E-2</v>
      </c>
      <c r="X64" s="44">
        <f t="shared" si="7"/>
        <v>0.57651769867837843</v>
      </c>
      <c r="Y64" s="5" t="str">
        <f t="shared" si="8"/>
        <v>A</v>
      </c>
      <c r="AB64" s="51" t="s">
        <v>116</v>
      </c>
      <c r="AC64" s="62" t="s">
        <v>76</v>
      </c>
      <c r="AD64" s="5">
        <v>935</v>
      </c>
      <c r="AE64" s="70">
        <v>1581229.5000000005</v>
      </c>
      <c r="AF64" s="44">
        <f t="shared" si="9"/>
        <v>5.3029458326937694E-2</v>
      </c>
      <c r="AG64" s="44">
        <f t="shared" si="10"/>
        <v>0.58787860724044616</v>
      </c>
      <c r="AH64" s="5" t="str">
        <f t="shared" si="11"/>
        <v>A</v>
      </c>
    </row>
    <row r="65" spans="1:34" x14ac:dyDescent="0.3">
      <c r="A65" s="51" t="s">
        <v>116</v>
      </c>
      <c r="B65" s="21" t="s">
        <v>263</v>
      </c>
      <c r="C65" s="20">
        <v>115</v>
      </c>
      <c r="D65" s="47">
        <v>422296.67830000003</v>
      </c>
      <c r="E65" s="44">
        <f t="shared" si="0"/>
        <v>4.8130824000955773E-2</v>
      </c>
      <c r="F65" s="44">
        <f t="shared" si="1"/>
        <v>0.83272780941800184</v>
      </c>
      <c r="G65" s="5" t="str">
        <f t="shared" si="2"/>
        <v>B</v>
      </c>
      <c r="J65" s="51" t="s">
        <v>116</v>
      </c>
      <c r="K65" s="62" t="s">
        <v>196</v>
      </c>
      <c r="L65" s="5">
        <v>148</v>
      </c>
      <c r="M65" s="70">
        <v>1313993</v>
      </c>
      <c r="N65" s="44">
        <f t="shared" si="3"/>
        <v>5.0770383117430692E-2</v>
      </c>
      <c r="O65" s="44">
        <f t="shared" si="4"/>
        <v>0.62275486808790026</v>
      </c>
      <c r="P65" s="5" t="str">
        <f t="shared" si="5"/>
        <v>A</v>
      </c>
      <c r="S65" s="51" t="s">
        <v>116</v>
      </c>
      <c r="T65" s="62" t="s">
        <v>245</v>
      </c>
      <c r="U65" s="48">
        <v>485</v>
      </c>
      <c r="V65" s="70">
        <v>1293251.7549999999</v>
      </c>
      <c r="W65" s="44">
        <f t="shared" si="6"/>
        <v>4.2015932860561087E-2</v>
      </c>
      <c r="X65" s="44">
        <f t="shared" si="7"/>
        <v>0.61853363153893948</v>
      </c>
      <c r="Y65" s="5" t="str">
        <f t="shared" si="8"/>
        <v>A</v>
      </c>
      <c r="AB65" s="51" t="s">
        <v>116</v>
      </c>
      <c r="AC65" s="62" t="s">
        <v>82</v>
      </c>
      <c r="AD65" s="5">
        <v>550</v>
      </c>
      <c r="AE65" s="70">
        <v>1559975.19</v>
      </c>
      <c r="AF65" s="44">
        <f t="shared" si="9"/>
        <v>5.2316655696824331E-2</v>
      </c>
      <c r="AG65" s="44">
        <f t="shared" si="10"/>
        <v>0.64019526293727047</v>
      </c>
      <c r="AH65" s="5" t="str">
        <f t="shared" si="11"/>
        <v>A</v>
      </c>
    </row>
    <row r="66" spans="1:34" x14ac:dyDescent="0.3">
      <c r="A66" s="51" t="s">
        <v>116</v>
      </c>
      <c r="B66" s="21" t="s">
        <v>198</v>
      </c>
      <c r="C66" s="20">
        <v>112</v>
      </c>
      <c r="D66" s="47">
        <v>186479.64359999998</v>
      </c>
      <c r="E66" s="44">
        <f t="shared" si="0"/>
        <v>2.1253823122654093E-2</v>
      </c>
      <c r="F66" s="44">
        <f t="shared" si="1"/>
        <v>0.85398163254065595</v>
      </c>
      <c r="G66" s="5" t="str">
        <f t="shared" si="2"/>
        <v>B</v>
      </c>
      <c r="J66" s="51" t="s">
        <v>116</v>
      </c>
      <c r="K66" s="62" t="s">
        <v>82</v>
      </c>
      <c r="L66" s="5">
        <v>461</v>
      </c>
      <c r="M66" s="70">
        <v>1280554.69</v>
      </c>
      <c r="N66" s="44">
        <f t="shared" si="3"/>
        <v>4.9478385512040542E-2</v>
      </c>
      <c r="O66" s="44">
        <f t="shared" si="4"/>
        <v>0.67223325359994079</v>
      </c>
      <c r="P66" s="5" t="str">
        <f t="shared" si="5"/>
        <v>A</v>
      </c>
      <c r="S66" s="51" t="s">
        <v>116</v>
      </c>
      <c r="T66" s="62" t="s">
        <v>280</v>
      </c>
      <c r="U66" s="48">
        <v>337</v>
      </c>
      <c r="V66" s="70">
        <v>1230959.05</v>
      </c>
      <c r="W66" s="44">
        <f t="shared" si="6"/>
        <v>3.9992130379053741E-2</v>
      </c>
      <c r="X66" s="44">
        <f t="shared" si="7"/>
        <v>0.65852576191799317</v>
      </c>
      <c r="Y66" s="5" t="str">
        <f t="shared" si="8"/>
        <v>A</v>
      </c>
      <c r="AB66" s="51" t="s">
        <v>116</v>
      </c>
      <c r="AC66" s="62" t="s">
        <v>242</v>
      </c>
      <c r="AD66" s="5">
        <v>685</v>
      </c>
      <c r="AE66" s="70">
        <v>1421396.612</v>
      </c>
      <c r="AF66" s="44">
        <f t="shared" si="9"/>
        <v>4.7669166558114685E-2</v>
      </c>
      <c r="AG66" s="44">
        <f t="shared" si="10"/>
        <v>0.68786442949538518</v>
      </c>
      <c r="AH66" s="5" t="str">
        <f t="shared" si="11"/>
        <v>A</v>
      </c>
    </row>
    <row r="67" spans="1:34" x14ac:dyDescent="0.3">
      <c r="A67" s="51" t="s">
        <v>116</v>
      </c>
      <c r="B67" s="21" t="s">
        <v>126</v>
      </c>
      <c r="C67" s="20">
        <v>104</v>
      </c>
      <c r="D67" s="47">
        <v>178701.54430000001</v>
      </c>
      <c r="E67" s="44">
        <f t="shared" ref="E67:E130" si="12">IFERROR(D67/SUMIF(A:A,A67,D:D),0)</f>
        <v>2.0367322357416472E-2</v>
      </c>
      <c r="F67" s="44">
        <f t="shared" ref="F67:F130" si="13">IF(A67=A66,E67+F66,E67)</f>
        <v>0.87434895489807241</v>
      </c>
      <c r="G67" s="5" t="str">
        <f t="shared" ref="G67:G130" si="14">IF(A67&lt;&gt;A66,"A",IF(F67&lt;0.8,"A",IF(F67&lt;0.95,"B","C")))</f>
        <v>B</v>
      </c>
      <c r="J67" s="51" t="s">
        <v>116</v>
      </c>
      <c r="K67" s="62" t="s">
        <v>26</v>
      </c>
      <c r="L67" s="5">
        <v>685</v>
      </c>
      <c r="M67" s="70">
        <v>1130543.05</v>
      </c>
      <c r="N67" s="44">
        <f t="shared" ref="N67:N130" si="15">IFERROR(M67/SUMIF(J:J,J67,M:M),0)</f>
        <v>4.368219905223894E-2</v>
      </c>
      <c r="O67" s="44">
        <f t="shared" ref="O67:O130" si="16">IF(J67=J66,N67+O66,N67)</f>
        <v>0.71591545265217971</v>
      </c>
      <c r="P67" s="5" t="str">
        <f t="shared" ref="P67:P130" si="17">IF(J67&lt;&gt;J66,"A",IF(O67&lt;0.8,"A",IF(O67&lt;0.95,"B","C")))</f>
        <v>A</v>
      </c>
      <c r="S67" s="51" t="s">
        <v>116</v>
      </c>
      <c r="T67" s="62" t="s">
        <v>189</v>
      </c>
      <c r="U67" s="48">
        <v>181</v>
      </c>
      <c r="V67" s="70">
        <v>994524.06999999983</v>
      </c>
      <c r="W67" s="44">
        <f t="shared" ref="W67:W130" si="18">IFERROR(V67/SUMIF(S:S,S67,V:V),0)</f>
        <v>3.2310690004307745E-2</v>
      </c>
      <c r="X67" s="44">
        <f t="shared" ref="X67:X130" si="19">IF(S67=S66,W67+X66,W67)</f>
        <v>0.69083645192230092</v>
      </c>
      <c r="Y67" s="5" t="str">
        <f t="shared" ref="Y67:Y130" si="20">IF(S67&lt;&gt;S66,"A",IF(X67&lt;0.8,"A",IF(X67&lt;0.95,"B","C")))</f>
        <v>A</v>
      </c>
      <c r="AB67" s="51" t="s">
        <v>116</v>
      </c>
      <c r="AC67" s="62" t="s">
        <v>189</v>
      </c>
      <c r="AD67" s="5">
        <v>224</v>
      </c>
      <c r="AE67" s="70">
        <v>1232913.95</v>
      </c>
      <c r="AF67" s="44">
        <f t="shared" ref="AF67:AF130" si="21">IFERROR(AE67/SUMIF(AB:AB,AB67,AE:AE),0)</f>
        <v>4.1348051584052234E-2</v>
      </c>
      <c r="AG67" s="44">
        <f t="shared" ref="AG67:AG130" si="22">IF(AB67=AB66,AF67+AG66,AF67)</f>
        <v>0.72921248107943737</v>
      </c>
      <c r="AH67" s="5" t="str">
        <f t="shared" ref="AH67:AH130" si="23">IF(AB67&lt;&gt;AB66,"A",IF(AG67&lt;0.8,"A",IF(AG67&lt;0.95,"B","C")))</f>
        <v>A</v>
      </c>
    </row>
    <row r="68" spans="1:34" x14ac:dyDescent="0.3">
      <c r="A68" s="51" t="s">
        <v>116</v>
      </c>
      <c r="B68" s="21" t="s">
        <v>189</v>
      </c>
      <c r="C68" s="20">
        <v>36</v>
      </c>
      <c r="D68" s="47">
        <v>176529.53570000001</v>
      </c>
      <c r="E68" s="44">
        <f t="shared" si="12"/>
        <v>2.0119769939822278E-2</v>
      </c>
      <c r="F68" s="44">
        <f t="shared" si="13"/>
        <v>0.89446872483789464</v>
      </c>
      <c r="G68" s="5" t="str">
        <f t="shared" si="14"/>
        <v>B</v>
      </c>
      <c r="J68" s="51" t="s">
        <v>116</v>
      </c>
      <c r="K68" s="62" t="s">
        <v>245</v>
      </c>
      <c r="L68" s="5">
        <v>422</v>
      </c>
      <c r="M68" s="70">
        <v>1065223.1500000001</v>
      </c>
      <c r="N68" s="44">
        <f t="shared" si="15"/>
        <v>4.1158352769806499E-2</v>
      </c>
      <c r="O68" s="44">
        <f t="shared" si="16"/>
        <v>0.75707380542198621</v>
      </c>
      <c r="P68" s="5" t="str">
        <f t="shared" si="17"/>
        <v>A</v>
      </c>
      <c r="S68" s="51" t="s">
        <v>116</v>
      </c>
      <c r="T68" s="62" t="s">
        <v>192</v>
      </c>
      <c r="U68" s="48">
        <v>209</v>
      </c>
      <c r="V68" s="70">
        <v>932850.4</v>
      </c>
      <c r="W68" s="44">
        <f t="shared" si="18"/>
        <v>3.0306999100378221E-2</v>
      </c>
      <c r="X68" s="44">
        <f t="shared" si="19"/>
        <v>0.72114345102267918</v>
      </c>
      <c r="Y68" s="5" t="str">
        <f t="shared" si="20"/>
        <v>A</v>
      </c>
      <c r="AB68" s="51" t="s">
        <v>116</v>
      </c>
      <c r="AC68" s="62" t="s">
        <v>263</v>
      </c>
      <c r="AD68" s="5">
        <v>175</v>
      </c>
      <c r="AE68" s="70">
        <v>1006197.15</v>
      </c>
      <c r="AF68" s="44">
        <f t="shared" si="21"/>
        <v>3.3744684016209198E-2</v>
      </c>
      <c r="AG68" s="44">
        <f t="shared" si="22"/>
        <v>0.76295716509564659</v>
      </c>
      <c r="AH68" s="5" t="str">
        <f t="shared" si="23"/>
        <v>A</v>
      </c>
    </row>
    <row r="69" spans="1:34" x14ac:dyDescent="0.3">
      <c r="A69" s="51" t="s">
        <v>116</v>
      </c>
      <c r="B69" s="21" t="s">
        <v>14</v>
      </c>
      <c r="C69" s="20">
        <v>70</v>
      </c>
      <c r="D69" s="47">
        <v>120233.8906</v>
      </c>
      <c r="E69" s="44">
        <f t="shared" si="12"/>
        <v>1.3703532432968159E-2</v>
      </c>
      <c r="F69" s="44">
        <f t="shared" si="13"/>
        <v>0.90817225727086281</v>
      </c>
      <c r="G69" s="5" t="str">
        <f t="shared" si="14"/>
        <v>B</v>
      </c>
      <c r="J69" s="51" t="s">
        <v>116</v>
      </c>
      <c r="K69" s="62" t="s">
        <v>189</v>
      </c>
      <c r="L69" s="5">
        <v>174</v>
      </c>
      <c r="M69" s="70">
        <v>974299.45</v>
      </c>
      <c r="N69" s="44">
        <f t="shared" si="15"/>
        <v>3.7645220596762695E-2</v>
      </c>
      <c r="O69" s="44">
        <f t="shared" si="16"/>
        <v>0.79471902601874889</v>
      </c>
      <c r="P69" s="5" t="str">
        <f t="shared" si="17"/>
        <v>A</v>
      </c>
      <c r="S69" s="51" t="s">
        <v>116</v>
      </c>
      <c r="T69" s="62" t="s">
        <v>126</v>
      </c>
      <c r="U69" s="48">
        <v>291</v>
      </c>
      <c r="V69" s="70">
        <v>819027.05</v>
      </c>
      <c r="W69" s="44">
        <f t="shared" si="18"/>
        <v>2.6609038349059429E-2</v>
      </c>
      <c r="X69" s="44">
        <f t="shared" si="19"/>
        <v>0.74775248937173866</v>
      </c>
      <c r="Y69" s="5" t="str">
        <f t="shared" si="20"/>
        <v>A</v>
      </c>
      <c r="AB69" s="51" t="s">
        <v>116</v>
      </c>
      <c r="AC69" s="62" t="s">
        <v>70</v>
      </c>
      <c r="AD69" s="5">
        <v>401</v>
      </c>
      <c r="AE69" s="70">
        <v>883632.2699999999</v>
      </c>
      <c r="AF69" s="44">
        <f t="shared" si="21"/>
        <v>2.9634243883194907E-2</v>
      </c>
      <c r="AG69" s="44">
        <f t="shared" si="22"/>
        <v>0.79259140897884151</v>
      </c>
      <c r="AH69" s="5" t="str">
        <f t="shared" si="23"/>
        <v>A</v>
      </c>
    </row>
    <row r="70" spans="1:34" x14ac:dyDescent="0.3">
      <c r="A70" s="51" t="s">
        <v>116</v>
      </c>
      <c r="B70" s="21" t="s">
        <v>182</v>
      </c>
      <c r="C70" s="20">
        <v>40</v>
      </c>
      <c r="D70" s="47">
        <v>102709.9624</v>
      </c>
      <c r="E70" s="44">
        <f t="shared" si="12"/>
        <v>1.1706260971125391E-2</v>
      </c>
      <c r="F70" s="44">
        <f t="shared" si="13"/>
        <v>0.91987851824198819</v>
      </c>
      <c r="G70" s="5" t="str">
        <f t="shared" si="14"/>
        <v>B</v>
      </c>
      <c r="J70" s="51" t="s">
        <v>116</v>
      </c>
      <c r="K70" s="62" t="s">
        <v>126</v>
      </c>
      <c r="L70" s="5">
        <v>279</v>
      </c>
      <c r="M70" s="70">
        <v>712236.55</v>
      </c>
      <c r="N70" s="44">
        <f t="shared" si="15"/>
        <v>2.751957012992998E-2</v>
      </c>
      <c r="O70" s="44">
        <f t="shared" si="16"/>
        <v>0.82223859614867889</v>
      </c>
      <c r="P70" s="5" t="str">
        <f t="shared" si="17"/>
        <v>B</v>
      </c>
      <c r="S70" s="51" t="s">
        <v>116</v>
      </c>
      <c r="T70" s="62" t="s">
        <v>76</v>
      </c>
      <c r="U70" s="48">
        <v>490</v>
      </c>
      <c r="V70" s="70">
        <v>814034.05000000016</v>
      </c>
      <c r="W70" s="44">
        <f t="shared" si="18"/>
        <v>2.6446822792837141E-2</v>
      </c>
      <c r="X70" s="44">
        <f t="shared" si="19"/>
        <v>0.77419931216457583</v>
      </c>
      <c r="Y70" s="5" t="str">
        <f t="shared" si="20"/>
        <v>A</v>
      </c>
      <c r="AB70" s="51" t="s">
        <v>116</v>
      </c>
      <c r="AC70" s="62" t="s">
        <v>192</v>
      </c>
      <c r="AD70" s="5">
        <v>166</v>
      </c>
      <c r="AE70" s="70">
        <v>704333.40000000014</v>
      </c>
      <c r="AF70" s="44">
        <f t="shared" si="21"/>
        <v>2.362112437414704E-2</v>
      </c>
      <c r="AG70" s="44">
        <f t="shared" si="22"/>
        <v>0.8162125333529886</v>
      </c>
      <c r="AH70" s="5" t="str">
        <f t="shared" si="23"/>
        <v>B</v>
      </c>
    </row>
    <row r="71" spans="1:34" x14ac:dyDescent="0.3">
      <c r="A71" s="51" t="s">
        <v>116</v>
      </c>
      <c r="B71" s="21" t="s">
        <v>52</v>
      </c>
      <c r="C71" s="20">
        <v>50</v>
      </c>
      <c r="D71" s="47">
        <v>92489.895099999994</v>
      </c>
      <c r="E71" s="44">
        <f t="shared" si="12"/>
        <v>1.0541439446896454E-2</v>
      </c>
      <c r="F71" s="44">
        <f t="shared" si="13"/>
        <v>0.93041995768888464</v>
      </c>
      <c r="G71" s="5" t="str">
        <f t="shared" si="14"/>
        <v>B</v>
      </c>
      <c r="J71" s="51" t="s">
        <v>116</v>
      </c>
      <c r="K71" s="62" t="s">
        <v>192</v>
      </c>
      <c r="L71" s="5">
        <v>157</v>
      </c>
      <c r="M71" s="70">
        <v>660508.35</v>
      </c>
      <c r="N71" s="44">
        <f t="shared" si="15"/>
        <v>2.5520883278496918E-2</v>
      </c>
      <c r="O71" s="44">
        <f t="shared" si="16"/>
        <v>0.84775947942717578</v>
      </c>
      <c r="P71" s="5" t="str">
        <f t="shared" si="17"/>
        <v>B</v>
      </c>
      <c r="S71" s="51" t="s">
        <v>116</v>
      </c>
      <c r="T71" s="62" t="s">
        <v>26</v>
      </c>
      <c r="U71" s="48">
        <v>438</v>
      </c>
      <c r="V71" s="70">
        <v>768469.96330000018</v>
      </c>
      <c r="W71" s="44">
        <f t="shared" si="18"/>
        <v>2.4966509620836085E-2</v>
      </c>
      <c r="X71" s="44">
        <f t="shared" si="19"/>
        <v>0.79916582178541196</v>
      </c>
      <c r="Y71" s="5" t="str">
        <f t="shared" si="20"/>
        <v>A</v>
      </c>
      <c r="AB71" s="51" t="s">
        <v>116</v>
      </c>
      <c r="AC71" s="62" t="s">
        <v>280</v>
      </c>
      <c r="AD71" s="5">
        <v>151</v>
      </c>
      <c r="AE71" s="70">
        <v>579564.6</v>
      </c>
      <c r="AF71" s="44">
        <f t="shared" si="21"/>
        <v>1.9436771704213908E-2</v>
      </c>
      <c r="AG71" s="44">
        <f t="shared" si="22"/>
        <v>0.83564930505720247</v>
      </c>
      <c r="AH71" s="5" t="str">
        <f t="shared" si="23"/>
        <v>B</v>
      </c>
    </row>
    <row r="72" spans="1:34" x14ac:dyDescent="0.3">
      <c r="A72" s="51" t="s">
        <v>116</v>
      </c>
      <c r="B72" s="21" t="s">
        <v>48</v>
      </c>
      <c r="C72" s="20">
        <v>30</v>
      </c>
      <c r="D72" s="47">
        <v>86468.759699999995</v>
      </c>
      <c r="E72" s="44">
        <f t="shared" si="12"/>
        <v>9.8551868119243907E-3</v>
      </c>
      <c r="F72" s="44">
        <f t="shared" si="13"/>
        <v>0.94027514450080907</v>
      </c>
      <c r="G72" s="5" t="str">
        <f t="shared" si="14"/>
        <v>B</v>
      </c>
      <c r="J72" s="51" t="s">
        <v>116</v>
      </c>
      <c r="K72" s="62" t="s">
        <v>76</v>
      </c>
      <c r="L72" s="5">
        <v>316</v>
      </c>
      <c r="M72" s="70">
        <v>519873.7</v>
      </c>
      <c r="N72" s="44">
        <f t="shared" si="15"/>
        <v>2.0087007253216896E-2</v>
      </c>
      <c r="O72" s="44">
        <f t="shared" si="16"/>
        <v>0.86784648668039266</v>
      </c>
      <c r="P72" s="5" t="str">
        <f t="shared" si="17"/>
        <v>B</v>
      </c>
      <c r="S72" s="51" t="s">
        <v>116</v>
      </c>
      <c r="T72" s="62" t="s">
        <v>182</v>
      </c>
      <c r="U72" s="48">
        <v>290</v>
      </c>
      <c r="V72" s="70">
        <v>751153.6</v>
      </c>
      <c r="W72" s="44">
        <f t="shared" si="18"/>
        <v>2.4403925301898204E-2</v>
      </c>
      <c r="X72" s="44">
        <f t="shared" si="19"/>
        <v>0.82356974708731012</v>
      </c>
      <c r="Y72" s="5" t="str">
        <f t="shared" si="20"/>
        <v>B</v>
      </c>
      <c r="AB72" s="51" t="s">
        <v>116</v>
      </c>
      <c r="AC72" s="62" t="s">
        <v>56</v>
      </c>
      <c r="AD72" s="5">
        <v>339</v>
      </c>
      <c r="AE72" s="70">
        <v>539277.75</v>
      </c>
      <c r="AF72" s="44">
        <f t="shared" si="21"/>
        <v>1.8085677613698527E-2</v>
      </c>
      <c r="AG72" s="44">
        <f t="shared" si="22"/>
        <v>0.85373498267090098</v>
      </c>
      <c r="AH72" s="5" t="str">
        <f t="shared" si="23"/>
        <v>B</v>
      </c>
    </row>
    <row r="73" spans="1:34" x14ac:dyDescent="0.3">
      <c r="A73" s="51" t="s">
        <v>116</v>
      </c>
      <c r="B73" s="21" t="s">
        <v>196</v>
      </c>
      <c r="C73" s="20">
        <v>23</v>
      </c>
      <c r="D73" s="47">
        <v>85412.019199999995</v>
      </c>
      <c r="E73" s="44">
        <f t="shared" si="12"/>
        <v>9.7347459142480657E-3</v>
      </c>
      <c r="F73" s="44">
        <f t="shared" si="13"/>
        <v>0.95000989041505712</v>
      </c>
      <c r="G73" s="5" t="str">
        <f t="shared" si="14"/>
        <v>C</v>
      </c>
      <c r="J73" s="51" t="s">
        <v>116</v>
      </c>
      <c r="K73" s="62" t="s">
        <v>182</v>
      </c>
      <c r="L73" s="5">
        <v>176</v>
      </c>
      <c r="M73" s="70">
        <v>452528.4</v>
      </c>
      <c r="N73" s="44">
        <f t="shared" si="15"/>
        <v>1.7484903069893008E-2</v>
      </c>
      <c r="O73" s="44">
        <f t="shared" si="16"/>
        <v>0.88533138975028569</v>
      </c>
      <c r="P73" s="5" t="str">
        <f t="shared" si="17"/>
        <v>B</v>
      </c>
      <c r="S73" s="51" t="s">
        <v>116</v>
      </c>
      <c r="T73" s="62" t="s">
        <v>263</v>
      </c>
      <c r="U73" s="48">
        <v>117</v>
      </c>
      <c r="V73" s="70">
        <v>619658.84</v>
      </c>
      <c r="W73" s="44">
        <f t="shared" si="18"/>
        <v>2.0131845263100506E-2</v>
      </c>
      <c r="X73" s="44">
        <f t="shared" si="19"/>
        <v>0.84370159235041065</v>
      </c>
      <c r="Y73" s="5" t="str">
        <f t="shared" si="20"/>
        <v>B</v>
      </c>
      <c r="AB73" s="51" t="s">
        <v>116</v>
      </c>
      <c r="AC73" s="62" t="s">
        <v>196</v>
      </c>
      <c r="AD73" s="5">
        <v>57</v>
      </c>
      <c r="AE73" s="70">
        <v>525632.05000000005</v>
      </c>
      <c r="AF73" s="44">
        <f t="shared" si="21"/>
        <v>1.7628043804379961E-2</v>
      </c>
      <c r="AG73" s="44">
        <f t="shared" si="22"/>
        <v>0.87136302647528097</v>
      </c>
      <c r="AH73" s="5" t="str">
        <f t="shared" si="23"/>
        <v>B</v>
      </c>
    </row>
    <row r="74" spans="1:34" x14ac:dyDescent="0.3">
      <c r="A74" s="51" t="s">
        <v>116</v>
      </c>
      <c r="B74" s="21" t="s">
        <v>26</v>
      </c>
      <c r="C74" s="20">
        <v>48</v>
      </c>
      <c r="D74" s="47">
        <v>75532.068199999994</v>
      </c>
      <c r="E74" s="44">
        <f t="shared" si="12"/>
        <v>8.6086887910109995E-3</v>
      </c>
      <c r="F74" s="44">
        <f t="shared" si="13"/>
        <v>0.95861857920606808</v>
      </c>
      <c r="G74" s="5" t="str">
        <f t="shared" si="14"/>
        <v>C</v>
      </c>
      <c r="J74" s="51" t="s">
        <v>116</v>
      </c>
      <c r="K74" s="62" t="s">
        <v>70</v>
      </c>
      <c r="L74" s="5">
        <v>202</v>
      </c>
      <c r="M74" s="70">
        <v>445019.50000000012</v>
      </c>
      <c r="N74" s="44">
        <f t="shared" si="15"/>
        <v>1.7194772353983204E-2</v>
      </c>
      <c r="O74" s="44">
        <f t="shared" si="16"/>
        <v>0.90252616210426895</v>
      </c>
      <c r="P74" s="5" t="str">
        <f t="shared" si="17"/>
        <v>B</v>
      </c>
      <c r="S74" s="51" t="s">
        <v>116</v>
      </c>
      <c r="T74" s="62" t="s">
        <v>191</v>
      </c>
      <c r="U74" s="48">
        <v>233</v>
      </c>
      <c r="V74" s="70">
        <v>606927.45000000007</v>
      </c>
      <c r="W74" s="44">
        <f t="shared" si="18"/>
        <v>1.9718220286066072E-2</v>
      </c>
      <c r="X74" s="44">
        <f t="shared" si="19"/>
        <v>0.86341981263647671</v>
      </c>
      <c r="Y74" s="5" t="str">
        <f t="shared" si="20"/>
        <v>B</v>
      </c>
      <c r="AB74" s="51" t="s">
        <v>116</v>
      </c>
      <c r="AC74" s="62" t="s">
        <v>191</v>
      </c>
      <c r="AD74" s="5">
        <v>193</v>
      </c>
      <c r="AE74" s="70">
        <v>501394.20000000007</v>
      </c>
      <c r="AF74" s="44">
        <f t="shared" si="21"/>
        <v>1.6815182637478152E-2</v>
      </c>
      <c r="AG74" s="44">
        <f t="shared" si="22"/>
        <v>0.88817820911275913</v>
      </c>
      <c r="AH74" s="5" t="str">
        <f t="shared" si="23"/>
        <v>B</v>
      </c>
    </row>
    <row r="75" spans="1:34" x14ac:dyDescent="0.3">
      <c r="A75" s="51" t="s">
        <v>116</v>
      </c>
      <c r="B75" s="21" t="s">
        <v>135</v>
      </c>
      <c r="C75" s="20">
        <v>13</v>
      </c>
      <c r="D75" s="47">
        <v>67503.61069999999</v>
      </c>
      <c r="E75" s="44">
        <f t="shared" si="12"/>
        <v>7.6936537107276E-3</v>
      </c>
      <c r="F75" s="44">
        <f t="shared" si="13"/>
        <v>0.96631223291679569</v>
      </c>
      <c r="G75" s="5" t="str">
        <f t="shared" si="14"/>
        <v>C</v>
      </c>
      <c r="J75" s="51" t="s">
        <v>116</v>
      </c>
      <c r="K75" s="62" t="s">
        <v>191</v>
      </c>
      <c r="L75" s="5">
        <v>148</v>
      </c>
      <c r="M75" s="70">
        <v>420447.2</v>
      </c>
      <c r="N75" s="44">
        <f t="shared" si="15"/>
        <v>1.6245341812818642E-2</v>
      </c>
      <c r="O75" s="44">
        <f t="shared" si="16"/>
        <v>0.91877150391708762</v>
      </c>
      <c r="P75" s="5" t="str">
        <f t="shared" si="17"/>
        <v>B</v>
      </c>
      <c r="S75" s="51" t="s">
        <v>116</v>
      </c>
      <c r="T75" s="62" t="s">
        <v>70</v>
      </c>
      <c r="U75" s="48">
        <v>251</v>
      </c>
      <c r="V75" s="70">
        <v>590327.90000000014</v>
      </c>
      <c r="W75" s="44">
        <f t="shared" si="18"/>
        <v>1.9178924224321679E-2</v>
      </c>
      <c r="X75" s="44">
        <f t="shared" si="19"/>
        <v>0.88259873686079837</v>
      </c>
      <c r="Y75" s="5" t="str">
        <f t="shared" si="20"/>
        <v>B</v>
      </c>
      <c r="AB75" s="51" t="s">
        <v>116</v>
      </c>
      <c r="AC75" s="62" t="s">
        <v>126</v>
      </c>
      <c r="AD75" s="5">
        <v>171</v>
      </c>
      <c r="AE75" s="70">
        <v>496168.2</v>
      </c>
      <c r="AF75" s="44">
        <f t="shared" si="21"/>
        <v>1.6639919053528712E-2</v>
      </c>
      <c r="AG75" s="44">
        <f t="shared" si="22"/>
        <v>0.90481812816628782</v>
      </c>
      <c r="AH75" s="5" t="str">
        <f t="shared" si="23"/>
        <v>B</v>
      </c>
    </row>
    <row r="76" spans="1:34" x14ac:dyDescent="0.3">
      <c r="A76" s="51" t="s">
        <v>116</v>
      </c>
      <c r="B76" s="21" t="s">
        <v>190</v>
      </c>
      <c r="C76" s="20">
        <v>13</v>
      </c>
      <c r="D76" s="47">
        <v>65148.373800000001</v>
      </c>
      <c r="E76" s="44">
        <f t="shared" si="12"/>
        <v>7.4252180385106243E-3</v>
      </c>
      <c r="F76" s="44">
        <f t="shared" si="13"/>
        <v>0.97373745095530628</v>
      </c>
      <c r="G76" s="5" t="str">
        <f t="shared" si="14"/>
        <v>C</v>
      </c>
      <c r="J76" s="51" t="s">
        <v>116</v>
      </c>
      <c r="K76" s="62" t="s">
        <v>154</v>
      </c>
      <c r="L76" s="5">
        <v>104</v>
      </c>
      <c r="M76" s="70">
        <v>316857.34999999998</v>
      </c>
      <c r="N76" s="44">
        <f t="shared" si="15"/>
        <v>1.2242811836192299E-2</v>
      </c>
      <c r="O76" s="44">
        <f t="shared" si="16"/>
        <v>0.93101431575327986</v>
      </c>
      <c r="P76" s="5" t="str">
        <f t="shared" si="17"/>
        <v>B</v>
      </c>
      <c r="S76" s="51" t="s">
        <v>116</v>
      </c>
      <c r="T76" s="62" t="s">
        <v>15</v>
      </c>
      <c r="U76" s="48">
        <v>208</v>
      </c>
      <c r="V76" s="70">
        <v>577671.4</v>
      </c>
      <c r="W76" s="44">
        <f t="shared" si="18"/>
        <v>1.8767732318187597E-2</v>
      </c>
      <c r="X76" s="44">
        <f t="shared" si="19"/>
        <v>0.901366469178986</v>
      </c>
      <c r="Y76" s="5" t="str">
        <f t="shared" si="20"/>
        <v>B</v>
      </c>
      <c r="AB76" s="51" t="s">
        <v>116</v>
      </c>
      <c r="AC76" s="62" t="s">
        <v>26</v>
      </c>
      <c r="AD76" s="5">
        <v>275</v>
      </c>
      <c r="AE76" s="70">
        <v>488648.19999999995</v>
      </c>
      <c r="AF76" s="44">
        <f t="shared" si="21"/>
        <v>1.638772193311161E-2</v>
      </c>
      <c r="AG76" s="44">
        <f t="shared" si="22"/>
        <v>0.92120585009939937</v>
      </c>
      <c r="AH76" s="5" t="str">
        <f t="shared" si="23"/>
        <v>B</v>
      </c>
    </row>
    <row r="77" spans="1:34" x14ac:dyDescent="0.3">
      <c r="A77" s="51" t="s">
        <v>116</v>
      </c>
      <c r="B77" s="21" t="s">
        <v>280</v>
      </c>
      <c r="C77" s="20">
        <v>24</v>
      </c>
      <c r="D77" s="47">
        <v>62903.829099999995</v>
      </c>
      <c r="E77" s="44">
        <f t="shared" si="12"/>
        <v>7.1693983944801018E-3</v>
      </c>
      <c r="F77" s="44">
        <f t="shared" si="13"/>
        <v>0.98090684934978634</v>
      </c>
      <c r="G77" s="5" t="str">
        <f t="shared" si="14"/>
        <v>C</v>
      </c>
      <c r="J77" s="51" t="s">
        <v>116</v>
      </c>
      <c r="K77" s="62" t="s">
        <v>56</v>
      </c>
      <c r="L77" s="5">
        <v>183</v>
      </c>
      <c r="M77" s="70">
        <v>297289.8</v>
      </c>
      <c r="N77" s="44">
        <f t="shared" si="15"/>
        <v>1.1486756050378005E-2</v>
      </c>
      <c r="O77" s="44">
        <f t="shared" si="16"/>
        <v>0.94250107180365783</v>
      </c>
      <c r="P77" s="5" t="str">
        <f t="shared" si="17"/>
        <v>B</v>
      </c>
      <c r="S77" s="51" t="s">
        <v>116</v>
      </c>
      <c r="T77" s="62" t="s">
        <v>33</v>
      </c>
      <c r="U77" s="48">
        <v>150</v>
      </c>
      <c r="V77" s="70">
        <v>530427.15</v>
      </c>
      <c r="W77" s="44">
        <f t="shared" si="18"/>
        <v>1.7232833000732146E-2</v>
      </c>
      <c r="X77" s="44">
        <f t="shared" si="19"/>
        <v>0.91859930217971819</v>
      </c>
      <c r="Y77" s="5" t="str">
        <f t="shared" si="20"/>
        <v>B</v>
      </c>
      <c r="AB77" s="51" t="s">
        <v>116</v>
      </c>
      <c r="AC77" s="62" t="s">
        <v>135</v>
      </c>
      <c r="AD77" s="5">
        <v>82</v>
      </c>
      <c r="AE77" s="70">
        <v>398543.4</v>
      </c>
      <c r="AF77" s="44">
        <f t="shared" si="21"/>
        <v>1.3365890670377738E-2</v>
      </c>
      <c r="AG77" s="44">
        <f t="shared" si="22"/>
        <v>0.93457174076977712</v>
      </c>
      <c r="AH77" s="5" t="str">
        <f t="shared" si="23"/>
        <v>B</v>
      </c>
    </row>
    <row r="78" spans="1:34" x14ac:dyDescent="0.3">
      <c r="A78" s="51" t="s">
        <v>116</v>
      </c>
      <c r="B78" s="21" t="s">
        <v>156</v>
      </c>
      <c r="C78" s="20">
        <v>26</v>
      </c>
      <c r="D78" s="47">
        <v>58547.687599999997</v>
      </c>
      <c r="E78" s="44">
        <f t="shared" si="12"/>
        <v>6.6729117048291509E-3</v>
      </c>
      <c r="F78" s="44">
        <f t="shared" si="13"/>
        <v>0.98757976105461553</v>
      </c>
      <c r="G78" s="5" t="str">
        <f t="shared" si="14"/>
        <v>C</v>
      </c>
      <c r="J78" s="51" t="s">
        <v>116</v>
      </c>
      <c r="K78" s="62" t="s">
        <v>156</v>
      </c>
      <c r="L78" s="5">
        <v>65</v>
      </c>
      <c r="M78" s="70">
        <v>239793.7</v>
      </c>
      <c r="N78" s="44">
        <f t="shared" si="15"/>
        <v>9.2652076671232205E-3</v>
      </c>
      <c r="O78" s="44">
        <f t="shared" si="16"/>
        <v>0.95176627947078107</v>
      </c>
      <c r="P78" s="5" t="str">
        <f t="shared" si="17"/>
        <v>C</v>
      </c>
      <c r="S78" s="51" t="s">
        <v>116</v>
      </c>
      <c r="T78" s="62" t="s">
        <v>196</v>
      </c>
      <c r="U78" s="48">
        <v>44</v>
      </c>
      <c r="V78" s="70">
        <v>352725.69999999995</v>
      </c>
      <c r="W78" s="44">
        <f t="shared" si="18"/>
        <v>1.1459562511395479E-2</v>
      </c>
      <c r="X78" s="44">
        <f t="shared" si="19"/>
        <v>0.93005886469111365</v>
      </c>
      <c r="Y78" s="5" t="str">
        <f t="shared" si="20"/>
        <v>B</v>
      </c>
      <c r="AB78" s="51" t="s">
        <v>116</v>
      </c>
      <c r="AC78" s="62" t="s">
        <v>154</v>
      </c>
      <c r="AD78" s="5">
        <v>115</v>
      </c>
      <c r="AE78" s="70">
        <v>388784.2</v>
      </c>
      <c r="AF78" s="44">
        <f t="shared" si="21"/>
        <v>1.3038597832934311E-2</v>
      </c>
      <c r="AG78" s="44">
        <f t="shared" si="22"/>
        <v>0.94761033860271138</v>
      </c>
      <c r="AH78" s="5" t="str">
        <f t="shared" si="23"/>
        <v>B</v>
      </c>
    </row>
    <row r="79" spans="1:34" x14ac:dyDescent="0.3">
      <c r="A79" s="51" t="s">
        <v>116</v>
      </c>
      <c r="B79" s="21" t="s">
        <v>15</v>
      </c>
      <c r="C79" s="20">
        <v>20</v>
      </c>
      <c r="D79" s="47">
        <v>38116.551900000006</v>
      </c>
      <c r="E79" s="44">
        <f t="shared" si="12"/>
        <v>4.3442942966245837E-3</v>
      </c>
      <c r="F79" s="44">
        <f t="shared" si="13"/>
        <v>0.99192405535124006</v>
      </c>
      <c r="G79" s="5" t="str">
        <f t="shared" si="14"/>
        <v>C</v>
      </c>
      <c r="J79" s="51" t="s">
        <v>116</v>
      </c>
      <c r="K79" s="62" t="s">
        <v>40</v>
      </c>
      <c r="L79" s="5">
        <v>118</v>
      </c>
      <c r="M79" s="70">
        <v>173011</v>
      </c>
      <c r="N79" s="44">
        <f t="shared" si="15"/>
        <v>6.6848413602886786E-3</v>
      </c>
      <c r="O79" s="44">
        <f t="shared" si="16"/>
        <v>0.95845112083106976</v>
      </c>
      <c r="P79" s="5" t="str">
        <f t="shared" si="17"/>
        <v>C</v>
      </c>
      <c r="S79" s="51" t="s">
        <v>116</v>
      </c>
      <c r="T79" s="62" t="s">
        <v>48</v>
      </c>
      <c r="U79" s="48">
        <v>106</v>
      </c>
      <c r="V79" s="70">
        <v>344064.2</v>
      </c>
      <c r="W79" s="44">
        <f t="shared" si="18"/>
        <v>1.1178162543396404E-2</v>
      </c>
      <c r="X79" s="44">
        <f t="shared" si="19"/>
        <v>0.94123702723451008</v>
      </c>
      <c r="Y79" s="5" t="str">
        <f t="shared" si="20"/>
        <v>B</v>
      </c>
      <c r="AB79" s="51" t="s">
        <v>116</v>
      </c>
      <c r="AC79" s="62" t="s">
        <v>182</v>
      </c>
      <c r="AD79" s="5">
        <v>103</v>
      </c>
      <c r="AE79" s="70">
        <v>275995.06000000006</v>
      </c>
      <c r="AF79" s="44">
        <f t="shared" si="21"/>
        <v>9.2560052368809639E-3</v>
      </c>
      <c r="AG79" s="44">
        <f t="shared" si="22"/>
        <v>0.95686634383959235</v>
      </c>
      <c r="AH79" s="5" t="str">
        <f t="shared" si="23"/>
        <v>C</v>
      </c>
    </row>
    <row r="80" spans="1:34" x14ac:dyDescent="0.3">
      <c r="A80" s="51" t="s">
        <v>116</v>
      </c>
      <c r="B80" s="21" t="s">
        <v>70</v>
      </c>
      <c r="C80" s="20">
        <v>8</v>
      </c>
      <c r="D80" s="47">
        <v>16160.650900000001</v>
      </c>
      <c r="E80" s="44">
        <f t="shared" si="12"/>
        <v>1.8418933517071606E-3</v>
      </c>
      <c r="F80" s="44">
        <f t="shared" si="13"/>
        <v>0.99376594870294721</v>
      </c>
      <c r="G80" s="5" t="str">
        <f t="shared" si="14"/>
        <v>C</v>
      </c>
      <c r="J80" s="51" t="s">
        <v>116</v>
      </c>
      <c r="K80" s="62" t="s">
        <v>43</v>
      </c>
      <c r="L80" s="5">
        <v>80</v>
      </c>
      <c r="M80" s="70">
        <v>172847.15</v>
      </c>
      <c r="N80" s="44">
        <f t="shared" si="15"/>
        <v>6.6785104838884305E-3</v>
      </c>
      <c r="O80" s="44">
        <f t="shared" si="16"/>
        <v>0.96512963131495821</v>
      </c>
      <c r="P80" s="5" t="str">
        <f t="shared" si="17"/>
        <v>C</v>
      </c>
      <c r="S80" s="51" t="s">
        <v>116</v>
      </c>
      <c r="T80" s="62" t="s">
        <v>154</v>
      </c>
      <c r="U80" s="48">
        <v>103</v>
      </c>
      <c r="V80" s="70">
        <v>342671.95999999979</v>
      </c>
      <c r="W80" s="44">
        <f t="shared" si="18"/>
        <v>1.1132930621506765E-2</v>
      </c>
      <c r="X80" s="44">
        <f t="shared" si="19"/>
        <v>0.95236995785601686</v>
      </c>
      <c r="Y80" s="5" t="str">
        <f t="shared" si="20"/>
        <v>C</v>
      </c>
      <c r="AB80" s="51" t="s">
        <v>116</v>
      </c>
      <c r="AC80" s="62" t="s">
        <v>33</v>
      </c>
      <c r="AD80" s="5">
        <v>62</v>
      </c>
      <c r="AE80" s="70">
        <v>221225.5</v>
      </c>
      <c r="AF80" s="44">
        <f t="shared" si="21"/>
        <v>7.4192066572916528E-3</v>
      </c>
      <c r="AG80" s="44">
        <f t="shared" si="22"/>
        <v>0.96428555049688403</v>
      </c>
      <c r="AH80" s="5" t="str">
        <f t="shared" si="23"/>
        <v>C</v>
      </c>
    </row>
    <row r="81" spans="1:34" x14ac:dyDescent="0.3">
      <c r="A81" s="51" t="s">
        <v>116</v>
      </c>
      <c r="B81" s="21" t="s">
        <v>154</v>
      </c>
      <c r="C81" s="20">
        <v>6</v>
      </c>
      <c r="D81" s="47">
        <v>15234.5373</v>
      </c>
      <c r="E81" s="44">
        <f t="shared" si="12"/>
        <v>1.736340518883726E-3</v>
      </c>
      <c r="F81" s="44">
        <f t="shared" si="13"/>
        <v>0.99550228922183093</v>
      </c>
      <c r="G81" s="5" t="str">
        <f t="shared" si="14"/>
        <v>C</v>
      </c>
      <c r="J81" s="51" t="s">
        <v>116</v>
      </c>
      <c r="K81" s="62" t="s">
        <v>15</v>
      </c>
      <c r="L81" s="5">
        <v>65</v>
      </c>
      <c r="M81" s="70">
        <v>171344.2</v>
      </c>
      <c r="N81" s="44">
        <f t="shared" si="15"/>
        <v>6.6204391339601265E-3</v>
      </c>
      <c r="O81" s="44">
        <f t="shared" si="16"/>
        <v>0.97175007044891837</v>
      </c>
      <c r="P81" s="5" t="str">
        <f t="shared" si="17"/>
        <v>C</v>
      </c>
      <c r="S81" s="51" t="s">
        <v>116</v>
      </c>
      <c r="T81" s="62" t="s">
        <v>56</v>
      </c>
      <c r="U81" s="48">
        <v>190</v>
      </c>
      <c r="V81" s="70">
        <v>314018.72000000009</v>
      </c>
      <c r="W81" s="44">
        <f t="shared" si="18"/>
        <v>1.0202027103747742E-2</v>
      </c>
      <c r="X81" s="44">
        <f t="shared" si="19"/>
        <v>0.96257198495976459</v>
      </c>
      <c r="Y81" s="5" t="str">
        <f t="shared" si="20"/>
        <v>C</v>
      </c>
      <c r="AB81" s="51" t="s">
        <v>116</v>
      </c>
      <c r="AC81" s="62" t="s">
        <v>48</v>
      </c>
      <c r="AD81" s="5">
        <v>54</v>
      </c>
      <c r="AE81" s="70">
        <v>198649.8</v>
      </c>
      <c r="AF81" s="44">
        <f t="shared" si="21"/>
        <v>6.6620887674777784E-3</v>
      </c>
      <c r="AG81" s="44">
        <f t="shared" si="22"/>
        <v>0.97094763926436178</v>
      </c>
      <c r="AH81" s="5" t="str">
        <f t="shared" si="23"/>
        <v>C</v>
      </c>
    </row>
    <row r="82" spans="1:34" x14ac:dyDescent="0.3">
      <c r="A82" s="51" t="s">
        <v>116</v>
      </c>
      <c r="B82" s="21" t="s">
        <v>7</v>
      </c>
      <c r="C82" s="20">
        <v>10</v>
      </c>
      <c r="D82" s="47">
        <v>15069.336800000001</v>
      </c>
      <c r="E82" s="44">
        <f t="shared" si="12"/>
        <v>1.7175119639863056E-3</v>
      </c>
      <c r="F82" s="44">
        <f t="shared" si="13"/>
        <v>0.99721980118581721</v>
      </c>
      <c r="G82" s="5" t="str">
        <f t="shared" si="14"/>
        <v>C</v>
      </c>
      <c r="J82" s="51" t="s">
        <v>116</v>
      </c>
      <c r="K82" s="62" t="s">
        <v>59</v>
      </c>
      <c r="L82" s="5">
        <v>114</v>
      </c>
      <c r="M82" s="70">
        <v>129405.2</v>
      </c>
      <c r="N82" s="44">
        <f t="shared" si="15"/>
        <v>4.9999897879119161E-3</v>
      </c>
      <c r="O82" s="44">
        <f t="shared" si="16"/>
        <v>0.97675006023683031</v>
      </c>
      <c r="P82" s="5" t="str">
        <f t="shared" si="17"/>
        <v>C</v>
      </c>
      <c r="S82" s="51" t="s">
        <v>116</v>
      </c>
      <c r="T82" s="62" t="s">
        <v>135</v>
      </c>
      <c r="U82" s="48">
        <v>41</v>
      </c>
      <c r="V82" s="70">
        <v>240488.60000000003</v>
      </c>
      <c r="W82" s="44">
        <f t="shared" si="18"/>
        <v>7.813136794336175E-3</v>
      </c>
      <c r="X82" s="44">
        <f t="shared" si="19"/>
        <v>0.97038512175410074</v>
      </c>
      <c r="Y82" s="5" t="str">
        <f t="shared" si="20"/>
        <v>C</v>
      </c>
      <c r="AB82" s="51" t="s">
        <v>116</v>
      </c>
      <c r="AC82" s="62" t="s">
        <v>59</v>
      </c>
      <c r="AD82" s="5">
        <v>129</v>
      </c>
      <c r="AE82" s="70">
        <v>161030.39999999999</v>
      </c>
      <c r="AF82" s="44">
        <f t="shared" si="21"/>
        <v>5.4004525504805631E-3</v>
      </c>
      <c r="AG82" s="44">
        <f t="shared" si="22"/>
        <v>0.97634809181484239</v>
      </c>
      <c r="AH82" s="5" t="str">
        <f t="shared" si="23"/>
        <v>C</v>
      </c>
    </row>
    <row r="83" spans="1:34" x14ac:dyDescent="0.3">
      <c r="A83" s="51" t="s">
        <v>116</v>
      </c>
      <c r="B83" s="21" t="s">
        <v>197</v>
      </c>
      <c r="C83" s="20">
        <v>3</v>
      </c>
      <c r="D83" s="47">
        <v>9187.902399999999</v>
      </c>
      <c r="E83" s="44">
        <f t="shared" si="12"/>
        <v>1.0471816049621035E-3</v>
      </c>
      <c r="F83" s="44">
        <f t="shared" si="13"/>
        <v>0.9982669827907793</v>
      </c>
      <c r="G83" s="5" t="str">
        <f t="shared" si="14"/>
        <v>C</v>
      </c>
      <c r="J83" s="51" t="s">
        <v>116</v>
      </c>
      <c r="K83" s="62" t="s">
        <v>197</v>
      </c>
      <c r="L83" s="5">
        <v>25</v>
      </c>
      <c r="M83" s="70">
        <v>128147.20000000001</v>
      </c>
      <c r="N83" s="44">
        <f t="shared" si="15"/>
        <v>4.9513828760320757E-3</v>
      </c>
      <c r="O83" s="44">
        <f t="shared" si="16"/>
        <v>0.98170144311286234</v>
      </c>
      <c r="P83" s="5" t="str">
        <f t="shared" si="17"/>
        <v>C</v>
      </c>
      <c r="S83" s="51" t="s">
        <v>116</v>
      </c>
      <c r="T83" s="62" t="s">
        <v>190</v>
      </c>
      <c r="U83" s="48">
        <v>47</v>
      </c>
      <c r="V83" s="70">
        <v>215664.25</v>
      </c>
      <c r="W83" s="44">
        <f t="shared" si="18"/>
        <v>7.0066285341505389E-3</v>
      </c>
      <c r="X83" s="44">
        <f t="shared" si="19"/>
        <v>0.97739175028825132</v>
      </c>
      <c r="Y83" s="5" t="str">
        <f t="shared" si="20"/>
        <v>C</v>
      </c>
      <c r="AB83" s="51" t="s">
        <v>116</v>
      </c>
      <c r="AC83" s="62" t="s">
        <v>151</v>
      </c>
      <c r="AD83" s="5">
        <v>75</v>
      </c>
      <c r="AE83" s="70">
        <v>157697</v>
      </c>
      <c r="AF83" s="44">
        <f t="shared" si="21"/>
        <v>5.2886608109595041E-3</v>
      </c>
      <c r="AG83" s="44">
        <f t="shared" si="22"/>
        <v>0.98163675262580186</v>
      </c>
      <c r="AH83" s="5" t="str">
        <f t="shared" si="23"/>
        <v>C</v>
      </c>
    </row>
    <row r="84" spans="1:34" x14ac:dyDescent="0.3">
      <c r="A84" s="51" t="s">
        <v>116</v>
      </c>
      <c r="B84" s="21" t="s">
        <v>192</v>
      </c>
      <c r="C84" s="20">
        <v>2</v>
      </c>
      <c r="D84" s="47">
        <v>6491.1154999999999</v>
      </c>
      <c r="E84" s="44">
        <f t="shared" si="12"/>
        <v>7.3981812728924799E-4</v>
      </c>
      <c r="F84" s="44">
        <f t="shared" si="13"/>
        <v>0.99900680091806859</v>
      </c>
      <c r="G84" s="5" t="str">
        <f t="shared" si="14"/>
        <v>C</v>
      </c>
      <c r="J84" s="51" t="s">
        <v>116</v>
      </c>
      <c r="K84" s="62" t="s">
        <v>52</v>
      </c>
      <c r="L84" s="5">
        <v>53</v>
      </c>
      <c r="M84" s="70">
        <v>116219.8</v>
      </c>
      <c r="N84" s="44">
        <f t="shared" si="15"/>
        <v>4.4905290757493929E-3</v>
      </c>
      <c r="O84" s="44">
        <f t="shared" si="16"/>
        <v>0.98619197218861177</v>
      </c>
      <c r="P84" s="5" t="str">
        <f t="shared" si="17"/>
        <v>C</v>
      </c>
      <c r="S84" s="51" t="s">
        <v>116</v>
      </c>
      <c r="T84" s="62" t="s">
        <v>40</v>
      </c>
      <c r="U84" s="48">
        <v>78</v>
      </c>
      <c r="V84" s="70">
        <v>120211.1</v>
      </c>
      <c r="W84" s="44">
        <f t="shared" si="18"/>
        <v>3.9054897758048629E-3</v>
      </c>
      <c r="X84" s="44">
        <f t="shared" si="19"/>
        <v>0.98129724006405616</v>
      </c>
      <c r="Y84" s="5" t="str">
        <f t="shared" si="20"/>
        <v>C</v>
      </c>
      <c r="AB84" s="51" t="s">
        <v>116</v>
      </c>
      <c r="AC84" s="62" t="s">
        <v>15</v>
      </c>
      <c r="AD84" s="5">
        <v>52</v>
      </c>
      <c r="AE84" s="70">
        <v>129488.9</v>
      </c>
      <c r="AF84" s="44">
        <f t="shared" si="21"/>
        <v>4.3426499609013113E-3</v>
      </c>
      <c r="AG84" s="44">
        <f t="shared" si="22"/>
        <v>0.98597940258670314</v>
      </c>
      <c r="AH84" s="5" t="str">
        <f t="shared" si="23"/>
        <v>C</v>
      </c>
    </row>
    <row r="85" spans="1:34" x14ac:dyDescent="0.3">
      <c r="A85" s="51" t="s">
        <v>116</v>
      </c>
      <c r="B85" s="21" t="s">
        <v>82</v>
      </c>
      <c r="C85" s="20">
        <v>2</v>
      </c>
      <c r="D85" s="47">
        <v>4923.3993</v>
      </c>
      <c r="E85" s="44">
        <f t="shared" si="12"/>
        <v>5.6113930649103296E-4</v>
      </c>
      <c r="F85" s="44">
        <f t="shared" si="13"/>
        <v>0.99956794022455964</v>
      </c>
      <c r="G85" s="5" t="str">
        <f t="shared" si="14"/>
        <v>C</v>
      </c>
      <c r="J85" s="51" t="s">
        <v>116</v>
      </c>
      <c r="K85" s="62" t="s">
        <v>263</v>
      </c>
      <c r="L85" s="5">
        <v>16</v>
      </c>
      <c r="M85" s="70">
        <v>103587.5</v>
      </c>
      <c r="N85" s="44">
        <f t="shared" si="15"/>
        <v>4.0024391767512092E-3</v>
      </c>
      <c r="O85" s="44">
        <f t="shared" si="16"/>
        <v>0.99019441136536301</v>
      </c>
      <c r="P85" s="5" t="str">
        <f t="shared" si="17"/>
        <v>C</v>
      </c>
      <c r="S85" s="51" t="s">
        <v>116</v>
      </c>
      <c r="T85" s="62" t="s">
        <v>151</v>
      </c>
      <c r="U85" s="48">
        <v>49</v>
      </c>
      <c r="V85" s="70">
        <v>101634.8</v>
      </c>
      <c r="W85" s="44">
        <f t="shared" si="18"/>
        <v>3.3019718833449826E-3</v>
      </c>
      <c r="X85" s="44">
        <f t="shared" si="19"/>
        <v>0.98459921194740119</v>
      </c>
      <c r="Y85" s="5" t="str">
        <f t="shared" si="20"/>
        <v>C</v>
      </c>
      <c r="AB85" s="51" t="s">
        <v>116</v>
      </c>
      <c r="AC85" s="62" t="s">
        <v>43</v>
      </c>
      <c r="AD85" s="5">
        <v>51</v>
      </c>
      <c r="AE85" s="70">
        <v>119205.40000000001</v>
      </c>
      <c r="AF85" s="44">
        <f t="shared" si="21"/>
        <v>3.9977737524160388E-3</v>
      </c>
      <c r="AG85" s="44">
        <f t="shared" si="22"/>
        <v>0.98997717633911919</v>
      </c>
      <c r="AH85" s="5" t="str">
        <f t="shared" si="23"/>
        <v>C</v>
      </c>
    </row>
    <row r="86" spans="1:34" x14ac:dyDescent="0.3">
      <c r="A86" s="51" t="s">
        <v>116</v>
      </c>
      <c r="B86" s="21" t="s">
        <v>33</v>
      </c>
      <c r="C86" s="20">
        <v>1</v>
      </c>
      <c r="D86" s="47">
        <v>3790.864</v>
      </c>
      <c r="E86" s="44">
        <f t="shared" si="12"/>
        <v>4.320597754404814E-4</v>
      </c>
      <c r="F86" s="44">
        <f t="shared" si="13"/>
        <v>1.0000000000000002</v>
      </c>
      <c r="G86" s="5" t="str">
        <f t="shared" si="14"/>
        <v>C</v>
      </c>
      <c r="J86" s="51" t="s">
        <v>116</v>
      </c>
      <c r="K86" s="62" t="s">
        <v>48</v>
      </c>
      <c r="L86" s="5">
        <v>15</v>
      </c>
      <c r="M86" s="70">
        <v>56214.1</v>
      </c>
      <c r="N86" s="44">
        <f t="shared" si="15"/>
        <v>2.1720141535012446E-3</v>
      </c>
      <c r="O86" s="44">
        <f t="shared" si="16"/>
        <v>0.99236642551886423</v>
      </c>
      <c r="P86" s="5" t="str">
        <f t="shared" si="17"/>
        <v>C</v>
      </c>
      <c r="S86" s="51" t="s">
        <v>116</v>
      </c>
      <c r="T86" s="62" t="s">
        <v>59</v>
      </c>
      <c r="U86" s="48">
        <v>78</v>
      </c>
      <c r="V86" s="70">
        <v>100460.798</v>
      </c>
      <c r="W86" s="44">
        <f t="shared" si="18"/>
        <v>3.2638302075115987E-3</v>
      </c>
      <c r="X86" s="44">
        <f t="shared" si="19"/>
        <v>0.98786304215491283</v>
      </c>
      <c r="Y86" s="5" t="str">
        <f t="shared" si="20"/>
        <v>C</v>
      </c>
      <c r="AB86" s="51" t="s">
        <v>116</v>
      </c>
      <c r="AC86" s="62" t="s">
        <v>197</v>
      </c>
      <c r="AD86" s="5">
        <v>15</v>
      </c>
      <c r="AE86" s="70">
        <v>73412.5</v>
      </c>
      <c r="AF86" s="44">
        <f t="shared" si="21"/>
        <v>2.462024082795263E-3</v>
      </c>
      <c r="AG86" s="44">
        <f t="shared" si="22"/>
        <v>0.99243920042191447</v>
      </c>
      <c r="AH86" s="5" t="str">
        <f t="shared" si="23"/>
        <v>C</v>
      </c>
    </row>
    <row r="87" spans="1:34" x14ac:dyDescent="0.3">
      <c r="A87" s="51" t="s">
        <v>116</v>
      </c>
      <c r="B87" s="21" t="s">
        <v>151</v>
      </c>
      <c r="C87" s="20">
        <v>0</v>
      </c>
      <c r="D87" s="47">
        <v>0</v>
      </c>
      <c r="E87" s="44">
        <f t="shared" si="12"/>
        <v>0</v>
      </c>
      <c r="F87" s="44">
        <f t="shared" si="13"/>
        <v>1.0000000000000002</v>
      </c>
      <c r="G87" s="5" t="str">
        <f t="shared" si="14"/>
        <v>C</v>
      </c>
      <c r="J87" s="51" t="s">
        <v>116</v>
      </c>
      <c r="K87" s="62" t="s">
        <v>151</v>
      </c>
      <c r="L87" s="5">
        <v>26</v>
      </c>
      <c r="M87" s="70">
        <v>52932</v>
      </c>
      <c r="N87" s="44">
        <f t="shared" si="15"/>
        <v>2.0451995704481238E-3</v>
      </c>
      <c r="O87" s="44">
        <f t="shared" si="16"/>
        <v>0.99441162508931236</v>
      </c>
      <c r="P87" s="5" t="str">
        <f t="shared" si="17"/>
        <v>C</v>
      </c>
      <c r="S87" s="51" t="s">
        <v>116</v>
      </c>
      <c r="T87" s="62" t="s">
        <v>52</v>
      </c>
      <c r="U87" s="48">
        <v>35</v>
      </c>
      <c r="V87" s="70">
        <v>82800.399999999994</v>
      </c>
      <c r="W87" s="44">
        <f t="shared" si="18"/>
        <v>2.6900686844438899E-3</v>
      </c>
      <c r="X87" s="44">
        <f t="shared" si="19"/>
        <v>0.99055311083935671</v>
      </c>
      <c r="Y87" s="5" t="str">
        <f t="shared" si="20"/>
        <v>C</v>
      </c>
      <c r="AB87" s="51" t="s">
        <v>116</v>
      </c>
      <c r="AC87" s="62" t="s">
        <v>52</v>
      </c>
      <c r="AD87" s="5">
        <v>29</v>
      </c>
      <c r="AE87" s="70">
        <v>68507.25</v>
      </c>
      <c r="AF87" s="44">
        <f t="shared" si="21"/>
        <v>2.2975174438423398E-3</v>
      </c>
      <c r="AG87" s="44">
        <f t="shared" si="22"/>
        <v>0.99473671786575679</v>
      </c>
      <c r="AH87" s="5" t="str">
        <f t="shared" si="23"/>
        <v>C</v>
      </c>
    </row>
    <row r="88" spans="1:34" x14ac:dyDescent="0.3">
      <c r="A88" s="51" t="s">
        <v>116</v>
      </c>
      <c r="B88" s="21" t="s">
        <v>53</v>
      </c>
      <c r="C88" s="20">
        <v>0</v>
      </c>
      <c r="D88" s="47">
        <v>0</v>
      </c>
      <c r="E88" s="44">
        <f t="shared" si="12"/>
        <v>0</v>
      </c>
      <c r="F88" s="44">
        <f t="shared" si="13"/>
        <v>1.0000000000000002</v>
      </c>
      <c r="G88" s="5" t="str">
        <f t="shared" si="14"/>
        <v>C</v>
      </c>
      <c r="J88" s="51" t="s">
        <v>116</v>
      </c>
      <c r="K88" s="62" t="s">
        <v>135</v>
      </c>
      <c r="L88" s="5">
        <v>7</v>
      </c>
      <c r="M88" s="70">
        <v>45265.299999999996</v>
      </c>
      <c r="N88" s="44">
        <f t="shared" si="15"/>
        <v>1.7489717395187305E-3</v>
      </c>
      <c r="O88" s="44">
        <f t="shared" si="16"/>
        <v>0.99616059682883107</v>
      </c>
      <c r="P88" s="5" t="str">
        <f t="shared" si="17"/>
        <v>C</v>
      </c>
      <c r="S88" s="51" t="s">
        <v>116</v>
      </c>
      <c r="T88" s="62" t="s">
        <v>156</v>
      </c>
      <c r="U88" s="48">
        <v>21</v>
      </c>
      <c r="V88" s="70">
        <v>80630.950000000012</v>
      </c>
      <c r="W88" s="44">
        <f t="shared" si="18"/>
        <v>2.6195863014183644E-3</v>
      </c>
      <c r="X88" s="44">
        <f t="shared" si="19"/>
        <v>0.99317269714077505</v>
      </c>
      <c r="Y88" s="5" t="str">
        <f t="shared" si="20"/>
        <v>C</v>
      </c>
      <c r="AB88" s="51" t="s">
        <v>116</v>
      </c>
      <c r="AC88" s="62" t="s">
        <v>133</v>
      </c>
      <c r="AD88" s="5">
        <v>25</v>
      </c>
      <c r="AE88" s="70">
        <v>52880.299999999996</v>
      </c>
      <c r="AF88" s="44">
        <f t="shared" si="21"/>
        <v>1.7734387482436689E-3</v>
      </c>
      <c r="AG88" s="44">
        <f t="shared" si="22"/>
        <v>0.99651015661400044</v>
      </c>
      <c r="AH88" s="5" t="str">
        <f t="shared" si="23"/>
        <v>C</v>
      </c>
    </row>
    <row r="89" spans="1:34" x14ac:dyDescent="0.3">
      <c r="A89" s="51" t="s">
        <v>116</v>
      </c>
      <c r="B89" s="21" t="s">
        <v>56</v>
      </c>
      <c r="C89" s="20">
        <v>0</v>
      </c>
      <c r="D89" s="47">
        <v>0</v>
      </c>
      <c r="E89" s="44">
        <f t="shared" si="12"/>
        <v>0</v>
      </c>
      <c r="F89" s="44">
        <f t="shared" si="13"/>
        <v>1.0000000000000002</v>
      </c>
      <c r="G89" s="5" t="str">
        <f t="shared" si="14"/>
        <v>C</v>
      </c>
      <c r="J89" s="51" t="s">
        <v>116</v>
      </c>
      <c r="K89" s="62" t="s">
        <v>33</v>
      </c>
      <c r="L89" s="5">
        <v>6</v>
      </c>
      <c r="M89" s="70">
        <v>30524.65</v>
      </c>
      <c r="N89" s="44">
        <f t="shared" si="15"/>
        <v>1.179418897228129E-3</v>
      </c>
      <c r="O89" s="44">
        <f t="shared" si="16"/>
        <v>0.99734001572605924</v>
      </c>
      <c r="P89" s="5" t="str">
        <f t="shared" si="17"/>
        <v>C</v>
      </c>
      <c r="S89" s="51" t="s">
        <v>116</v>
      </c>
      <c r="T89" s="62" t="s">
        <v>197</v>
      </c>
      <c r="U89" s="48">
        <v>14</v>
      </c>
      <c r="V89" s="70">
        <v>70350</v>
      </c>
      <c r="W89" s="44">
        <f t="shared" si="18"/>
        <v>2.2855726777965767E-3</v>
      </c>
      <c r="X89" s="44">
        <f t="shared" si="19"/>
        <v>0.99545826981857166</v>
      </c>
      <c r="Y89" s="5" t="str">
        <f t="shared" si="20"/>
        <v>C</v>
      </c>
      <c r="AB89" s="51" t="s">
        <v>116</v>
      </c>
      <c r="AC89" s="62" t="s">
        <v>190</v>
      </c>
      <c r="AD89" s="5">
        <v>7</v>
      </c>
      <c r="AE89" s="70">
        <v>37533.5</v>
      </c>
      <c r="AF89" s="44">
        <f t="shared" si="21"/>
        <v>1.2587554014860686E-3</v>
      </c>
      <c r="AG89" s="44">
        <f t="shared" si="22"/>
        <v>0.99776891201548656</v>
      </c>
      <c r="AH89" s="5" t="str">
        <f t="shared" si="23"/>
        <v>C</v>
      </c>
    </row>
    <row r="90" spans="1:34" x14ac:dyDescent="0.3">
      <c r="A90" s="51" t="s">
        <v>116</v>
      </c>
      <c r="B90" s="21" t="s">
        <v>242</v>
      </c>
      <c r="C90" s="20">
        <v>0</v>
      </c>
      <c r="D90" s="47">
        <v>0</v>
      </c>
      <c r="E90" s="44">
        <f t="shared" si="12"/>
        <v>0</v>
      </c>
      <c r="F90" s="44">
        <f t="shared" si="13"/>
        <v>1.0000000000000002</v>
      </c>
      <c r="G90" s="5" t="str">
        <f t="shared" si="14"/>
        <v>C</v>
      </c>
      <c r="J90" s="51" t="s">
        <v>116</v>
      </c>
      <c r="K90" s="62" t="s">
        <v>176</v>
      </c>
      <c r="L90" s="5">
        <v>12</v>
      </c>
      <c r="M90" s="70">
        <v>24112.5</v>
      </c>
      <c r="N90" s="44">
        <f t="shared" si="15"/>
        <v>9.3166467623423226E-4</v>
      </c>
      <c r="O90" s="44">
        <f t="shared" si="16"/>
        <v>0.99827168040229342</v>
      </c>
      <c r="P90" s="5" t="str">
        <f t="shared" si="17"/>
        <v>C</v>
      </c>
      <c r="S90" s="51" t="s">
        <v>116</v>
      </c>
      <c r="T90" s="62" t="s">
        <v>43</v>
      </c>
      <c r="U90" s="48">
        <v>30</v>
      </c>
      <c r="V90" s="70">
        <v>58911.8</v>
      </c>
      <c r="W90" s="44">
        <f t="shared" si="18"/>
        <v>1.9139616272895008E-3</v>
      </c>
      <c r="X90" s="44">
        <f t="shared" si="19"/>
        <v>0.99737223144586118</v>
      </c>
      <c r="Y90" s="5" t="str">
        <f t="shared" si="20"/>
        <v>C</v>
      </c>
      <c r="AB90" s="51" t="s">
        <v>116</v>
      </c>
      <c r="AC90" s="62" t="s">
        <v>40</v>
      </c>
      <c r="AD90" s="5">
        <v>15</v>
      </c>
      <c r="AE90" s="70">
        <v>28429.9</v>
      </c>
      <c r="AF90" s="44">
        <f t="shared" si="21"/>
        <v>9.5344932363645226E-4</v>
      </c>
      <c r="AG90" s="44">
        <f t="shared" si="22"/>
        <v>0.99872236133912307</v>
      </c>
      <c r="AH90" s="5" t="str">
        <f t="shared" si="23"/>
        <v>C</v>
      </c>
    </row>
    <row r="91" spans="1:34" x14ac:dyDescent="0.3">
      <c r="A91" s="51" t="s">
        <v>116</v>
      </c>
      <c r="B91" s="21" t="s">
        <v>59</v>
      </c>
      <c r="C91" s="20">
        <v>0</v>
      </c>
      <c r="D91" s="47">
        <v>0</v>
      </c>
      <c r="E91" s="44">
        <f t="shared" si="12"/>
        <v>0</v>
      </c>
      <c r="F91" s="44">
        <f t="shared" si="13"/>
        <v>1.0000000000000002</v>
      </c>
      <c r="G91" s="5" t="str">
        <f t="shared" si="14"/>
        <v>C</v>
      </c>
      <c r="J91" s="51" t="s">
        <v>116</v>
      </c>
      <c r="K91" s="62" t="s">
        <v>133</v>
      </c>
      <c r="L91" s="5">
        <v>10</v>
      </c>
      <c r="M91" s="70">
        <v>20950.7</v>
      </c>
      <c r="N91" s="44">
        <f t="shared" si="15"/>
        <v>8.0949827402303914E-4</v>
      </c>
      <c r="O91" s="44">
        <f t="shared" si="16"/>
        <v>0.99908117867631641</v>
      </c>
      <c r="P91" s="5" t="str">
        <f t="shared" si="17"/>
        <v>C</v>
      </c>
      <c r="S91" s="51" t="s">
        <v>116</v>
      </c>
      <c r="T91" s="62" t="s">
        <v>176</v>
      </c>
      <c r="U91" s="48">
        <v>21</v>
      </c>
      <c r="V91" s="70">
        <v>50306.799999999996</v>
      </c>
      <c r="W91" s="44">
        <f t="shared" si="18"/>
        <v>1.6343972649236222E-3</v>
      </c>
      <c r="X91" s="44">
        <f t="shared" si="19"/>
        <v>0.99900662871078483</v>
      </c>
      <c r="Y91" s="5" t="str">
        <f t="shared" si="20"/>
        <v>C</v>
      </c>
      <c r="AB91" s="51" t="s">
        <v>116</v>
      </c>
      <c r="AC91" s="62" t="s">
        <v>156</v>
      </c>
      <c r="AD91" s="5">
        <v>6</v>
      </c>
      <c r="AE91" s="70">
        <v>25120.559999999998</v>
      </c>
      <c r="AF91" s="44">
        <f t="shared" si="21"/>
        <v>8.4246448075332356E-4</v>
      </c>
      <c r="AG91" s="44">
        <f t="shared" si="22"/>
        <v>0.99956482581987638</v>
      </c>
      <c r="AH91" s="5" t="str">
        <f t="shared" si="23"/>
        <v>C</v>
      </c>
    </row>
    <row r="92" spans="1:34" x14ac:dyDescent="0.3">
      <c r="A92" s="51" t="s">
        <v>116</v>
      </c>
      <c r="B92" s="21" t="s">
        <v>176</v>
      </c>
      <c r="C92" s="20">
        <v>0</v>
      </c>
      <c r="D92" s="47">
        <v>0</v>
      </c>
      <c r="E92" s="44">
        <f t="shared" si="12"/>
        <v>0</v>
      </c>
      <c r="F92" s="44">
        <f t="shared" si="13"/>
        <v>1.0000000000000002</v>
      </c>
      <c r="G92" s="5" t="str">
        <f t="shared" si="14"/>
        <v>C</v>
      </c>
      <c r="J92" s="51" t="s">
        <v>116</v>
      </c>
      <c r="K92" s="62" t="s">
        <v>175</v>
      </c>
      <c r="L92" s="5">
        <v>3</v>
      </c>
      <c r="M92" s="70">
        <v>20065.099999999999</v>
      </c>
      <c r="N92" s="44">
        <f t="shared" si="15"/>
        <v>7.752802444834626E-4</v>
      </c>
      <c r="O92" s="44">
        <f t="shared" si="16"/>
        <v>0.99985645892079988</v>
      </c>
      <c r="P92" s="5" t="str">
        <f t="shared" si="17"/>
        <v>C</v>
      </c>
      <c r="S92" s="51" t="s">
        <v>116</v>
      </c>
      <c r="T92" s="62" t="s">
        <v>133</v>
      </c>
      <c r="U92" s="48">
        <v>10</v>
      </c>
      <c r="V92" s="70">
        <v>21493.5</v>
      </c>
      <c r="W92" s="44">
        <f t="shared" si="18"/>
        <v>6.9829362260441681E-4</v>
      </c>
      <c r="X92" s="44">
        <f t="shared" si="19"/>
        <v>0.99970492233338926</v>
      </c>
      <c r="Y92" s="5" t="str">
        <f t="shared" si="20"/>
        <v>C</v>
      </c>
      <c r="AB92" s="51" t="s">
        <v>116</v>
      </c>
      <c r="AC92" s="62" t="s">
        <v>176</v>
      </c>
      <c r="AD92" s="5">
        <v>5</v>
      </c>
      <c r="AE92" s="70">
        <v>10795.6</v>
      </c>
      <c r="AF92" s="44">
        <f t="shared" si="21"/>
        <v>3.6205042994346391E-4</v>
      </c>
      <c r="AG92" s="44">
        <f t="shared" si="22"/>
        <v>0.9999268762498198</v>
      </c>
      <c r="AH92" s="5" t="str">
        <f t="shared" si="23"/>
        <v>C</v>
      </c>
    </row>
    <row r="93" spans="1:34" x14ac:dyDescent="0.3">
      <c r="A93" s="51" t="s">
        <v>116</v>
      </c>
      <c r="B93" s="21" t="s">
        <v>191</v>
      </c>
      <c r="C93" s="20">
        <v>0</v>
      </c>
      <c r="D93" s="47">
        <v>0</v>
      </c>
      <c r="E93" s="44">
        <f t="shared" si="12"/>
        <v>0</v>
      </c>
      <c r="F93" s="44">
        <f t="shared" si="13"/>
        <v>1.0000000000000002</v>
      </c>
      <c r="G93" s="5" t="str">
        <f t="shared" si="14"/>
        <v>C</v>
      </c>
      <c r="J93" s="51" t="s">
        <v>116</v>
      </c>
      <c r="K93" s="62" t="s">
        <v>190</v>
      </c>
      <c r="L93" s="5">
        <v>1</v>
      </c>
      <c r="M93" s="70">
        <v>3715</v>
      </c>
      <c r="N93" s="44">
        <f t="shared" si="15"/>
        <v>1.4354107920000716E-4</v>
      </c>
      <c r="O93" s="44">
        <f t="shared" si="16"/>
        <v>0.99999999999999989</v>
      </c>
      <c r="P93" s="5" t="str">
        <f t="shared" si="17"/>
        <v>C</v>
      </c>
      <c r="S93" s="51" t="s">
        <v>116</v>
      </c>
      <c r="T93" s="62" t="s">
        <v>175</v>
      </c>
      <c r="U93" s="48">
        <v>1</v>
      </c>
      <c r="V93" s="70">
        <v>9082.5</v>
      </c>
      <c r="W93" s="44">
        <f t="shared" si="18"/>
        <v>2.9507766661105057E-4</v>
      </c>
      <c r="X93" s="44">
        <f t="shared" si="19"/>
        <v>1.0000000000000002</v>
      </c>
      <c r="Y93" s="5" t="str">
        <f t="shared" si="20"/>
        <v>C</v>
      </c>
      <c r="AB93" s="51" t="s">
        <v>116</v>
      </c>
      <c r="AC93" s="62" t="s">
        <v>53</v>
      </c>
      <c r="AD93" s="5">
        <v>1</v>
      </c>
      <c r="AE93" s="70">
        <v>2180.4</v>
      </c>
      <c r="AF93" s="44">
        <f t="shared" si="21"/>
        <v>7.3123750180511377E-5</v>
      </c>
      <c r="AG93" s="44">
        <f t="shared" si="22"/>
        <v>1.0000000000000002</v>
      </c>
      <c r="AH93" s="5" t="str">
        <f t="shared" si="23"/>
        <v>C</v>
      </c>
    </row>
    <row r="94" spans="1:34" x14ac:dyDescent="0.3">
      <c r="A94" s="51" t="s">
        <v>116</v>
      </c>
      <c r="B94" s="21" t="s">
        <v>133</v>
      </c>
      <c r="C94" s="20">
        <v>0</v>
      </c>
      <c r="D94" s="47">
        <v>0</v>
      </c>
      <c r="E94" s="44">
        <f t="shared" si="12"/>
        <v>0</v>
      </c>
      <c r="F94" s="44">
        <f t="shared" si="13"/>
        <v>1.0000000000000002</v>
      </c>
      <c r="G94" s="5" t="str">
        <f t="shared" si="14"/>
        <v>C</v>
      </c>
      <c r="J94" s="51" t="s">
        <v>116</v>
      </c>
      <c r="K94" s="62" t="s">
        <v>53</v>
      </c>
      <c r="L94" s="5">
        <v>0</v>
      </c>
      <c r="M94" s="70">
        <v>0</v>
      </c>
      <c r="N94" s="44">
        <f t="shared" si="15"/>
        <v>0</v>
      </c>
      <c r="O94" s="44">
        <f t="shared" si="16"/>
        <v>0.99999999999999989</v>
      </c>
      <c r="P94" s="5" t="str">
        <f t="shared" si="17"/>
        <v>C</v>
      </c>
      <c r="S94" s="51" t="s">
        <v>116</v>
      </c>
      <c r="T94" s="62" t="s">
        <v>53</v>
      </c>
      <c r="U94" s="48">
        <v>0</v>
      </c>
      <c r="V94" s="70">
        <v>0</v>
      </c>
      <c r="W94" s="44">
        <f t="shared" si="18"/>
        <v>0</v>
      </c>
      <c r="X94" s="44">
        <f t="shared" si="19"/>
        <v>1.0000000000000002</v>
      </c>
      <c r="Y94" s="5" t="str">
        <f t="shared" si="20"/>
        <v>C</v>
      </c>
      <c r="AB94" s="51" t="s">
        <v>116</v>
      </c>
      <c r="AC94" s="62" t="s">
        <v>175</v>
      </c>
      <c r="AD94" s="5">
        <v>0</v>
      </c>
      <c r="AE94" s="70">
        <v>0</v>
      </c>
      <c r="AF94" s="44">
        <f t="shared" si="21"/>
        <v>0</v>
      </c>
      <c r="AG94" s="44">
        <f t="shared" si="22"/>
        <v>1.0000000000000002</v>
      </c>
      <c r="AH94" s="5" t="str">
        <f t="shared" si="23"/>
        <v>C</v>
      </c>
    </row>
    <row r="95" spans="1:34" x14ac:dyDescent="0.3">
      <c r="A95" s="51" t="s">
        <v>251</v>
      </c>
      <c r="B95" s="21" t="s">
        <v>85</v>
      </c>
      <c r="C95" s="20">
        <v>308</v>
      </c>
      <c r="D95" s="47">
        <v>1434969.8679</v>
      </c>
      <c r="E95" s="44">
        <f t="shared" si="12"/>
        <v>0.15337648874282114</v>
      </c>
      <c r="F95" s="44">
        <f t="shared" si="13"/>
        <v>0.15337648874282114</v>
      </c>
      <c r="G95" s="5" t="str">
        <f t="shared" si="14"/>
        <v>A</v>
      </c>
      <c r="J95" s="51" t="s">
        <v>251</v>
      </c>
      <c r="K95" s="62" t="s">
        <v>203</v>
      </c>
      <c r="L95" s="5">
        <v>2423</v>
      </c>
      <c r="M95" s="70">
        <v>12103475.579999998</v>
      </c>
      <c r="N95" s="44">
        <f t="shared" si="15"/>
        <v>0.27201082735026344</v>
      </c>
      <c r="O95" s="44">
        <f t="shared" si="16"/>
        <v>0.27201082735026344</v>
      </c>
      <c r="P95" s="5" t="str">
        <f t="shared" si="17"/>
        <v>A</v>
      </c>
      <c r="S95" s="51" t="s">
        <v>251</v>
      </c>
      <c r="T95" s="62" t="s">
        <v>203</v>
      </c>
      <c r="U95" s="48">
        <v>2329</v>
      </c>
      <c r="V95" s="70">
        <v>12088900.400000002</v>
      </c>
      <c r="W95" s="44">
        <f t="shared" si="18"/>
        <v>0.28119125793013744</v>
      </c>
      <c r="X95" s="44">
        <f t="shared" si="19"/>
        <v>0.28119125793013744</v>
      </c>
      <c r="Y95" s="5" t="str">
        <f t="shared" si="20"/>
        <v>A</v>
      </c>
      <c r="AB95" s="51" t="s">
        <v>251</v>
      </c>
      <c r="AC95" s="62" t="s">
        <v>203</v>
      </c>
      <c r="AD95" s="5">
        <v>1074</v>
      </c>
      <c r="AE95" s="70">
        <v>5744080.1567000002</v>
      </c>
      <c r="AF95" s="44">
        <f t="shared" si="21"/>
        <v>0.18951148539859755</v>
      </c>
      <c r="AG95" s="44">
        <f t="shared" si="22"/>
        <v>0.18951148539859755</v>
      </c>
      <c r="AH95" s="5" t="str">
        <f t="shared" si="23"/>
        <v>A</v>
      </c>
    </row>
    <row r="96" spans="1:34" x14ac:dyDescent="0.3">
      <c r="A96" s="51" t="s">
        <v>251</v>
      </c>
      <c r="B96" s="21" t="s">
        <v>60</v>
      </c>
      <c r="C96" s="20">
        <v>472</v>
      </c>
      <c r="D96" s="47">
        <v>1350660.3573</v>
      </c>
      <c r="E96" s="44">
        <f t="shared" si="12"/>
        <v>0.1443650823065469</v>
      </c>
      <c r="F96" s="44">
        <f t="shared" si="13"/>
        <v>0.29774157104936805</v>
      </c>
      <c r="G96" s="5" t="str">
        <f t="shared" si="14"/>
        <v>A</v>
      </c>
      <c r="J96" s="51" t="s">
        <v>251</v>
      </c>
      <c r="K96" s="62" t="s">
        <v>18</v>
      </c>
      <c r="L96" s="5">
        <v>2219</v>
      </c>
      <c r="M96" s="70">
        <v>7880495.9500000011</v>
      </c>
      <c r="N96" s="44">
        <f t="shared" si="15"/>
        <v>0.17710451920372286</v>
      </c>
      <c r="O96" s="44">
        <f t="shared" si="16"/>
        <v>0.44911534655398633</v>
      </c>
      <c r="P96" s="5" t="str">
        <f t="shared" si="17"/>
        <v>A</v>
      </c>
      <c r="S96" s="51" t="s">
        <v>251</v>
      </c>
      <c r="T96" s="62" t="s">
        <v>174</v>
      </c>
      <c r="U96" s="48">
        <v>1172</v>
      </c>
      <c r="V96" s="70">
        <v>6188129.2999999989</v>
      </c>
      <c r="W96" s="44">
        <f t="shared" si="18"/>
        <v>0.14393764565231593</v>
      </c>
      <c r="X96" s="44">
        <f t="shared" si="19"/>
        <v>0.42512890358245337</v>
      </c>
      <c r="Y96" s="5" t="str">
        <f t="shared" si="20"/>
        <v>A</v>
      </c>
      <c r="AB96" s="51" t="s">
        <v>251</v>
      </c>
      <c r="AC96" s="62" t="s">
        <v>174</v>
      </c>
      <c r="AD96" s="5">
        <v>614</v>
      </c>
      <c r="AE96" s="70">
        <v>3500784.5649999999</v>
      </c>
      <c r="AF96" s="44">
        <f t="shared" si="21"/>
        <v>0.11549958650904024</v>
      </c>
      <c r="AG96" s="44">
        <f t="shared" si="22"/>
        <v>0.30501107190763777</v>
      </c>
      <c r="AH96" s="5" t="str">
        <f t="shared" si="23"/>
        <v>A</v>
      </c>
    </row>
    <row r="97" spans="1:34" x14ac:dyDescent="0.3">
      <c r="A97" s="51" t="s">
        <v>251</v>
      </c>
      <c r="B97" s="21" t="s">
        <v>11</v>
      </c>
      <c r="C97" s="20">
        <v>175</v>
      </c>
      <c r="D97" s="47">
        <v>725708.4791</v>
      </c>
      <c r="E97" s="44">
        <f t="shared" si="12"/>
        <v>7.7567216472734832E-2</v>
      </c>
      <c r="F97" s="44">
        <f t="shared" si="13"/>
        <v>0.37530878752210289</v>
      </c>
      <c r="G97" s="5" t="str">
        <f t="shared" si="14"/>
        <v>A</v>
      </c>
      <c r="J97" s="51" t="s">
        <v>251</v>
      </c>
      <c r="K97" s="62" t="s">
        <v>174</v>
      </c>
      <c r="L97" s="5">
        <v>954</v>
      </c>
      <c r="M97" s="70">
        <v>4916371.1512999991</v>
      </c>
      <c r="N97" s="44">
        <f t="shared" si="15"/>
        <v>0.11048943550031767</v>
      </c>
      <c r="O97" s="44">
        <f t="shared" si="16"/>
        <v>0.55960478205430397</v>
      </c>
      <c r="P97" s="5" t="str">
        <f t="shared" si="17"/>
        <v>A</v>
      </c>
      <c r="S97" s="51" t="s">
        <v>251</v>
      </c>
      <c r="T97" s="62" t="s">
        <v>18</v>
      </c>
      <c r="U97" s="48">
        <v>1229</v>
      </c>
      <c r="V97" s="70">
        <v>4610369.7500000009</v>
      </c>
      <c r="W97" s="44">
        <f t="shared" si="18"/>
        <v>0.10723851025570144</v>
      </c>
      <c r="X97" s="44">
        <f t="shared" si="19"/>
        <v>0.53236741383815478</v>
      </c>
      <c r="Y97" s="5" t="str">
        <f t="shared" si="20"/>
        <v>A</v>
      </c>
      <c r="AB97" s="51" t="s">
        <v>251</v>
      </c>
      <c r="AC97" s="62" t="s">
        <v>18</v>
      </c>
      <c r="AD97" s="5">
        <v>821</v>
      </c>
      <c r="AE97" s="70">
        <v>3134898.65</v>
      </c>
      <c r="AF97" s="44">
        <f t="shared" si="21"/>
        <v>0.10342810050145101</v>
      </c>
      <c r="AG97" s="44">
        <f t="shared" si="22"/>
        <v>0.40843917240908878</v>
      </c>
      <c r="AH97" s="5" t="str">
        <f t="shared" si="23"/>
        <v>A</v>
      </c>
    </row>
    <row r="98" spans="1:34" x14ac:dyDescent="0.3">
      <c r="A98" s="51" t="s">
        <v>251</v>
      </c>
      <c r="B98" s="21" t="s">
        <v>68</v>
      </c>
      <c r="C98" s="20">
        <v>150</v>
      </c>
      <c r="D98" s="47">
        <v>650116.30729999999</v>
      </c>
      <c r="E98" s="44">
        <f t="shared" si="12"/>
        <v>6.9487561180672591E-2</v>
      </c>
      <c r="F98" s="44">
        <f t="shared" si="13"/>
        <v>0.44479634870277551</v>
      </c>
      <c r="G98" s="5" t="str">
        <f t="shared" si="14"/>
        <v>A</v>
      </c>
      <c r="J98" s="51" t="s">
        <v>251</v>
      </c>
      <c r="K98" s="62" t="s">
        <v>186</v>
      </c>
      <c r="L98" s="5">
        <v>874</v>
      </c>
      <c r="M98" s="70">
        <v>3239244.0466</v>
      </c>
      <c r="N98" s="44">
        <f t="shared" si="15"/>
        <v>7.2798052698271429E-2</v>
      </c>
      <c r="O98" s="44">
        <f t="shared" si="16"/>
        <v>0.63240283475257542</v>
      </c>
      <c r="P98" s="5" t="str">
        <f t="shared" si="17"/>
        <v>A</v>
      </c>
      <c r="S98" s="51" t="s">
        <v>251</v>
      </c>
      <c r="T98" s="62" t="s">
        <v>186</v>
      </c>
      <c r="U98" s="48">
        <v>766</v>
      </c>
      <c r="V98" s="70">
        <v>3015084.87</v>
      </c>
      <c r="W98" s="44">
        <f t="shared" si="18"/>
        <v>7.0131730704094869E-2</v>
      </c>
      <c r="X98" s="44">
        <f t="shared" si="19"/>
        <v>0.60249914454224962</v>
      </c>
      <c r="Y98" s="5" t="str">
        <f t="shared" si="20"/>
        <v>A</v>
      </c>
      <c r="AB98" s="51" t="s">
        <v>251</v>
      </c>
      <c r="AC98" s="62" t="s">
        <v>186</v>
      </c>
      <c r="AD98" s="5">
        <v>560</v>
      </c>
      <c r="AE98" s="70">
        <v>2235986.65</v>
      </c>
      <c r="AF98" s="44">
        <f t="shared" si="21"/>
        <v>7.377075873126003E-2</v>
      </c>
      <c r="AG98" s="44">
        <f t="shared" si="22"/>
        <v>0.48220993114034882</v>
      </c>
      <c r="AH98" s="5" t="str">
        <f t="shared" si="23"/>
        <v>A</v>
      </c>
    </row>
    <row r="99" spans="1:34" x14ac:dyDescent="0.3">
      <c r="A99" s="51" t="s">
        <v>251</v>
      </c>
      <c r="B99" s="21" t="s">
        <v>336</v>
      </c>
      <c r="C99" s="20">
        <v>93</v>
      </c>
      <c r="D99" s="47">
        <v>582867.73059999989</v>
      </c>
      <c r="E99" s="44">
        <f t="shared" si="12"/>
        <v>6.2299709506621198E-2</v>
      </c>
      <c r="F99" s="44">
        <f t="shared" si="13"/>
        <v>0.50709605820939674</v>
      </c>
      <c r="G99" s="5" t="str">
        <f t="shared" si="14"/>
        <v>A</v>
      </c>
      <c r="J99" s="51" t="s">
        <v>251</v>
      </c>
      <c r="K99" s="62" t="s">
        <v>31</v>
      </c>
      <c r="L99" s="5">
        <v>737</v>
      </c>
      <c r="M99" s="70">
        <v>1850810.89</v>
      </c>
      <c r="N99" s="44">
        <f t="shared" si="15"/>
        <v>4.1594713694442585E-2</v>
      </c>
      <c r="O99" s="44">
        <f t="shared" si="16"/>
        <v>0.67399754844701798</v>
      </c>
      <c r="P99" s="5" t="str">
        <f t="shared" si="17"/>
        <v>A</v>
      </c>
      <c r="S99" s="51" t="s">
        <v>251</v>
      </c>
      <c r="T99" s="62" t="s">
        <v>11</v>
      </c>
      <c r="U99" s="48">
        <v>474</v>
      </c>
      <c r="V99" s="70">
        <v>2363565.4999999991</v>
      </c>
      <c r="W99" s="44">
        <f t="shared" si="18"/>
        <v>5.4977205052104974E-2</v>
      </c>
      <c r="X99" s="44">
        <f t="shared" si="19"/>
        <v>0.65747634959435464</v>
      </c>
      <c r="Y99" s="5" t="str">
        <f t="shared" si="20"/>
        <v>A</v>
      </c>
      <c r="AB99" s="51" t="s">
        <v>251</v>
      </c>
      <c r="AC99" s="62" t="s">
        <v>11</v>
      </c>
      <c r="AD99" s="5">
        <v>350</v>
      </c>
      <c r="AE99" s="70">
        <v>2130112.2949999999</v>
      </c>
      <c r="AF99" s="44">
        <f t="shared" si="21"/>
        <v>7.0277700533201121E-2</v>
      </c>
      <c r="AG99" s="44">
        <f t="shared" si="22"/>
        <v>0.55248763167354997</v>
      </c>
      <c r="AH99" s="5" t="str">
        <f t="shared" si="23"/>
        <v>A</v>
      </c>
    </row>
    <row r="100" spans="1:34" x14ac:dyDescent="0.3">
      <c r="A100" s="51" t="s">
        <v>251</v>
      </c>
      <c r="B100" s="21" t="s">
        <v>18</v>
      </c>
      <c r="C100" s="20">
        <v>173</v>
      </c>
      <c r="D100" s="47">
        <v>541713.01650000003</v>
      </c>
      <c r="E100" s="44">
        <f t="shared" si="12"/>
        <v>5.7900895507056065E-2</v>
      </c>
      <c r="F100" s="44">
        <f t="shared" si="13"/>
        <v>0.56499695371645275</v>
      </c>
      <c r="G100" s="5" t="str">
        <f t="shared" si="14"/>
        <v>A</v>
      </c>
      <c r="J100" s="51" t="s">
        <v>251</v>
      </c>
      <c r="K100" s="62" t="s">
        <v>11</v>
      </c>
      <c r="L100" s="5">
        <v>278</v>
      </c>
      <c r="M100" s="70">
        <v>1453913.7999999998</v>
      </c>
      <c r="N100" s="44">
        <f t="shared" si="15"/>
        <v>3.2674936469278638E-2</v>
      </c>
      <c r="O100" s="44">
        <f t="shared" si="16"/>
        <v>0.70667248491629664</v>
      </c>
      <c r="P100" s="5" t="str">
        <f t="shared" si="17"/>
        <v>A</v>
      </c>
      <c r="S100" s="51" t="s">
        <v>251</v>
      </c>
      <c r="T100" s="62" t="s">
        <v>31</v>
      </c>
      <c r="U100" s="48">
        <v>670</v>
      </c>
      <c r="V100" s="70">
        <v>1812266.1600000001</v>
      </c>
      <c r="W100" s="44">
        <f t="shared" si="18"/>
        <v>4.2153825771831133E-2</v>
      </c>
      <c r="X100" s="44">
        <f t="shared" si="19"/>
        <v>0.69963017536618577</v>
      </c>
      <c r="Y100" s="5" t="str">
        <f t="shared" si="20"/>
        <v>A</v>
      </c>
      <c r="AB100" s="51" t="s">
        <v>251</v>
      </c>
      <c r="AC100" s="62" t="s">
        <v>31</v>
      </c>
      <c r="AD100" s="5">
        <v>509</v>
      </c>
      <c r="AE100" s="70">
        <v>1469124.9166999999</v>
      </c>
      <c r="AF100" s="44">
        <f t="shared" si="21"/>
        <v>4.8470083565104551E-2</v>
      </c>
      <c r="AG100" s="44">
        <f t="shared" si="22"/>
        <v>0.60095771523865449</v>
      </c>
      <c r="AH100" s="5" t="str">
        <f t="shared" si="23"/>
        <v>A</v>
      </c>
    </row>
    <row r="101" spans="1:34" x14ac:dyDescent="0.3">
      <c r="A101" s="51" t="s">
        <v>251</v>
      </c>
      <c r="B101" s="21" t="s">
        <v>186</v>
      </c>
      <c r="C101" s="20">
        <v>181</v>
      </c>
      <c r="D101" s="47">
        <v>525021.34080000001</v>
      </c>
      <c r="E101" s="44">
        <f t="shared" si="12"/>
        <v>5.6116808839197001E-2</v>
      </c>
      <c r="F101" s="44">
        <f t="shared" si="13"/>
        <v>0.62111376255564976</v>
      </c>
      <c r="G101" s="5" t="str">
        <f t="shared" si="14"/>
        <v>A</v>
      </c>
      <c r="J101" s="51" t="s">
        <v>251</v>
      </c>
      <c r="K101" s="62" t="s">
        <v>150</v>
      </c>
      <c r="L101" s="5">
        <v>218</v>
      </c>
      <c r="M101" s="70">
        <v>1184040.3</v>
      </c>
      <c r="N101" s="44">
        <f t="shared" si="15"/>
        <v>2.6609859249953901E-2</v>
      </c>
      <c r="O101" s="44">
        <f t="shared" si="16"/>
        <v>0.73328234416625049</v>
      </c>
      <c r="P101" s="5" t="str">
        <f t="shared" si="17"/>
        <v>A</v>
      </c>
      <c r="S101" s="51" t="s">
        <v>251</v>
      </c>
      <c r="T101" s="62" t="s">
        <v>148</v>
      </c>
      <c r="U101" s="48">
        <v>230</v>
      </c>
      <c r="V101" s="70">
        <v>1274219.4000000001</v>
      </c>
      <c r="W101" s="44">
        <f t="shared" si="18"/>
        <v>2.9638705267601092E-2</v>
      </c>
      <c r="X101" s="44">
        <f t="shared" si="19"/>
        <v>0.72926888063378681</v>
      </c>
      <c r="Y101" s="5" t="str">
        <f t="shared" si="20"/>
        <v>A</v>
      </c>
      <c r="AB101" s="51" t="s">
        <v>251</v>
      </c>
      <c r="AC101" s="62" t="s">
        <v>74</v>
      </c>
      <c r="AD101" s="5">
        <v>205</v>
      </c>
      <c r="AE101" s="70">
        <v>1463084.9</v>
      </c>
      <c r="AF101" s="44">
        <f t="shared" si="21"/>
        <v>4.8270808397380058E-2</v>
      </c>
      <c r="AG101" s="44">
        <f t="shared" si="22"/>
        <v>0.64922852363603456</v>
      </c>
      <c r="AH101" s="5" t="str">
        <f t="shared" si="23"/>
        <v>A</v>
      </c>
    </row>
    <row r="102" spans="1:34" x14ac:dyDescent="0.3">
      <c r="A102" s="51" t="s">
        <v>251</v>
      </c>
      <c r="B102" s="21" t="s">
        <v>31</v>
      </c>
      <c r="C102" s="20">
        <v>257</v>
      </c>
      <c r="D102" s="47">
        <v>519969.62660000002</v>
      </c>
      <c r="E102" s="44">
        <f t="shared" si="12"/>
        <v>5.5576857301913397E-2</v>
      </c>
      <c r="F102" s="44">
        <f t="shared" si="13"/>
        <v>0.67669061985756318</v>
      </c>
      <c r="G102" s="5" t="str">
        <f t="shared" si="14"/>
        <v>A</v>
      </c>
      <c r="J102" s="51" t="s">
        <v>251</v>
      </c>
      <c r="K102" s="62" t="s">
        <v>74</v>
      </c>
      <c r="L102" s="5">
        <v>164</v>
      </c>
      <c r="M102" s="70">
        <v>1149887.6583000002</v>
      </c>
      <c r="N102" s="44">
        <f t="shared" si="15"/>
        <v>2.5842320350601321E-2</v>
      </c>
      <c r="O102" s="44">
        <f t="shared" si="16"/>
        <v>0.75912466451685179</v>
      </c>
      <c r="P102" s="5" t="str">
        <f t="shared" si="17"/>
        <v>A</v>
      </c>
      <c r="S102" s="51" t="s">
        <v>251</v>
      </c>
      <c r="T102" s="62" t="s">
        <v>150</v>
      </c>
      <c r="U102" s="48">
        <v>221</v>
      </c>
      <c r="V102" s="70">
        <v>1223379.3999999999</v>
      </c>
      <c r="W102" s="44">
        <f t="shared" si="18"/>
        <v>2.8456152423244108E-2</v>
      </c>
      <c r="X102" s="44">
        <f t="shared" si="19"/>
        <v>0.75772503305703087</v>
      </c>
      <c r="Y102" s="5" t="str">
        <f t="shared" si="20"/>
        <v>A</v>
      </c>
      <c r="AB102" s="51" t="s">
        <v>251</v>
      </c>
      <c r="AC102" s="62" t="s">
        <v>166</v>
      </c>
      <c r="AD102" s="5">
        <v>222</v>
      </c>
      <c r="AE102" s="70">
        <v>1030487.2400000001</v>
      </c>
      <c r="AF102" s="44">
        <f t="shared" si="21"/>
        <v>3.3998336062374103E-2</v>
      </c>
      <c r="AG102" s="44">
        <f t="shared" si="22"/>
        <v>0.68322685969840868</v>
      </c>
      <c r="AH102" s="5" t="str">
        <f t="shared" si="23"/>
        <v>A</v>
      </c>
    </row>
    <row r="103" spans="1:34" x14ac:dyDescent="0.3">
      <c r="A103" s="51" t="s">
        <v>251</v>
      </c>
      <c r="B103" s="21" t="s">
        <v>327</v>
      </c>
      <c r="C103" s="20">
        <v>158</v>
      </c>
      <c r="D103" s="47">
        <v>345749.7071</v>
      </c>
      <c r="E103" s="44">
        <f t="shared" si="12"/>
        <v>3.6955393451197124E-2</v>
      </c>
      <c r="F103" s="44">
        <f t="shared" si="13"/>
        <v>0.71364601330876032</v>
      </c>
      <c r="G103" s="5" t="str">
        <f t="shared" si="14"/>
        <v>A</v>
      </c>
      <c r="J103" s="51" t="s">
        <v>251</v>
      </c>
      <c r="K103" s="62" t="s">
        <v>60</v>
      </c>
      <c r="L103" s="5">
        <v>242</v>
      </c>
      <c r="M103" s="70">
        <v>998963.64999999991</v>
      </c>
      <c r="N103" s="44">
        <f t="shared" si="15"/>
        <v>2.2450487641611699E-2</v>
      </c>
      <c r="O103" s="44">
        <f t="shared" si="16"/>
        <v>0.78157515215846352</v>
      </c>
      <c r="P103" s="5" t="str">
        <f t="shared" si="17"/>
        <v>A</v>
      </c>
      <c r="S103" s="51" t="s">
        <v>251</v>
      </c>
      <c r="T103" s="62" t="s">
        <v>166</v>
      </c>
      <c r="U103" s="48">
        <v>226</v>
      </c>
      <c r="V103" s="70">
        <v>1025256.29</v>
      </c>
      <c r="W103" s="44">
        <f t="shared" si="18"/>
        <v>2.3847752595090099E-2</v>
      </c>
      <c r="X103" s="44">
        <f t="shared" si="19"/>
        <v>0.78157278565212096</v>
      </c>
      <c r="Y103" s="5" t="str">
        <f t="shared" si="20"/>
        <v>A</v>
      </c>
      <c r="AB103" s="51" t="s">
        <v>251</v>
      </c>
      <c r="AC103" s="62" t="s">
        <v>60</v>
      </c>
      <c r="AD103" s="5">
        <v>187</v>
      </c>
      <c r="AE103" s="70">
        <v>943714.37000000011</v>
      </c>
      <c r="AF103" s="44">
        <f t="shared" si="21"/>
        <v>3.1135483344899698E-2</v>
      </c>
      <c r="AG103" s="44">
        <f t="shared" si="22"/>
        <v>0.71436234304330837</v>
      </c>
      <c r="AH103" s="5" t="str">
        <f t="shared" si="23"/>
        <v>A</v>
      </c>
    </row>
    <row r="104" spans="1:34" x14ac:dyDescent="0.3">
      <c r="A104" s="51" t="s">
        <v>251</v>
      </c>
      <c r="B104" s="21" t="s">
        <v>49</v>
      </c>
      <c r="C104" s="20">
        <v>53</v>
      </c>
      <c r="D104" s="47">
        <v>283671.92190000007</v>
      </c>
      <c r="E104" s="44">
        <f t="shared" si="12"/>
        <v>3.0320220869600744E-2</v>
      </c>
      <c r="F104" s="44">
        <f t="shared" si="13"/>
        <v>0.74396623417836105</v>
      </c>
      <c r="G104" s="5" t="str">
        <f t="shared" si="14"/>
        <v>A</v>
      </c>
      <c r="J104" s="51" t="s">
        <v>251</v>
      </c>
      <c r="K104" s="62" t="s">
        <v>148</v>
      </c>
      <c r="L104" s="5">
        <v>184</v>
      </c>
      <c r="M104" s="70">
        <v>987203.85</v>
      </c>
      <c r="N104" s="44">
        <f t="shared" si="15"/>
        <v>2.2186200503067844E-2</v>
      </c>
      <c r="O104" s="44">
        <f t="shared" si="16"/>
        <v>0.80376135266153137</v>
      </c>
      <c r="P104" s="5" t="str">
        <f t="shared" si="17"/>
        <v>B</v>
      </c>
      <c r="S104" s="51" t="s">
        <v>251</v>
      </c>
      <c r="T104" s="62" t="s">
        <v>169</v>
      </c>
      <c r="U104" s="48">
        <v>188</v>
      </c>
      <c r="V104" s="70">
        <v>1021339.3399999999</v>
      </c>
      <c r="W104" s="44">
        <f t="shared" si="18"/>
        <v>2.3756643225229669E-2</v>
      </c>
      <c r="X104" s="44">
        <f t="shared" si="19"/>
        <v>0.80532942887735059</v>
      </c>
      <c r="Y104" s="5" t="str">
        <f t="shared" si="20"/>
        <v>B</v>
      </c>
      <c r="AB104" s="51" t="s">
        <v>251</v>
      </c>
      <c r="AC104" s="62" t="s">
        <v>85</v>
      </c>
      <c r="AD104" s="5">
        <v>113</v>
      </c>
      <c r="AE104" s="70">
        <v>885966.10000000009</v>
      </c>
      <c r="AF104" s="44">
        <f t="shared" si="21"/>
        <v>2.9230224342875841E-2</v>
      </c>
      <c r="AG104" s="44">
        <f t="shared" si="22"/>
        <v>0.74359256738618418</v>
      </c>
      <c r="AH104" s="5" t="str">
        <f t="shared" si="23"/>
        <v>A</v>
      </c>
    </row>
    <row r="105" spans="1:34" x14ac:dyDescent="0.3">
      <c r="A105" s="51" t="s">
        <v>251</v>
      </c>
      <c r="B105" s="21" t="s">
        <v>57</v>
      </c>
      <c r="C105" s="20">
        <v>50</v>
      </c>
      <c r="D105" s="47">
        <v>265784.23339999997</v>
      </c>
      <c r="E105" s="44">
        <f t="shared" si="12"/>
        <v>2.8408298594974592E-2</v>
      </c>
      <c r="F105" s="44">
        <f t="shared" si="13"/>
        <v>0.77237453277333568</v>
      </c>
      <c r="G105" s="5" t="str">
        <f t="shared" si="14"/>
        <v>A</v>
      </c>
      <c r="J105" s="51" t="s">
        <v>251</v>
      </c>
      <c r="K105" s="62" t="s">
        <v>166</v>
      </c>
      <c r="L105" s="5">
        <v>201</v>
      </c>
      <c r="M105" s="70">
        <v>978410.65999999992</v>
      </c>
      <c r="N105" s="44">
        <f t="shared" si="15"/>
        <v>2.1988584300090545E-2</v>
      </c>
      <c r="O105" s="44">
        <f t="shared" si="16"/>
        <v>0.82574993696162191</v>
      </c>
      <c r="P105" s="5" t="str">
        <f t="shared" si="17"/>
        <v>B</v>
      </c>
      <c r="S105" s="51" t="s">
        <v>251</v>
      </c>
      <c r="T105" s="62" t="s">
        <v>74</v>
      </c>
      <c r="U105" s="48">
        <v>130</v>
      </c>
      <c r="V105" s="70">
        <v>940250.69659999968</v>
      </c>
      <c r="W105" s="44">
        <f t="shared" si="18"/>
        <v>2.1870498341324894E-2</v>
      </c>
      <c r="X105" s="44">
        <f t="shared" si="19"/>
        <v>0.82719992721867552</v>
      </c>
      <c r="Y105" s="5" t="str">
        <f t="shared" si="20"/>
        <v>B</v>
      </c>
      <c r="AB105" s="51" t="s">
        <v>251</v>
      </c>
      <c r="AC105" s="62" t="s">
        <v>24</v>
      </c>
      <c r="AD105" s="5">
        <v>170</v>
      </c>
      <c r="AE105" s="70">
        <v>658035.75</v>
      </c>
      <c r="AF105" s="44">
        <f t="shared" si="21"/>
        <v>2.1710235412091456E-2</v>
      </c>
      <c r="AG105" s="44">
        <f t="shared" si="22"/>
        <v>0.76530280279827567</v>
      </c>
      <c r="AH105" s="5" t="str">
        <f t="shared" si="23"/>
        <v>A</v>
      </c>
    </row>
    <row r="106" spans="1:34" x14ac:dyDescent="0.3">
      <c r="A106" s="51" t="s">
        <v>251</v>
      </c>
      <c r="B106" s="21" t="s">
        <v>24</v>
      </c>
      <c r="C106" s="20">
        <v>100</v>
      </c>
      <c r="D106" s="47">
        <v>256481.8792</v>
      </c>
      <c r="E106" s="44">
        <f t="shared" si="12"/>
        <v>2.7414018188009658E-2</v>
      </c>
      <c r="F106" s="44">
        <f t="shared" si="13"/>
        <v>0.79978855096134538</v>
      </c>
      <c r="G106" s="5" t="str">
        <f t="shared" si="14"/>
        <v>A</v>
      </c>
      <c r="J106" s="51" t="s">
        <v>251</v>
      </c>
      <c r="K106" s="62" t="s">
        <v>149</v>
      </c>
      <c r="L106" s="5">
        <v>165</v>
      </c>
      <c r="M106" s="70">
        <v>903665.4</v>
      </c>
      <c r="N106" s="44">
        <f t="shared" si="15"/>
        <v>2.0308775894750618E-2</v>
      </c>
      <c r="O106" s="44">
        <f t="shared" si="16"/>
        <v>0.84605871285637257</v>
      </c>
      <c r="P106" s="5" t="str">
        <f t="shared" si="17"/>
        <v>B</v>
      </c>
      <c r="S106" s="51" t="s">
        <v>251</v>
      </c>
      <c r="T106" s="62" t="s">
        <v>60</v>
      </c>
      <c r="U106" s="48">
        <v>185</v>
      </c>
      <c r="V106" s="70">
        <v>906799.29999999981</v>
      </c>
      <c r="W106" s="44">
        <f t="shared" si="18"/>
        <v>2.1092409352398003E-2</v>
      </c>
      <c r="X106" s="44">
        <f t="shared" si="19"/>
        <v>0.8482923365710735</v>
      </c>
      <c r="Y106" s="5" t="str">
        <f t="shared" si="20"/>
        <v>B</v>
      </c>
      <c r="AB106" s="51" t="s">
        <v>251</v>
      </c>
      <c r="AC106" s="62" t="s">
        <v>148</v>
      </c>
      <c r="AD106" s="5">
        <v>108</v>
      </c>
      <c r="AE106" s="70">
        <v>619156.96</v>
      </c>
      <c r="AF106" s="44">
        <f t="shared" si="21"/>
        <v>2.0427527468887353E-2</v>
      </c>
      <c r="AG106" s="44">
        <f t="shared" si="22"/>
        <v>0.78573033026716299</v>
      </c>
      <c r="AH106" s="5" t="str">
        <f t="shared" si="23"/>
        <v>A</v>
      </c>
    </row>
    <row r="107" spans="1:34" x14ac:dyDescent="0.3">
      <c r="A107" s="51" t="s">
        <v>251</v>
      </c>
      <c r="B107" s="21" t="s">
        <v>174</v>
      </c>
      <c r="C107" s="20">
        <v>61</v>
      </c>
      <c r="D107" s="47">
        <v>250167.27650000004</v>
      </c>
      <c r="E107" s="44">
        <f t="shared" si="12"/>
        <v>2.6739083047141999E-2</v>
      </c>
      <c r="F107" s="44">
        <f t="shared" si="13"/>
        <v>0.82652763400848739</v>
      </c>
      <c r="G107" s="5" t="str">
        <f t="shared" si="14"/>
        <v>B</v>
      </c>
      <c r="J107" s="51" t="s">
        <v>251</v>
      </c>
      <c r="K107" s="62" t="s">
        <v>79</v>
      </c>
      <c r="L107" s="5">
        <v>109</v>
      </c>
      <c r="M107" s="70">
        <v>553998.65</v>
      </c>
      <c r="N107" s="44">
        <f t="shared" si="15"/>
        <v>1.2450442861754346E-2</v>
      </c>
      <c r="O107" s="44">
        <f t="shared" si="16"/>
        <v>0.85850915571812692</v>
      </c>
      <c r="P107" s="5" t="str">
        <f t="shared" si="17"/>
        <v>B</v>
      </c>
      <c r="S107" s="51" t="s">
        <v>251</v>
      </c>
      <c r="T107" s="62" t="s">
        <v>145</v>
      </c>
      <c r="U107" s="48">
        <v>151</v>
      </c>
      <c r="V107" s="70">
        <v>800455.15</v>
      </c>
      <c r="W107" s="44">
        <f t="shared" si="18"/>
        <v>1.8618814209533631E-2</v>
      </c>
      <c r="X107" s="44">
        <f t="shared" si="19"/>
        <v>0.8669111507806071</v>
      </c>
      <c r="Y107" s="5" t="str">
        <f t="shared" si="20"/>
        <v>B</v>
      </c>
      <c r="AB107" s="51" t="s">
        <v>251</v>
      </c>
      <c r="AC107" s="62" t="s">
        <v>169</v>
      </c>
      <c r="AD107" s="5">
        <v>95</v>
      </c>
      <c r="AE107" s="70">
        <v>530953.30999999994</v>
      </c>
      <c r="AF107" s="44">
        <f t="shared" si="21"/>
        <v>1.7517469761983557E-2</v>
      </c>
      <c r="AG107" s="44">
        <f t="shared" si="22"/>
        <v>0.80324780002914653</v>
      </c>
      <c r="AH107" s="5" t="str">
        <f t="shared" si="23"/>
        <v>B</v>
      </c>
    </row>
    <row r="108" spans="1:34" x14ac:dyDescent="0.3">
      <c r="A108" s="51" t="s">
        <v>251</v>
      </c>
      <c r="B108" s="21" t="s">
        <v>74</v>
      </c>
      <c r="C108" s="20">
        <v>42</v>
      </c>
      <c r="D108" s="47">
        <v>246234.62159999998</v>
      </c>
      <c r="E108" s="44">
        <f t="shared" si="12"/>
        <v>2.631874195602071E-2</v>
      </c>
      <c r="F108" s="44">
        <f t="shared" si="13"/>
        <v>0.85284637596450807</v>
      </c>
      <c r="G108" s="5" t="str">
        <f t="shared" si="14"/>
        <v>B</v>
      </c>
      <c r="J108" s="51" t="s">
        <v>251</v>
      </c>
      <c r="K108" s="62" t="s">
        <v>37</v>
      </c>
      <c r="L108" s="5">
        <v>52</v>
      </c>
      <c r="M108" s="70">
        <v>543235.19999999995</v>
      </c>
      <c r="N108" s="44">
        <f t="shared" si="15"/>
        <v>1.2208547472261338E-2</v>
      </c>
      <c r="O108" s="44">
        <f t="shared" si="16"/>
        <v>0.87071770319038821</v>
      </c>
      <c r="P108" s="5" t="str">
        <f t="shared" si="17"/>
        <v>B</v>
      </c>
      <c r="S108" s="51" t="s">
        <v>251</v>
      </c>
      <c r="T108" s="62" t="s">
        <v>149</v>
      </c>
      <c r="U108" s="48">
        <v>138</v>
      </c>
      <c r="V108" s="70">
        <v>731779.03330000001</v>
      </c>
      <c r="W108" s="44">
        <f t="shared" si="18"/>
        <v>1.7021388223243769E-2</v>
      </c>
      <c r="X108" s="44">
        <f t="shared" si="19"/>
        <v>0.88393253900385083</v>
      </c>
      <c r="Y108" s="5" t="str">
        <f t="shared" si="20"/>
        <v>B</v>
      </c>
      <c r="AB108" s="51" t="s">
        <v>251</v>
      </c>
      <c r="AC108" s="62" t="s">
        <v>67</v>
      </c>
      <c r="AD108" s="5">
        <v>56</v>
      </c>
      <c r="AE108" s="70">
        <v>500569.3</v>
      </c>
      <c r="AF108" s="44">
        <f t="shared" si="21"/>
        <v>1.6515025730844915E-2</v>
      </c>
      <c r="AG108" s="44">
        <f t="shared" si="22"/>
        <v>0.81976282575999149</v>
      </c>
      <c r="AH108" s="5" t="str">
        <f t="shared" si="23"/>
        <v>B</v>
      </c>
    </row>
    <row r="109" spans="1:34" x14ac:dyDescent="0.3">
      <c r="A109" s="51" t="s">
        <v>251</v>
      </c>
      <c r="B109" s="21" t="s">
        <v>37</v>
      </c>
      <c r="C109" s="20">
        <v>27</v>
      </c>
      <c r="D109" s="47">
        <v>214456.94770000002</v>
      </c>
      <c r="E109" s="44">
        <f t="shared" si="12"/>
        <v>2.2922191162707436E-2</v>
      </c>
      <c r="F109" s="44">
        <f t="shared" si="13"/>
        <v>0.87576856712721551</v>
      </c>
      <c r="G109" s="5" t="str">
        <f t="shared" si="14"/>
        <v>B</v>
      </c>
      <c r="J109" s="51" t="s">
        <v>251</v>
      </c>
      <c r="K109" s="62" t="s">
        <v>169</v>
      </c>
      <c r="L109" s="5">
        <v>102</v>
      </c>
      <c r="M109" s="70">
        <v>518034.35</v>
      </c>
      <c r="N109" s="44">
        <f t="shared" si="15"/>
        <v>1.1642189155336482E-2</v>
      </c>
      <c r="O109" s="44">
        <f t="shared" si="16"/>
        <v>0.88235989234572465</v>
      </c>
      <c r="P109" s="5" t="str">
        <f t="shared" si="17"/>
        <v>B</v>
      </c>
      <c r="S109" s="51" t="s">
        <v>251</v>
      </c>
      <c r="T109" s="62" t="s">
        <v>67</v>
      </c>
      <c r="U109" s="48">
        <v>73</v>
      </c>
      <c r="V109" s="70">
        <v>635965.61670000001</v>
      </c>
      <c r="W109" s="44">
        <f t="shared" si="18"/>
        <v>1.4792740931192434E-2</v>
      </c>
      <c r="X109" s="44">
        <f t="shared" si="19"/>
        <v>0.89872527993504325</v>
      </c>
      <c r="Y109" s="5" t="str">
        <f t="shared" si="20"/>
        <v>B</v>
      </c>
      <c r="AB109" s="51" t="s">
        <v>251</v>
      </c>
      <c r="AC109" s="62" t="s">
        <v>150</v>
      </c>
      <c r="AD109" s="5">
        <v>90</v>
      </c>
      <c r="AE109" s="70">
        <v>482977.85</v>
      </c>
      <c r="AF109" s="44">
        <f t="shared" si="21"/>
        <v>1.5934640059184921E-2</v>
      </c>
      <c r="AG109" s="44">
        <f t="shared" si="22"/>
        <v>0.83569746581917637</v>
      </c>
      <c r="AH109" s="5" t="str">
        <f t="shared" si="23"/>
        <v>B</v>
      </c>
    </row>
    <row r="110" spans="1:34" x14ac:dyDescent="0.3">
      <c r="A110" s="51" t="s">
        <v>251</v>
      </c>
      <c r="B110" s="21" t="s">
        <v>169</v>
      </c>
      <c r="C110" s="20">
        <v>57</v>
      </c>
      <c r="D110" s="47">
        <v>209142.72930000001</v>
      </c>
      <c r="E110" s="44">
        <f t="shared" si="12"/>
        <v>2.2354181912591743E-2</v>
      </c>
      <c r="F110" s="44">
        <f t="shared" si="13"/>
        <v>0.89812274903980727</v>
      </c>
      <c r="G110" s="5" t="str">
        <f t="shared" si="14"/>
        <v>B</v>
      </c>
      <c r="J110" s="51" t="s">
        <v>251</v>
      </c>
      <c r="K110" s="62" t="s">
        <v>22</v>
      </c>
      <c r="L110" s="5">
        <v>50</v>
      </c>
      <c r="M110" s="70">
        <v>508800.64999999997</v>
      </c>
      <c r="N110" s="44">
        <f t="shared" si="15"/>
        <v>1.1434673028261838E-2</v>
      </c>
      <c r="O110" s="44">
        <f t="shared" si="16"/>
        <v>0.89379456537398649</v>
      </c>
      <c r="P110" s="5" t="str">
        <f t="shared" si="17"/>
        <v>B</v>
      </c>
      <c r="S110" s="51" t="s">
        <v>251</v>
      </c>
      <c r="T110" s="62" t="s">
        <v>24</v>
      </c>
      <c r="U110" s="48">
        <v>161</v>
      </c>
      <c r="V110" s="70">
        <v>582947.40999999992</v>
      </c>
      <c r="W110" s="44">
        <f t="shared" si="18"/>
        <v>1.3559522380134385E-2</v>
      </c>
      <c r="X110" s="44">
        <f t="shared" si="19"/>
        <v>0.91228480231517761</v>
      </c>
      <c r="Y110" s="5" t="str">
        <f t="shared" si="20"/>
        <v>B</v>
      </c>
      <c r="AB110" s="51" t="s">
        <v>251</v>
      </c>
      <c r="AC110" s="62" t="s">
        <v>149</v>
      </c>
      <c r="AD110" s="5">
        <v>83</v>
      </c>
      <c r="AE110" s="70">
        <v>470243.16000000003</v>
      </c>
      <c r="AF110" s="44">
        <f t="shared" si="21"/>
        <v>1.5514490974883643E-2</v>
      </c>
      <c r="AG110" s="44">
        <f t="shared" si="22"/>
        <v>0.85121195679406003</v>
      </c>
      <c r="AH110" s="5" t="str">
        <f t="shared" si="23"/>
        <v>B</v>
      </c>
    </row>
    <row r="111" spans="1:34" x14ac:dyDescent="0.3">
      <c r="A111" s="51" t="s">
        <v>251</v>
      </c>
      <c r="B111" s="21" t="s">
        <v>166</v>
      </c>
      <c r="C111" s="20">
        <v>43</v>
      </c>
      <c r="D111" s="47">
        <v>150377.59130000003</v>
      </c>
      <c r="E111" s="44">
        <f t="shared" si="12"/>
        <v>1.6073081013854656E-2</v>
      </c>
      <c r="F111" s="44">
        <f t="shared" si="13"/>
        <v>0.9141958300536619</v>
      </c>
      <c r="G111" s="5" t="str">
        <f t="shared" si="14"/>
        <v>B</v>
      </c>
      <c r="J111" s="51" t="s">
        <v>251</v>
      </c>
      <c r="K111" s="62" t="s">
        <v>327</v>
      </c>
      <c r="L111" s="5">
        <v>169</v>
      </c>
      <c r="M111" s="70">
        <v>484054.3</v>
      </c>
      <c r="N111" s="44">
        <f t="shared" si="15"/>
        <v>1.087852904359333E-2</v>
      </c>
      <c r="O111" s="44">
        <f t="shared" si="16"/>
        <v>0.90467309441757982</v>
      </c>
      <c r="P111" s="5" t="str">
        <f t="shared" si="17"/>
        <v>B</v>
      </c>
      <c r="S111" s="51" t="s">
        <v>251</v>
      </c>
      <c r="T111" s="62" t="s">
        <v>37</v>
      </c>
      <c r="U111" s="48">
        <v>47</v>
      </c>
      <c r="V111" s="70">
        <v>535392.33000000007</v>
      </c>
      <c r="W111" s="44">
        <f t="shared" si="18"/>
        <v>1.2453377708269252E-2</v>
      </c>
      <c r="X111" s="44">
        <f t="shared" si="19"/>
        <v>0.92473818002344688</v>
      </c>
      <c r="Y111" s="5" t="str">
        <f t="shared" si="20"/>
        <v>B</v>
      </c>
      <c r="AB111" s="51" t="s">
        <v>251</v>
      </c>
      <c r="AC111" s="62" t="s">
        <v>327</v>
      </c>
      <c r="AD111" s="5">
        <v>143</v>
      </c>
      <c r="AE111" s="70">
        <v>450023.6</v>
      </c>
      <c r="AF111" s="44">
        <f t="shared" si="21"/>
        <v>1.4847397420272196E-2</v>
      </c>
      <c r="AG111" s="44">
        <f t="shared" si="22"/>
        <v>0.86605935421433222</v>
      </c>
      <c r="AH111" s="5" t="str">
        <f t="shared" si="23"/>
        <v>B</v>
      </c>
    </row>
    <row r="112" spans="1:34" x14ac:dyDescent="0.3">
      <c r="A112" s="51" t="s">
        <v>251</v>
      </c>
      <c r="B112" s="21" t="s">
        <v>35</v>
      </c>
      <c r="C112" s="20">
        <v>50</v>
      </c>
      <c r="D112" s="47">
        <v>138052.71299999999</v>
      </c>
      <c r="E112" s="44">
        <f t="shared" si="12"/>
        <v>1.4755738677877236E-2</v>
      </c>
      <c r="F112" s="44">
        <f t="shared" si="13"/>
        <v>0.92895156873153917</v>
      </c>
      <c r="G112" s="5" t="str">
        <f t="shared" si="14"/>
        <v>B</v>
      </c>
      <c r="J112" s="51" t="s">
        <v>251</v>
      </c>
      <c r="K112" s="62" t="s">
        <v>85</v>
      </c>
      <c r="L112" s="5">
        <v>60</v>
      </c>
      <c r="M112" s="70">
        <v>441038.30000000005</v>
      </c>
      <c r="N112" s="44">
        <f t="shared" si="15"/>
        <v>9.911796994442626E-3</v>
      </c>
      <c r="O112" s="44">
        <f t="shared" si="16"/>
        <v>0.91458489141202248</v>
      </c>
      <c r="P112" s="5" t="str">
        <f t="shared" si="17"/>
        <v>B</v>
      </c>
      <c r="S112" s="51" t="s">
        <v>251</v>
      </c>
      <c r="T112" s="62" t="s">
        <v>49</v>
      </c>
      <c r="U112" s="48">
        <v>56</v>
      </c>
      <c r="V112" s="70">
        <v>421410.8</v>
      </c>
      <c r="W112" s="44">
        <f t="shared" si="18"/>
        <v>9.8021349367181099E-3</v>
      </c>
      <c r="X112" s="44">
        <f t="shared" si="19"/>
        <v>0.93454031496016499</v>
      </c>
      <c r="Y112" s="5" t="str">
        <f t="shared" si="20"/>
        <v>B</v>
      </c>
      <c r="AB112" s="51" t="s">
        <v>251</v>
      </c>
      <c r="AC112" s="62" t="s">
        <v>145</v>
      </c>
      <c r="AD112" s="5">
        <v>67</v>
      </c>
      <c r="AE112" s="70">
        <v>430711.4</v>
      </c>
      <c r="AF112" s="44">
        <f t="shared" si="21"/>
        <v>1.4210239927954504E-2</v>
      </c>
      <c r="AG112" s="44">
        <f t="shared" si="22"/>
        <v>0.88026959414228667</v>
      </c>
      <c r="AH112" s="5" t="str">
        <f t="shared" si="23"/>
        <v>B</v>
      </c>
    </row>
    <row r="113" spans="1:34" x14ac:dyDescent="0.3">
      <c r="A113" s="51" t="s">
        <v>251</v>
      </c>
      <c r="B113" s="21" t="s">
        <v>149</v>
      </c>
      <c r="C113" s="20">
        <v>32</v>
      </c>
      <c r="D113" s="47">
        <v>132199.92320000002</v>
      </c>
      <c r="E113" s="44">
        <f t="shared" si="12"/>
        <v>1.4130164323352635E-2</v>
      </c>
      <c r="F113" s="44">
        <f t="shared" si="13"/>
        <v>0.94308173305489185</v>
      </c>
      <c r="G113" s="5" t="str">
        <f t="shared" si="14"/>
        <v>B</v>
      </c>
      <c r="J113" s="51" t="s">
        <v>251</v>
      </c>
      <c r="K113" s="62" t="s">
        <v>97</v>
      </c>
      <c r="L113" s="5">
        <v>60</v>
      </c>
      <c r="M113" s="70">
        <v>427493.4</v>
      </c>
      <c r="N113" s="44">
        <f t="shared" si="15"/>
        <v>9.6073919141808298E-3</v>
      </c>
      <c r="O113" s="44">
        <f t="shared" si="16"/>
        <v>0.92419228332620329</v>
      </c>
      <c r="P113" s="5" t="str">
        <f t="shared" si="17"/>
        <v>B</v>
      </c>
      <c r="S113" s="51" t="s">
        <v>251</v>
      </c>
      <c r="T113" s="62" t="s">
        <v>327</v>
      </c>
      <c r="U113" s="48">
        <v>134</v>
      </c>
      <c r="V113" s="70">
        <v>404400.60000000003</v>
      </c>
      <c r="W113" s="44">
        <f t="shared" si="18"/>
        <v>9.4064728518817413E-3</v>
      </c>
      <c r="X113" s="44">
        <f t="shared" si="19"/>
        <v>0.94394678781204677</v>
      </c>
      <c r="Y113" s="5" t="str">
        <f t="shared" si="20"/>
        <v>B</v>
      </c>
      <c r="AB113" s="51" t="s">
        <v>251</v>
      </c>
      <c r="AC113" s="62" t="s">
        <v>45</v>
      </c>
      <c r="AD113" s="5">
        <v>53</v>
      </c>
      <c r="AE113" s="70">
        <v>400303.59999999992</v>
      </c>
      <c r="AF113" s="44">
        <f t="shared" si="21"/>
        <v>1.3207011005568757E-2</v>
      </c>
      <c r="AG113" s="44">
        <f t="shared" si="22"/>
        <v>0.89347660514785543</v>
      </c>
      <c r="AH113" s="5" t="str">
        <f t="shared" si="23"/>
        <v>B</v>
      </c>
    </row>
    <row r="114" spans="1:34" x14ac:dyDescent="0.3">
      <c r="A114" s="51" t="s">
        <v>251</v>
      </c>
      <c r="B114" s="21" t="s">
        <v>79</v>
      </c>
      <c r="C114" s="20">
        <v>25</v>
      </c>
      <c r="D114" s="47">
        <v>87383.071100000001</v>
      </c>
      <c r="E114" s="44">
        <f t="shared" si="12"/>
        <v>9.3399233814547827E-3</v>
      </c>
      <c r="F114" s="44">
        <f t="shared" si="13"/>
        <v>0.95242165643634658</v>
      </c>
      <c r="G114" s="5" t="str">
        <f t="shared" si="14"/>
        <v>C</v>
      </c>
      <c r="J114" s="51" t="s">
        <v>251</v>
      </c>
      <c r="K114" s="62" t="s">
        <v>67</v>
      </c>
      <c r="L114" s="5">
        <v>49</v>
      </c>
      <c r="M114" s="70">
        <v>413159.4</v>
      </c>
      <c r="N114" s="44">
        <f t="shared" si="15"/>
        <v>9.2852527754295217E-3</v>
      </c>
      <c r="O114" s="44">
        <f t="shared" si="16"/>
        <v>0.93347753610163287</v>
      </c>
      <c r="P114" s="5" t="str">
        <f t="shared" si="17"/>
        <v>B</v>
      </c>
      <c r="S114" s="51" t="s">
        <v>251</v>
      </c>
      <c r="T114" s="62" t="s">
        <v>128</v>
      </c>
      <c r="U114" s="48">
        <v>56</v>
      </c>
      <c r="V114" s="70">
        <v>396576.33</v>
      </c>
      <c r="W114" s="44">
        <f t="shared" si="18"/>
        <v>9.2244781086969069E-3</v>
      </c>
      <c r="X114" s="44">
        <f t="shared" si="19"/>
        <v>0.95317126592074364</v>
      </c>
      <c r="Y114" s="5" t="str">
        <f t="shared" si="20"/>
        <v>C</v>
      </c>
      <c r="AB114" s="51" t="s">
        <v>251</v>
      </c>
      <c r="AC114" s="62" t="s">
        <v>37</v>
      </c>
      <c r="AD114" s="5">
        <v>33</v>
      </c>
      <c r="AE114" s="70">
        <v>382478</v>
      </c>
      <c r="AF114" s="44">
        <f t="shared" si="21"/>
        <v>1.2618900143261086E-2</v>
      </c>
      <c r="AG114" s="44">
        <f t="shared" si="22"/>
        <v>0.90609550529111649</v>
      </c>
      <c r="AH114" s="5" t="str">
        <f t="shared" si="23"/>
        <v>B</v>
      </c>
    </row>
    <row r="115" spans="1:34" x14ac:dyDescent="0.3">
      <c r="A115" s="51" t="s">
        <v>251</v>
      </c>
      <c r="B115" s="21" t="s">
        <v>148</v>
      </c>
      <c r="C115" s="20">
        <v>15</v>
      </c>
      <c r="D115" s="47">
        <v>65690.805699999997</v>
      </c>
      <c r="E115" s="44">
        <f t="shared" si="12"/>
        <v>7.0213496090323737E-3</v>
      </c>
      <c r="F115" s="44">
        <f t="shared" si="13"/>
        <v>0.95944300604537891</v>
      </c>
      <c r="G115" s="5" t="str">
        <f t="shared" si="14"/>
        <v>C</v>
      </c>
      <c r="J115" s="51" t="s">
        <v>251</v>
      </c>
      <c r="K115" s="62" t="s">
        <v>145</v>
      </c>
      <c r="L115" s="5">
        <v>67</v>
      </c>
      <c r="M115" s="70">
        <v>357585.9</v>
      </c>
      <c r="N115" s="44">
        <f t="shared" si="15"/>
        <v>8.0363062547517093E-3</v>
      </c>
      <c r="O115" s="44">
        <f t="shared" si="16"/>
        <v>0.94151384235638458</v>
      </c>
      <c r="P115" s="5" t="str">
        <f t="shared" si="17"/>
        <v>B</v>
      </c>
      <c r="S115" s="51" t="s">
        <v>251</v>
      </c>
      <c r="T115" s="62" t="s">
        <v>79</v>
      </c>
      <c r="U115" s="48">
        <v>71</v>
      </c>
      <c r="V115" s="70">
        <v>352747.35</v>
      </c>
      <c r="W115" s="44">
        <f t="shared" si="18"/>
        <v>8.2050035814690333E-3</v>
      </c>
      <c r="X115" s="44">
        <f t="shared" si="19"/>
        <v>0.96137626950221267</v>
      </c>
      <c r="Y115" s="5" t="str">
        <f t="shared" si="20"/>
        <v>C</v>
      </c>
      <c r="AB115" s="51" t="s">
        <v>251</v>
      </c>
      <c r="AC115" s="62" t="s">
        <v>97</v>
      </c>
      <c r="AD115" s="5">
        <v>49</v>
      </c>
      <c r="AE115" s="70">
        <v>361434.64999999997</v>
      </c>
      <c r="AF115" s="44">
        <f t="shared" si="21"/>
        <v>1.1924627708429033E-2</v>
      </c>
      <c r="AG115" s="44">
        <f t="shared" si="22"/>
        <v>0.91802013299954555</v>
      </c>
      <c r="AH115" s="5" t="str">
        <f t="shared" si="23"/>
        <v>B</v>
      </c>
    </row>
    <row r="116" spans="1:34" x14ac:dyDescent="0.3">
      <c r="A116" s="51" t="s">
        <v>251</v>
      </c>
      <c r="B116" s="21" t="s">
        <v>322</v>
      </c>
      <c r="C116" s="20">
        <v>15</v>
      </c>
      <c r="D116" s="47">
        <v>63953.136800000007</v>
      </c>
      <c r="E116" s="44">
        <f t="shared" si="12"/>
        <v>6.8356191902678087E-3</v>
      </c>
      <c r="F116" s="44">
        <f t="shared" si="13"/>
        <v>0.96627862523564667</v>
      </c>
      <c r="G116" s="5" t="str">
        <f t="shared" si="14"/>
        <v>C</v>
      </c>
      <c r="J116" s="51" t="s">
        <v>251</v>
      </c>
      <c r="K116" s="62" t="s">
        <v>29</v>
      </c>
      <c r="L116" s="5">
        <v>67</v>
      </c>
      <c r="M116" s="70">
        <v>339910.05000000005</v>
      </c>
      <c r="N116" s="44">
        <f t="shared" si="15"/>
        <v>7.6390631198488719E-3</v>
      </c>
      <c r="O116" s="44">
        <f t="shared" si="16"/>
        <v>0.94915290547623343</v>
      </c>
      <c r="P116" s="5" t="str">
        <f t="shared" si="17"/>
        <v>B</v>
      </c>
      <c r="S116" s="51" t="s">
        <v>251</v>
      </c>
      <c r="T116" s="62" t="s">
        <v>45</v>
      </c>
      <c r="U116" s="48">
        <v>39</v>
      </c>
      <c r="V116" s="70">
        <v>266365.5</v>
      </c>
      <c r="W116" s="44">
        <f t="shared" si="18"/>
        <v>6.1957372081740377E-3</v>
      </c>
      <c r="X116" s="44">
        <f t="shared" si="19"/>
        <v>0.96757200671038668</v>
      </c>
      <c r="Y116" s="5" t="str">
        <f t="shared" si="20"/>
        <v>C</v>
      </c>
      <c r="AB116" s="51" t="s">
        <v>251</v>
      </c>
      <c r="AC116" s="62" t="s">
        <v>22</v>
      </c>
      <c r="AD116" s="5">
        <v>33</v>
      </c>
      <c r="AE116" s="70">
        <v>312477.10000000003</v>
      </c>
      <c r="AF116" s="44">
        <f t="shared" si="21"/>
        <v>1.0309396414841661E-2</v>
      </c>
      <c r="AG116" s="44">
        <f t="shared" si="22"/>
        <v>0.92832952941438718</v>
      </c>
      <c r="AH116" s="5" t="str">
        <f t="shared" si="23"/>
        <v>B</v>
      </c>
    </row>
    <row r="117" spans="1:34" x14ac:dyDescent="0.3">
      <c r="A117" s="51" t="s">
        <v>251</v>
      </c>
      <c r="B117" s="21" t="s">
        <v>71</v>
      </c>
      <c r="C117" s="20">
        <v>9</v>
      </c>
      <c r="D117" s="47">
        <v>40698.674599999998</v>
      </c>
      <c r="E117" s="44">
        <f t="shared" si="12"/>
        <v>4.3500703020125358E-3</v>
      </c>
      <c r="F117" s="44">
        <f t="shared" si="13"/>
        <v>0.97062869553765918</v>
      </c>
      <c r="G117" s="5" t="str">
        <f t="shared" si="14"/>
        <v>C</v>
      </c>
      <c r="J117" s="51" t="s">
        <v>251</v>
      </c>
      <c r="K117" s="62" t="s">
        <v>57</v>
      </c>
      <c r="L117" s="5">
        <v>41</v>
      </c>
      <c r="M117" s="70">
        <v>335729.5</v>
      </c>
      <c r="N117" s="44">
        <f t="shared" si="15"/>
        <v>7.5451103658020742E-3</v>
      </c>
      <c r="O117" s="44">
        <f t="shared" si="16"/>
        <v>0.95669801584203551</v>
      </c>
      <c r="P117" s="5" t="str">
        <f t="shared" si="17"/>
        <v>C</v>
      </c>
      <c r="S117" s="51" t="s">
        <v>251</v>
      </c>
      <c r="T117" s="62" t="s">
        <v>68</v>
      </c>
      <c r="U117" s="48">
        <v>50</v>
      </c>
      <c r="V117" s="70">
        <v>253718.35</v>
      </c>
      <c r="W117" s="44">
        <f t="shared" si="18"/>
        <v>5.9015609059413603E-3</v>
      </c>
      <c r="X117" s="44">
        <f t="shared" si="19"/>
        <v>0.97347356761632808</v>
      </c>
      <c r="Y117" s="5" t="str">
        <f t="shared" si="20"/>
        <v>C</v>
      </c>
      <c r="AB117" s="51" t="s">
        <v>251</v>
      </c>
      <c r="AC117" s="62" t="s">
        <v>34</v>
      </c>
      <c r="AD117" s="5">
        <v>86</v>
      </c>
      <c r="AE117" s="70">
        <v>310822</v>
      </c>
      <c r="AF117" s="44">
        <f t="shared" si="21"/>
        <v>1.0254790550904096E-2</v>
      </c>
      <c r="AG117" s="44">
        <f t="shared" si="22"/>
        <v>0.93858431996529124</v>
      </c>
      <c r="AH117" s="5" t="str">
        <f t="shared" si="23"/>
        <v>B</v>
      </c>
    </row>
    <row r="118" spans="1:34" x14ac:dyDescent="0.3">
      <c r="A118" s="51" t="s">
        <v>251</v>
      </c>
      <c r="B118" s="21" t="s">
        <v>27</v>
      </c>
      <c r="C118" s="20">
        <v>6</v>
      </c>
      <c r="D118" s="47">
        <v>39785.443400000004</v>
      </c>
      <c r="E118" s="44">
        <f t="shared" si="12"/>
        <v>4.2524597542235604E-3</v>
      </c>
      <c r="F118" s="44">
        <f t="shared" si="13"/>
        <v>0.97488115529188279</v>
      </c>
      <c r="G118" s="5" t="str">
        <f t="shared" si="14"/>
        <v>C</v>
      </c>
      <c r="J118" s="51" t="s">
        <v>251</v>
      </c>
      <c r="K118" s="62" t="s">
        <v>49</v>
      </c>
      <c r="L118" s="5">
        <v>32</v>
      </c>
      <c r="M118" s="70">
        <v>274826.45</v>
      </c>
      <c r="N118" s="44">
        <f t="shared" si="15"/>
        <v>6.1763887197627421E-3</v>
      </c>
      <c r="O118" s="44">
        <f t="shared" si="16"/>
        <v>0.96287440456179829</v>
      </c>
      <c r="P118" s="5" t="str">
        <f t="shared" si="17"/>
        <v>C</v>
      </c>
      <c r="S118" s="51" t="s">
        <v>251</v>
      </c>
      <c r="T118" s="62" t="s">
        <v>57</v>
      </c>
      <c r="U118" s="48">
        <v>25</v>
      </c>
      <c r="V118" s="70">
        <v>220858.37499999997</v>
      </c>
      <c r="W118" s="44">
        <f t="shared" si="18"/>
        <v>5.1372285514616365E-3</v>
      </c>
      <c r="X118" s="44">
        <f t="shared" si="19"/>
        <v>0.97861079616778968</v>
      </c>
      <c r="Y118" s="5" t="str">
        <f t="shared" si="20"/>
        <v>C</v>
      </c>
      <c r="AB118" s="51" t="s">
        <v>251</v>
      </c>
      <c r="AC118" s="62" t="s">
        <v>128</v>
      </c>
      <c r="AD118" s="5">
        <v>35</v>
      </c>
      <c r="AE118" s="70">
        <v>261092.02</v>
      </c>
      <c r="AF118" s="44">
        <f t="shared" si="21"/>
        <v>8.6140748711882147E-3</v>
      </c>
      <c r="AG118" s="44">
        <f t="shared" si="22"/>
        <v>0.9471983948364795</v>
      </c>
      <c r="AH118" s="5" t="str">
        <f t="shared" si="23"/>
        <v>B</v>
      </c>
    </row>
    <row r="119" spans="1:34" x14ac:dyDescent="0.3">
      <c r="A119" s="51" t="s">
        <v>251</v>
      </c>
      <c r="B119" s="21" t="s">
        <v>45</v>
      </c>
      <c r="C119" s="20">
        <v>6</v>
      </c>
      <c r="D119" s="47">
        <v>37942.671300000002</v>
      </c>
      <c r="E119" s="44">
        <f t="shared" si="12"/>
        <v>4.0554953993797473E-3</v>
      </c>
      <c r="F119" s="44">
        <f t="shared" si="13"/>
        <v>0.97893665069126257</v>
      </c>
      <c r="G119" s="5" t="str">
        <f t="shared" si="14"/>
        <v>C</v>
      </c>
      <c r="J119" s="51" t="s">
        <v>251</v>
      </c>
      <c r="K119" s="62" t="s">
        <v>24</v>
      </c>
      <c r="L119" s="5">
        <v>85</v>
      </c>
      <c r="M119" s="70">
        <v>266943.90000000002</v>
      </c>
      <c r="N119" s="44">
        <f t="shared" si="15"/>
        <v>5.9992380382946171E-3</v>
      </c>
      <c r="O119" s="44">
        <f t="shared" si="16"/>
        <v>0.9688736426000929</v>
      </c>
      <c r="P119" s="5" t="str">
        <f t="shared" si="17"/>
        <v>C</v>
      </c>
      <c r="S119" s="51" t="s">
        <v>251</v>
      </c>
      <c r="T119" s="62" t="s">
        <v>29</v>
      </c>
      <c r="U119" s="48">
        <v>35</v>
      </c>
      <c r="V119" s="70">
        <v>185784.30000000002</v>
      </c>
      <c r="W119" s="44">
        <f t="shared" si="18"/>
        <v>4.3213956019250536E-3</v>
      </c>
      <c r="X119" s="44">
        <f t="shared" si="19"/>
        <v>0.98293219176971469</v>
      </c>
      <c r="Y119" s="5" t="str">
        <f t="shared" si="20"/>
        <v>C</v>
      </c>
      <c r="AB119" s="51" t="s">
        <v>251</v>
      </c>
      <c r="AC119" s="62" t="s">
        <v>49</v>
      </c>
      <c r="AD119" s="5">
        <v>29</v>
      </c>
      <c r="AE119" s="70">
        <v>249590.28000000003</v>
      </c>
      <c r="AF119" s="44">
        <f t="shared" si="21"/>
        <v>8.2346038727680402E-3</v>
      </c>
      <c r="AG119" s="44">
        <f t="shared" si="22"/>
        <v>0.95543299870924758</v>
      </c>
      <c r="AH119" s="5" t="str">
        <f t="shared" si="23"/>
        <v>C</v>
      </c>
    </row>
    <row r="120" spans="1:34" x14ac:dyDescent="0.3">
      <c r="A120" s="51" t="s">
        <v>251</v>
      </c>
      <c r="B120" s="21" t="s">
        <v>38</v>
      </c>
      <c r="C120" s="20">
        <v>7</v>
      </c>
      <c r="D120" s="47">
        <v>36352.267500000002</v>
      </c>
      <c r="E120" s="44">
        <f t="shared" si="12"/>
        <v>3.8855053835725032E-3</v>
      </c>
      <c r="F120" s="44">
        <f t="shared" si="13"/>
        <v>0.98282215607483503</v>
      </c>
      <c r="G120" s="5" t="str">
        <f t="shared" si="14"/>
        <v>C</v>
      </c>
      <c r="J120" s="51" t="s">
        <v>251</v>
      </c>
      <c r="K120" s="62" t="s">
        <v>45</v>
      </c>
      <c r="L120" s="5">
        <v>44</v>
      </c>
      <c r="M120" s="70">
        <v>250897.95</v>
      </c>
      <c r="N120" s="44">
        <f t="shared" si="15"/>
        <v>5.6386249147110717E-3</v>
      </c>
      <c r="O120" s="44">
        <f t="shared" si="16"/>
        <v>0.97451226751480402</v>
      </c>
      <c r="P120" s="5" t="str">
        <f t="shared" si="17"/>
        <v>C</v>
      </c>
      <c r="S120" s="51" t="s">
        <v>251</v>
      </c>
      <c r="T120" s="62" t="s">
        <v>85</v>
      </c>
      <c r="U120" s="48">
        <v>21</v>
      </c>
      <c r="V120" s="70">
        <v>179308.2</v>
      </c>
      <c r="W120" s="44">
        <f t="shared" si="18"/>
        <v>4.1707596759742232E-3</v>
      </c>
      <c r="X120" s="44">
        <f t="shared" si="19"/>
        <v>0.98710295144568894</v>
      </c>
      <c r="Y120" s="5" t="str">
        <f t="shared" si="20"/>
        <v>C</v>
      </c>
      <c r="AB120" s="51" t="s">
        <v>251</v>
      </c>
      <c r="AC120" s="62" t="s">
        <v>57</v>
      </c>
      <c r="AD120" s="5">
        <v>24</v>
      </c>
      <c r="AE120" s="70">
        <v>227324.86</v>
      </c>
      <c r="AF120" s="44">
        <f t="shared" si="21"/>
        <v>7.5000123103049219E-3</v>
      </c>
      <c r="AG120" s="44">
        <f t="shared" si="22"/>
        <v>0.96293301101955253</v>
      </c>
      <c r="AH120" s="5" t="str">
        <f t="shared" si="23"/>
        <v>C</v>
      </c>
    </row>
    <row r="121" spans="1:34" x14ac:dyDescent="0.3">
      <c r="A121" s="51" t="s">
        <v>251</v>
      </c>
      <c r="B121" s="21" t="s">
        <v>315</v>
      </c>
      <c r="C121" s="20">
        <v>12</v>
      </c>
      <c r="D121" s="47">
        <v>34776.170599999998</v>
      </c>
      <c r="E121" s="44">
        <f t="shared" si="12"/>
        <v>3.7170445581238033E-3</v>
      </c>
      <c r="F121" s="44">
        <f t="shared" si="13"/>
        <v>0.98653920063295886</v>
      </c>
      <c r="G121" s="5" t="str">
        <f t="shared" si="14"/>
        <v>C</v>
      </c>
      <c r="J121" s="51" t="s">
        <v>251</v>
      </c>
      <c r="K121" s="62" t="s">
        <v>128</v>
      </c>
      <c r="L121" s="5">
        <v>32</v>
      </c>
      <c r="M121" s="70">
        <v>207830.25</v>
      </c>
      <c r="N121" s="44">
        <f t="shared" si="15"/>
        <v>4.6707309712200945E-3</v>
      </c>
      <c r="O121" s="44">
        <f t="shared" si="16"/>
        <v>0.97918299848602408</v>
      </c>
      <c r="P121" s="5" t="str">
        <f t="shared" si="17"/>
        <v>C</v>
      </c>
      <c r="S121" s="51" t="s">
        <v>251</v>
      </c>
      <c r="T121" s="62" t="s">
        <v>193</v>
      </c>
      <c r="U121" s="48">
        <v>31</v>
      </c>
      <c r="V121" s="70">
        <v>126569.31</v>
      </c>
      <c r="W121" s="44">
        <f t="shared" si="18"/>
        <v>2.9440381107159685E-3</v>
      </c>
      <c r="X121" s="44">
        <f t="shared" si="19"/>
        <v>0.99004698955640491</v>
      </c>
      <c r="Y121" s="5" t="str">
        <f t="shared" si="20"/>
        <v>C</v>
      </c>
      <c r="AB121" s="51" t="s">
        <v>251</v>
      </c>
      <c r="AC121" s="62" t="s">
        <v>29</v>
      </c>
      <c r="AD121" s="5">
        <v>40</v>
      </c>
      <c r="AE121" s="70">
        <v>220064.19999999995</v>
      </c>
      <c r="AF121" s="44">
        <f t="shared" si="21"/>
        <v>7.2604650853294456E-3</v>
      </c>
      <c r="AG121" s="44">
        <f t="shared" si="22"/>
        <v>0.97019347610488194</v>
      </c>
      <c r="AH121" s="5" t="str">
        <f t="shared" si="23"/>
        <v>C</v>
      </c>
    </row>
    <row r="122" spans="1:34" x14ac:dyDescent="0.3">
      <c r="A122" s="51" t="s">
        <v>251</v>
      </c>
      <c r="B122" s="21" t="s">
        <v>203</v>
      </c>
      <c r="C122" s="20">
        <v>8</v>
      </c>
      <c r="D122" s="47">
        <v>32340.920599999998</v>
      </c>
      <c r="E122" s="44">
        <f t="shared" si="12"/>
        <v>3.4567533125957231E-3</v>
      </c>
      <c r="F122" s="44">
        <f t="shared" si="13"/>
        <v>0.98999595394555462</v>
      </c>
      <c r="G122" s="5" t="str">
        <f t="shared" si="14"/>
        <v>C</v>
      </c>
      <c r="J122" s="51" t="s">
        <v>251</v>
      </c>
      <c r="K122" s="62" t="s">
        <v>87</v>
      </c>
      <c r="L122" s="5">
        <v>27</v>
      </c>
      <c r="M122" s="70">
        <v>156507</v>
      </c>
      <c r="N122" s="44">
        <f t="shared" si="15"/>
        <v>3.5173036269395015E-3</v>
      </c>
      <c r="O122" s="44">
        <f t="shared" si="16"/>
        <v>0.98270030211296355</v>
      </c>
      <c r="P122" s="5" t="str">
        <f t="shared" si="17"/>
        <v>C</v>
      </c>
      <c r="S122" s="51" t="s">
        <v>251</v>
      </c>
      <c r="T122" s="62" t="s">
        <v>22</v>
      </c>
      <c r="U122" s="48">
        <v>13</v>
      </c>
      <c r="V122" s="70">
        <v>124741.9</v>
      </c>
      <c r="W122" s="44">
        <f t="shared" si="18"/>
        <v>2.9015320349231599E-3</v>
      </c>
      <c r="X122" s="44">
        <f t="shared" si="19"/>
        <v>0.99294852159132807</v>
      </c>
      <c r="Y122" s="5" t="str">
        <f t="shared" si="20"/>
        <v>C</v>
      </c>
      <c r="AB122" s="51" t="s">
        <v>251</v>
      </c>
      <c r="AC122" s="62" t="s">
        <v>193</v>
      </c>
      <c r="AD122" s="5">
        <v>41</v>
      </c>
      <c r="AE122" s="70">
        <v>166546.30000000002</v>
      </c>
      <c r="AF122" s="44">
        <f t="shared" si="21"/>
        <v>5.4947765072229093E-3</v>
      </c>
      <c r="AG122" s="44">
        <f t="shared" si="22"/>
        <v>0.9756882526121049</v>
      </c>
      <c r="AH122" s="5" t="str">
        <f t="shared" si="23"/>
        <v>C</v>
      </c>
    </row>
    <row r="123" spans="1:34" x14ac:dyDescent="0.3">
      <c r="A123" s="51" t="s">
        <v>251</v>
      </c>
      <c r="B123" s="21" t="s">
        <v>20</v>
      </c>
      <c r="C123" s="20">
        <v>5</v>
      </c>
      <c r="D123" s="47">
        <v>28281.0916</v>
      </c>
      <c r="E123" s="44">
        <f t="shared" si="12"/>
        <v>3.0228192413336275E-3</v>
      </c>
      <c r="F123" s="44">
        <f t="shared" si="13"/>
        <v>0.99301877318688825</v>
      </c>
      <c r="G123" s="5" t="str">
        <f t="shared" si="14"/>
        <v>C</v>
      </c>
      <c r="J123" s="51" t="s">
        <v>251</v>
      </c>
      <c r="K123" s="62" t="s">
        <v>193</v>
      </c>
      <c r="L123" s="5">
        <v>36</v>
      </c>
      <c r="M123" s="70">
        <v>143192</v>
      </c>
      <c r="N123" s="44">
        <f t="shared" si="15"/>
        <v>3.2180652683184846E-3</v>
      </c>
      <c r="O123" s="44">
        <f t="shared" si="16"/>
        <v>0.98591836738128202</v>
      </c>
      <c r="P123" s="5" t="str">
        <f t="shared" si="17"/>
        <v>C</v>
      </c>
      <c r="S123" s="51" t="s">
        <v>251</v>
      </c>
      <c r="T123" s="62" t="s">
        <v>34</v>
      </c>
      <c r="U123" s="48">
        <v>19</v>
      </c>
      <c r="V123" s="70">
        <v>74355.7</v>
      </c>
      <c r="W123" s="44">
        <f t="shared" si="18"/>
        <v>1.7295347074971282E-3</v>
      </c>
      <c r="X123" s="44">
        <f t="shared" si="19"/>
        <v>0.99467805629882522</v>
      </c>
      <c r="Y123" s="5" t="str">
        <f t="shared" si="20"/>
        <v>C</v>
      </c>
      <c r="AB123" s="51" t="s">
        <v>251</v>
      </c>
      <c r="AC123" s="62" t="s">
        <v>336</v>
      </c>
      <c r="AD123" s="5">
        <v>24</v>
      </c>
      <c r="AE123" s="70">
        <v>157124.4</v>
      </c>
      <c r="AF123" s="44">
        <f t="shared" si="21"/>
        <v>5.1839246013360559E-3</v>
      </c>
      <c r="AG123" s="44">
        <f t="shared" si="22"/>
        <v>0.980872177213441</v>
      </c>
      <c r="AH123" s="5" t="str">
        <f t="shared" si="23"/>
        <v>C</v>
      </c>
    </row>
    <row r="124" spans="1:34" x14ac:dyDescent="0.3">
      <c r="A124" s="51" t="s">
        <v>251</v>
      </c>
      <c r="B124" s="21" t="s">
        <v>145</v>
      </c>
      <c r="C124" s="20">
        <v>4</v>
      </c>
      <c r="D124" s="47">
        <v>18115.555899999999</v>
      </c>
      <c r="E124" s="44">
        <f t="shared" si="12"/>
        <v>1.9362778395008954E-3</v>
      </c>
      <c r="F124" s="44">
        <f t="shared" si="13"/>
        <v>0.99495505102638915</v>
      </c>
      <c r="G124" s="5" t="str">
        <f t="shared" si="14"/>
        <v>C</v>
      </c>
      <c r="J124" s="51" t="s">
        <v>251</v>
      </c>
      <c r="K124" s="62" t="s">
        <v>20</v>
      </c>
      <c r="L124" s="5">
        <v>22</v>
      </c>
      <c r="M124" s="70">
        <v>128441.90000000001</v>
      </c>
      <c r="N124" s="44">
        <f t="shared" si="15"/>
        <v>2.8865747903991561E-3</v>
      </c>
      <c r="O124" s="44">
        <f t="shared" si="16"/>
        <v>0.98880494217168113</v>
      </c>
      <c r="P124" s="5" t="str">
        <f t="shared" si="17"/>
        <v>C</v>
      </c>
      <c r="S124" s="51" t="s">
        <v>251</v>
      </c>
      <c r="T124" s="62" t="s">
        <v>27</v>
      </c>
      <c r="U124" s="48">
        <v>7</v>
      </c>
      <c r="V124" s="70">
        <v>58491</v>
      </c>
      <c r="W124" s="44">
        <f t="shared" si="18"/>
        <v>1.3605172781133729E-3</v>
      </c>
      <c r="X124" s="44">
        <f t="shared" si="19"/>
        <v>0.99603857357693859</v>
      </c>
      <c r="Y124" s="5" t="str">
        <f t="shared" si="20"/>
        <v>C</v>
      </c>
      <c r="AB124" s="51" t="s">
        <v>251</v>
      </c>
      <c r="AC124" s="62" t="s">
        <v>41</v>
      </c>
      <c r="AD124" s="5">
        <v>22</v>
      </c>
      <c r="AE124" s="70">
        <v>133456.5</v>
      </c>
      <c r="AF124" s="44">
        <f t="shared" si="21"/>
        <v>4.4030617368034843E-3</v>
      </c>
      <c r="AG124" s="44">
        <f t="shared" si="22"/>
        <v>0.98527523895024449</v>
      </c>
      <c r="AH124" s="5" t="str">
        <f t="shared" si="23"/>
        <v>C</v>
      </c>
    </row>
    <row r="125" spans="1:34" x14ac:dyDescent="0.3">
      <c r="A125" s="51" t="s">
        <v>251</v>
      </c>
      <c r="B125" s="21" t="s">
        <v>150</v>
      </c>
      <c r="C125" s="20">
        <v>4</v>
      </c>
      <c r="D125" s="47">
        <v>16612.667000000001</v>
      </c>
      <c r="E125" s="44">
        <f t="shared" si="12"/>
        <v>1.7756418375826837E-3</v>
      </c>
      <c r="F125" s="44">
        <f t="shared" si="13"/>
        <v>0.99673069286397187</v>
      </c>
      <c r="G125" s="5" t="str">
        <f t="shared" si="14"/>
        <v>C</v>
      </c>
      <c r="J125" s="51" t="s">
        <v>251</v>
      </c>
      <c r="K125" s="62" t="s">
        <v>322</v>
      </c>
      <c r="L125" s="5">
        <v>22</v>
      </c>
      <c r="M125" s="70">
        <v>126236.80000000002</v>
      </c>
      <c r="N125" s="44">
        <f t="shared" si="15"/>
        <v>2.8370178617776617E-3</v>
      </c>
      <c r="O125" s="44">
        <f t="shared" si="16"/>
        <v>0.99164196003345884</v>
      </c>
      <c r="P125" s="5" t="str">
        <f t="shared" si="17"/>
        <v>C</v>
      </c>
      <c r="S125" s="51" t="s">
        <v>251</v>
      </c>
      <c r="T125" s="62" t="s">
        <v>336</v>
      </c>
      <c r="U125" s="48">
        <v>8</v>
      </c>
      <c r="V125" s="70">
        <v>58126.8</v>
      </c>
      <c r="W125" s="44">
        <f t="shared" si="18"/>
        <v>1.3520458826390455E-3</v>
      </c>
      <c r="X125" s="44">
        <f t="shared" si="19"/>
        <v>0.99739061945957763</v>
      </c>
      <c r="Y125" s="5" t="str">
        <f t="shared" si="20"/>
        <v>C</v>
      </c>
      <c r="AB125" s="51" t="s">
        <v>251</v>
      </c>
      <c r="AC125" s="62" t="s">
        <v>27</v>
      </c>
      <c r="AD125" s="5">
        <v>13</v>
      </c>
      <c r="AE125" s="70">
        <v>96794.8</v>
      </c>
      <c r="AF125" s="44">
        <f t="shared" si="21"/>
        <v>3.1935011048659745E-3</v>
      </c>
      <c r="AG125" s="44">
        <f t="shared" si="22"/>
        <v>0.98846874005511043</v>
      </c>
      <c r="AH125" s="5" t="str">
        <f t="shared" si="23"/>
        <v>C</v>
      </c>
    </row>
    <row r="126" spans="1:34" x14ac:dyDescent="0.3">
      <c r="A126" s="51" t="s">
        <v>251</v>
      </c>
      <c r="B126" s="21" t="s">
        <v>87</v>
      </c>
      <c r="C126" s="20">
        <v>2</v>
      </c>
      <c r="D126" s="47">
        <v>12820.5123</v>
      </c>
      <c r="E126" s="44">
        <f t="shared" si="12"/>
        <v>1.3703180843342851E-3</v>
      </c>
      <c r="F126" s="44">
        <f t="shared" si="13"/>
        <v>0.99810101094830617</v>
      </c>
      <c r="G126" s="5" t="str">
        <f t="shared" si="14"/>
        <v>C</v>
      </c>
      <c r="J126" s="51" t="s">
        <v>251</v>
      </c>
      <c r="K126" s="62" t="s">
        <v>41</v>
      </c>
      <c r="L126" s="5">
        <v>19</v>
      </c>
      <c r="M126" s="70">
        <v>116435.90000000001</v>
      </c>
      <c r="N126" s="44">
        <f t="shared" si="15"/>
        <v>2.6167546076275509E-3</v>
      </c>
      <c r="O126" s="44">
        <f t="shared" si="16"/>
        <v>0.99425871464108639</v>
      </c>
      <c r="P126" s="5" t="str">
        <f t="shared" si="17"/>
        <v>C</v>
      </c>
      <c r="S126" s="51" t="s">
        <v>251</v>
      </c>
      <c r="T126" s="62" t="s">
        <v>20</v>
      </c>
      <c r="U126" s="48">
        <v>7</v>
      </c>
      <c r="V126" s="70">
        <v>55601.8</v>
      </c>
      <c r="W126" s="44">
        <f t="shared" si="18"/>
        <v>1.2933136652511351E-3</v>
      </c>
      <c r="X126" s="44">
        <f t="shared" si="19"/>
        <v>0.99868393312482873</v>
      </c>
      <c r="Y126" s="5" t="str">
        <f t="shared" si="20"/>
        <v>C</v>
      </c>
      <c r="AB126" s="51" t="s">
        <v>251</v>
      </c>
      <c r="AC126" s="62" t="s">
        <v>79</v>
      </c>
      <c r="AD126" s="5">
        <v>15</v>
      </c>
      <c r="AE126" s="70">
        <v>75097.399999999994</v>
      </c>
      <c r="AF126" s="44">
        <f t="shared" si="21"/>
        <v>2.4776499344237707E-3</v>
      </c>
      <c r="AG126" s="44">
        <f t="shared" si="22"/>
        <v>0.99094638998953422</v>
      </c>
      <c r="AH126" s="5" t="str">
        <f t="shared" si="23"/>
        <v>C</v>
      </c>
    </row>
    <row r="127" spans="1:34" x14ac:dyDescent="0.3">
      <c r="A127" s="51" t="s">
        <v>251</v>
      </c>
      <c r="B127" s="21" t="s">
        <v>67</v>
      </c>
      <c r="C127" s="20">
        <v>1</v>
      </c>
      <c r="D127" s="47">
        <v>8085.4246000000003</v>
      </c>
      <c r="E127" s="44">
        <f t="shared" si="12"/>
        <v>8.6420911190119166E-4</v>
      </c>
      <c r="F127" s="44">
        <f t="shared" si="13"/>
        <v>0.99896522006020738</v>
      </c>
      <c r="G127" s="5" t="str">
        <f t="shared" si="14"/>
        <v>C</v>
      </c>
      <c r="J127" s="51" t="s">
        <v>251</v>
      </c>
      <c r="K127" s="62" t="s">
        <v>71</v>
      </c>
      <c r="L127" s="5">
        <v>26</v>
      </c>
      <c r="M127" s="70">
        <v>99632</v>
      </c>
      <c r="N127" s="44">
        <f t="shared" si="15"/>
        <v>2.2391074837498411E-3</v>
      </c>
      <c r="O127" s="44">
        <f t="shared" si="16"/>
        <v>0.99649782212483629</v>
      </c>
      <c r="P127" s="5" t="str">
        <f t="shared" si="17"/>
        <v>C</v>
      </c>
      <c r="S127" s="51" t="s">
        <v>251</v>
      </c>
      <c r="T127" s="62" t="s">
        <v>322</v>
      </c>
      <c r="U127" s="48">
        <v>6</v>
      </c>
      <c r="V127" s="70">
        <v>36645.199999999997</v>
      </c>
      <c r="W127" s="44">
        <f t="shared" si="18"/>
        <v>8.5237776341522923E-4</v>
      </c>
      <c r="X127" s="44">
        <f t="shared" si="19"/>
        <v>0.99953631088824391</v>
      </c>
      <c r="Y127" s="5" t="str">
        <f t="shared" si="20"/>
        <v>C</v>
      </c>
      <c r="AB127" s="51" t="s">
        <v>251</v>
      </c>
      <c r="AC127" s="62" t="s">
        <v>68</v>
      </c>
      <c r="AD127" s="5">
        <v>13</v>
      </c>
      <c r="AE127" s="70">
        <v>69805.850000000006</v>
      </c>
      <c r="AF127" s="44">
        <f t="shared" si="21"/>
        <v>2.3030685439828225E-3</v>
      </c>
      <c r="AG127" s="44">
        <f t="shared" si="22"/>
        <v>0.99324945853351698</v>
      </c>
      <c r="AH127" s="5" t="str">
        <f t="shared" si="23"/>
        <v>C</v>
      </c>
    </row>
    <row r="128" spans="1:34" x14ac:dyDescent="0.3">
      <c r="A128" s="51" t="s">
        <v>251</v>
      </c>
      <c r="B128" s="21" t="s">
        <v>128</v>
      </c>
      <c r="C128" s="20">
        <v>1</v>
      </c>
      <c r="D128" s="47">
        <v>5619.3697000000002</v>
      </c>
      <c r="E128" s="44">
        <f t="shared" si="12"/>
        <v>6.0062529033805669E-4</v>
      </c>
      <c r="F128" s="44">
        <f t="shared" si="13"/>
        <v>0.99956584535054549</v>
      </c>
      <c r="G128" s="5" t="str">
        <f t="shared" si="14"/>
        <v>C</v>
      </c>
      <c r="J128" s="51" t="s">
        <v>251</v>
      </c>
      <c r="K128" s="62" t="s">
        <v>336</v>
      </c>
      <c r="L128" s="5">
        <v>14</v>
      </c>
      <c r="M128" s="70">
        <v>87852.41</v>
      </c>
      <c r="N128" s="44">
        <f t="shared" si="15"/>
        <v>1.9743755891326021E-3</v>
      </c>
      <c r="O128" s="44">
        <f t="shared" si="16"/>
        <v>0.99847219771396889</v>
      </c>
      <c r="P128" s="5" t="str">
        <f t="shared" si="17"/>
        <v>C</v>
      </c>
      <c r="S128" s="51" t="s">
        <v>251</v>
      </c>
      <c r="T128" s="62" t="s">
        <v>97</v>
      </c>
      <c r="U128" s="48">
        <v>1</v>
      </c>
      <c r="V128" s="70">
        <v>8820</v>
      </c>
      <c r="W128" s="44">
        <f t="shared" si="18"/>
        <v>2.0515570588569096E-4</v>
      </c>
      <c r="X128" s="44">
        <f t="shared" si="19"/>
        <v>0.99974146659412955</v>
      </c>
      <c r="Y128" s="5" t="str">
        <f t="shared" si="20"/>
        <v>C</v>
      </c>
      <c r="AB128" s="51" t="s">
        <v>251</v>
      </c>
      <c r="AC128" s="62" t="s">
        <v>315</v>
      </c>
      <c r="AD128" s="5">
        <v>19</v>
      </c>
      <c r="AE128" s="70">
        <v>69128</v>
      </c>
      <c r="AF128" s="44">
        <f t="shared" si="21"/>
        <v>2.2807045872007079E-3</v>
      </c>
      <c r="AG128" s="44">
        <f t="shared" si="22"/>
        <v>0.99553016312071774</v>
      </c>
      <c r="AH128" s="5" t="str">
        <f t="shared" si="23"/>
        <v>C</v>
      </c>
    </row>
    <row r="129" spans="1:34" x14ac:dyDescent="0.3">
      <c r="A129" s="51" t="s">
        <v>251</v>
      </c>
      <c r="B129" s="21" t="s">
        <v>29</v>
      </c>
      <c r="C129" s="20">
        <v>1</v>
      </c>
      <c r="D129" s="47">
        <v>4061.8926999999999</v>
      </c>
      <c r="E129" s="44">
        <f t="shared" si="12"/>
        <v>4.3415464945464129E-4</v>
      </c>
      <c r="F129" s="44">
        <f t="shared" si="13"/>
        <v>1.0000000000000002</v>
      </c>
      <c r="G129" s="5" t="str">
        <f t="shared" si="14"/>
        <v>C</v>
      </c>
      <c r="J129" s="51" t="s">
        <v>251</v>
      </c>
      <c r="K129" s="62" t="s">
        <v>27</v>
      </c>
      <c r="L129" s="5">
        <v>4</v>
      </c>
      <c r="M129" s="70">
        <v>35714</v>
      </c>
      <c r="N129" s="44">
        <f t="shared" si="15"/>
        <v>8.0262851969891021E-4</v>
      </c>
      <c r="O129" s="44">
        <f t="shared" si="16"/>
        <v>0.99927482623366781</v>
      </c>
      <c r="P129" s="5" t="str">
        <f t="shared" si="17"/>
        <v>C</v>
      </c>
      <c r="S129" s="51" t="s">
        <v>251</v>
      </c>
      <c r="T129" s="62" t="s">
        <v>41</v>
      </c>
      <c r="U129" s="48">
        <v>1</v>
      </c>
      <c r="V129" s="70">
        <v>7605</v>
      </c>
      <c r="W129" s="44">
        <f t="shared" si="18"/>
        <v>1.768944606871519E-4</v>
      </c>
      <c r="X129" s="44">
        <f t="shared" si="19"/>
        <v>0.99991836105481668</v>
      </c>
      <c r="Y129" s="5" t="str">
        <f t="shared" si="20"/>
        <v>C</v>
      </c>
      <c r="AB129" s="51" t="s">
        <v>251</v>
      </c>
      <c r="AC129" s="62" t="s">
        <v>20</v>
      </c>
      <c r="AD129" s="5">
        <v>6</v>
      </c>
      <c r="AE129" s="70">
        <v>59448.2</v>
      </c>
      <c r="AF129" s="44">
        <f t="shared" si="21"/>
        <v>1.9613439191185208E-3</v>
      </c>
      <c r="AG129" s="44">
        <f t="shared" si="22"/>
        <v>0.99749150703983624</v>
      </c>
      <c r="AH129" s="5" t="str">
        <f t="shared" si="23"/>
        <v>C</v>
      </c>
    </row>
    <row r="130" spans="1:34" x14ac:dyDescent="0.3">
      <c r="A130" s="51" t="s">
        <v>251</v>
      </c>
      <c r="B130" s="21" t="s">
        <v>22</v>
      </c>
      <c r="C130" s="20">
        <v>0</v>
      </c>
      <c r="D130" s="47">
        <v>0</v>
      </c>
      <c r="E130" s="44">
        <f t="shared" si="12"/>
        <v>0</v>
      </c>
      <c r="F130" s="44">
        <f t="shared" si="13"/>
        <v>1.0000000000000002</v>
      </c>
      <c r="G130" s="5" t="str">
        <f t="shared" si="14"/>
        <v>C</v>
      </c>
      <c r="J130" s="51" t="s">
        <v>251</v>
      </c>
      <c r="K130" s="62" t="s">
        <v>35</v>
      </c>
      <c r="L130" s="5">
        <v>7</v>
      </c>
      <c r="M130" s="70">
        <v>23956.800000000003</v>
      </c>
      <c r="N130" s="44">
        <f t="shared" si="15"/>
        <v>5.3839981297874374E-4</v>
      </c>
      <c r="O130" s="44">
        <f t="shared" si="16"/>
        <v>0.99981322604664657</v>
      </c>
      <c r="P130" s="5" t="str">
        <f t="shared" si="17"/>
        <v>C</v>
      </c>
      <c r="S130" s="51" t="s">
        <v>251</v>
      </c>
      <c r="T130" s="62" t="s">
        <v>35</v>
      </c>
      <c r="U130" s="48">
        <v>1</v>
      </c>
      <c r="V130" s="70">
        <v>3509.8</v>
      </c>
      <c r="W130" s="44">
        <f t="shared" si="18"/>
        <v>8.1638945183401144E-5</v>
      </c>
      <c r="X130" s="44">
        <f t="shared" si="19"/>
        <v>1</v>
      </c>
      <c r="Y130" s="5" t="str">
        <f t="shared" si="20"/>
        <v>C</v>
      </c>
      <c r="AB130" s="51" t="s">
        <v>251</v>
      </c>
      <c r="AC130" s="62" t="s">
        <v>322</v>
      </c>
      <c r="AD130" s="5">
        <v>6</v>
      </c>
      <c r="AE130" s="70">
        <v>37285.9</v>
      </c>
      <c r="AF130" s="44">
        <f t="shared" si="21"/>
        <v>1.2301545418340885E-3</v>
      </c>
      <c r="AG130" s="44">
        <f t="shared" si="22"/>
        <v>0.99872166158167031</v>
      </c>
      <c r="AH130" s="5" t="str">
        <f t="shared" si="23"/>
        <v>C</v>
      </c>
    </row>
    <row r="131" spans="1:34" x14ac:dyDescent="0.3">
      <c r="A131" s="51" t="s">
        <v>251</v>
      </c>
      <c r="B131" s="21" t="s">
        <v>34</v>
      </c>
      <c r="C131" s="20">
        <v>0</v>
      </c>
      <c r="D131" s="47">
        <v>0</v>
      </c>
      <c r="E131" s="44">
        <f t="shared" ref="E131:E194" si="24">IFERROR(D131/SUMIF(A:A,A131,D:D),0)</f>
        <v>0</v>
      </c>
      <c r="F131" s="44">
        <f t="shared" ref="F131:F194" si="25">IF(A131=A130,E131+F130,E131)</f>
        <v>1.0000000000000002</v>
      </c>
      <c r="G131" s="5" t="str">
        <f t="shared" ref="G131:G194" si="26">IF(A131&lt;&gt;A130,"A",IF(F131&lt;0.8,"A",IF(F131&lt;0.95,"B","C")))</f>
        <v>C</v>
      </c>
      <c r="J131" s="51" t="s">
        <v>251</v>
      </c>
      <c r="K131" s="62" t="s">
        <v>68</v>
      </c>
      <c r="L131" s="5">
        <v>1</v>
      </c>
      <c r="M131" s="70">
        <v>4908.75</v>
      </c>
      <c r="N131" s="44">
        <f t="shared" ref="N131:N194" si="27">IFERROR(M131/SUMIF(J:J,J131,M:M),0)</f>
        <v>1.1031815943529221E-4</v>
      </c>
      <c r="O131" s="44">
        <f t="shared" ref="O131:O194" si="28">IF(J131=J130,N131+O130,N131)</f>
        <v>0.99992354420608187</v>
      </c>
      <c r="P131" s="5" t="str">
        <f t="shared" ref="P131:P194" si="29">IF(J131&lt;&gt;J130,"A",IF(O131&lt;0.8,"A",IF(O131&lt;0.95,"B","C")))</f>
        <v>C</v>
      </c>
      <c r="S131" s="51" t="s">
        <v>251</v>
      </c>
      <c r="T131" s="62" t="s">
        <v>38</v>
      </c>
      <c r="U131" s="48">
        <v>0</v>
      </c>
      <c r="V131" s="70">
        <v>0</v>
      </c>
      <c r="W131" s="44">
        <f t="shared" ref="W131:W194" si="30">IFERROR(V131/SUMIF(S:S,S131,V:V),0)</f>
        <v>0</v>
      </c>
      <c r="X131" s="44">
        <f t="shared" ref="X131:X194" si="31">IF(S131=S130,W131+X130,W131)</f>
        <v>1</v>
      </c>
      <c r="Y131" s="5" t="str">
        <f t="shared" ref="Y131:Y194" si="32">IF(S131&lt;&gt;S130,"A",IF(X131&lt;0.8,"A",IF(X131&lt;0.95,"B","C")))</f>
        <v>C</v>
      </c>
      <c r="AB131" s="51" t="s">
        <v>251</v>
      </c>
      <c r="AC131" s="62" t="s">
        <v>35</v>
      </c>
      <c r="AD131" s="5">
        <v>5</v>
      </c>
      <c r="AE131" s="70">
        <v>18825.349999999999</v>
      </c>
      <c r="AF131" s="44">
        <f t="shared" ref="AF131:AF194" si="33">IFERROR(AE131/SUMIF(AB:AB,AB131,AE:AE),0)</f>
        <v>6.2109510040300373E-4</v>
      </c>
      <c r="AG131" s="44">
        <f t="shared" ref="AG131:AG194" si="34">IF(AB131=AB130,AF131+AG130,AF131)</f>
        <v>0.99934275668207329</v>
      </c>
      <c r="AH131" s="5" t="str">
        <f t="shared" ref="AH131:AH194" si="35">IF(AB131&lt;&gt;AB130,"A",IF(AG131&lt;0.8,"A",IF(AG131&lt;0.95,"B","C")))</f>
        <v>C</v>
      </c>
    </row>
    <row r="132" spans="1:34" x14ac:dyDescent="0.3">
      <c r="A132" s="51" t="s">
        <v>251</v>
      </c>
      <c r="B132" s="21" t="s">
        <v>41</v>
      </c>
      <c r="C132" s="20">
        <v>0</v>
      </c>
      <c r="D132" s="47">
        <v>0</v>
      </c>
      <c r="E132" s="44">
        <f t="shared" si="24"/>
        <v>0</v>
      </c>
      <c r="F132" s="44">
        <f t="shared" si="25"/>
        <v>1.0000000000000002</v>
      </c>
      <c r="G132" s="5" t="str">
        <f t="shared" si="26"/>
        <v>C</v>
      </c>
      <c r="J132" s="51" t="s">
        <v>251</v>
      </c>
      <c r="K132" s="62" t="s">
        <v>315</v>
      </c>
      <c r="L132" s="5">
        <v>1</v>
      </c>
      <c r="M132" s="70">
        <v>3402</v>
      </c>
      <c r="N132" s="44">
        <f t="shared" si="27"/>
        <v>7.6455793918790748E-5</v>
      </c>
      <c r="O132" s="44">
        <f t="shared" si="28"/>
        <v>1.0000000000000007</v>
      </c>
      <c r="P132" s="5" t="str">
        <f t="shared" si="29"/>
        <v>C</v>
      </c>
      <c r="S132" s="51" t="s">
        <v>251</v>
      </c>
      <c r="T132" s="62" t="s">
        <v>87</v>
      </c>
      <c r="U132" s="48">
        <v>0</v>
      </c>
      <c r="V132" s="70">
        <v>0</v>
      </c>
      <c r="W132" s="44">
        <f t="shared" si="30"/>
        <v>0</v>
      </c>
      <c r="X132" s="44">
        <f t="shared" si="31"/>
        <v>1</v>
      </c>
      <c r="Y132" s="5" t="str">
        <f t="shared" si="32"/>
        <v>C</v>
      </c>
      <c r="AB132" s="51" t="s">
        <v>251</v>
      </c>
      <c r="AC132" s="62" t="s">
        <v>87</v>
      </c>
      <c r="AD132" s="5">
        <v>2</v>
      </c>
      <c r="AE132" s="70">
        <v>13437</v>
      </c>
      <c r="AF132" s="44">
        <f t="shared" si="33"/>
        <v>4.4332003729626073E-4</v>
      </c>
      <c r="AG132" s="44">
        <f t="shared" si="34"/>
        <v>0.99978607671936959</v>
      </c>
      <c r="AH132" s="5" t="str">
        <f t="shared" si="35"/>
        <v>C</v>
      </c>
    </row>
    <row r="133" spans="1:34" x14ac:dyDescent="0.3">
      <c r="A133" s="51" t="s">
        <v>251</v>
      </c>
      <c r="B133" s="21" t="s">
        <v>193</v>
      </c>
      <c r="C133" s="20">
        <v>0</v>
      </c>
      <c r="D133" s="47">
        <v>0</v>
      </c>
      <c r="E133" s="44">
        <f t="shared" si="24"/>
        <v>0</v>
      </c>
      <c r="F133" s="44">
        <f t="shared" si="25"/>
        <v>1.0000000000000002</v>
      </c>
      <c r="G133" s="5" t="str">
        <f t="shared" si="26"/>
        <v>C</v>
      </c>
      <c r="J133" s="51" t="s">
        <v>251</v>
      </c>
      <c r="K133" s="62" t="s">
        <v>34</v>
      </c>
      <c r="L133" s="5">
        <v>0</v>
      </c>
      <c r="M133" s="70">
        <v>0</v>
      </c>
      <c r="N133" s="44">
        <f t="shared" si="27"/>
        <v>0</v>
      </c>
      <c r="O133" s="44">
        <f t="shared" si="28"/>
        <v>1.0000000000000007</v>
      </c>
      <c r="P133" s="5" t="str">
        <f t="shared" si="29"/>
        <v>C</v>
      </c>
      <c r="S133" s="51" t="s">
        <v>251</v>
      </c>
      <c r="T133" s="62" t="s">
        <v>315</v>
      </c>
      <c r="U133" s="48">
        <v>0</v>
      </c>
      <c r="V133" s="70">
        <v>0</v>
      </c>
      <c r="W133" s="44">
        <f t="shared" si="30"/>
        <v>0</v>
      </c>
      <c r="X133" s="44">
        <f t="shared" si="31"/>
        <v>1</v>
      </c>
      <c r="Y133" s="5" t="str">
        <f t="shared" si="32"/>
        <v>C</v>
      </c>
      <c r="AB133" s="51" t="s">
        <v>251</v>
      </c>
      <c r="AC133" s="62" t="s">
        <v>71</v>
      </c>
      <c r="AD133" s="5">
        <v>1</v>
      </c>
      <c r="AE133" s="70">
        <v>6484</v>
      </c>
      <c r="AF133" s="44">
        <f t="shared" si="33"/>
        <v>2.1392328063027122E-4</v>
      </c>
      <c r="AG133" s="44">
        <f t="shared" si="34"/>
        <v>0.99999999999999989</v>
      </c>
      <c r="AH133" s="5" t="str">
        <f t="shared" si="35"/>
        <v>C</v>
      </c>
    </row>
    <row r="134" spans="1:34" x14ac:dyDescent="0.3">
      <c r="A134" s="51" t="s">
        <v>251</v>
      </c>
      <c r="B134" s="21" t="s">
        <v>97</v>
      </c>
      <c r="C134" s="20">
        <v>0</v>
      </c>
      <c r="D134" s="47">
        <v>0</v>
      </c>
      <c r="E134" s="44">
        <f t="shared" si="24"/>
        <v>0</v>
      </c>
      <c r="F134" s="44">
        <f t="shared" si="25"/>
        <v>1.0000000000000002</v>
      </c>
      <c r="G134" s="5" t="str">
        <f t="shared" si="26"/>
        <v>C</v>
      </c>
      <c r="J134" s="51" t="s">
        <v>251</v>
      </c>
      <c r="K134" s="62" t="s">
        <v>38</v>
      </c>
      <c r="L134" s="5">
        <v>0</v>
      </c>
      <c r="M134" s="70">
        <v>0</v>
      </c>
      <c r="N134" s="44">
        <f t="shared" si="27"/>
        <v>0</v>
      </c>
      <c r="O134" s="44">
        <f t="shared" si="28"/>
        <v>1.0000000000000007</v>
      </c>
      <c r="P134" s="5" t="str">
        <f t="shared" si="29"/>
        <v>C</v>
      </c>
      <c r="S134" s="51" t="s">
        <v>251</v>
      </c>
      <c r="T134" s="62" t="s">
        <v>71</v>
      </c>
      <c r="U134" s="48">
        <v>0</v>
      </c>
      <c r="V134" s="70">
        <v>0</v>
      </c>
      <c r="W134" s="44">
        <f t="shared" si="30"/>
        <v>0</v>
      </c>
      <c r="X134" s="44">
        <f t="shared" si="31"/>
        <v>1</v>
      </c>
      <c r="Y134" s="5" t="str">
        <f t="shared" si="32"/>
        <v>C</v>
      </c>
      <c r="AB134" s="51" t="s">
        <v>251</v>
      </c>
      <c r="AC134" s="62" t="s">
        <v>38</v>
      </c>
      <c r="AD134" s="5">
        <v>0</v>
      </c>
      <c r="AE134" s="70">
        <v>0</v>
      </c>
      <c r="AF134" s="44">
        <f t="shared" si="33"/>
        <v>0</v>
      </c>
      <c r="AG134" s="44">
        <f t="shared" si="34"/>
        <v>0.99999999999999989</v>
      </c>
      <c r="AH134" s="5" t="str">
        <f t="shared" si="35"/>
        <v>C</v>
      </c>
    </row>
    <row r="135" spans="1:34" x14ac:dyDescent="0.3">
      <c r="A135" s="51" t="s">
        <v>252</v>
      </c>
      <c r="B135" s="21" t="s">
        <v>23</v>
      </c>
      <c r="C135" s="20">
        <v>1884</v>
      </c>
      <c r="D135" s="47">
        <v>706545.8996</v>
      </c>
      <c r="E135" s="44">
        <f t="shared" si="24"/>
        <v>0.1727870276656496</v>
      </c>
      <c r="F135" s="44">
        <f t="shared" si="25"/>
        <v>0.1727870276656496</v>
      </c>
      <c r="G135" s="5" t="str">
        <f t="shared" si="26"/>
        <v>A</v>
      </c>
      <c r="J135" s="51" t="s">
        <v>252</v>
      </c>
      <c r="K135" s="62" t="s">
        <v>177</v>
      </c>
      <c r="L135" s="5">
        <v>1574</v>
      </c>
      <c r="M135" s="70">
        <v>2846342.7199999997</v>
      </c>
      <c r="N135" s="44">
        <f t="shared" si="27"/>
        <v>0.16255866056936277</v>
      </c>
      <c r="O135" s="44">
        <f t="shared" si="28"/>
        <v>0.16255866056936277</v>
      </c>
      <c r="P135" s="5" t="str">
        <f t="shared" si="29"/>
        <v>A</v>
      </c>
      <c r="S135" s="51" t="s">
        <v>252</v>
      </c>
      <c r="T135" s="62" t="s">
        <v>177</v>
      </c>
      <c r="U135" s="48">
        <v>1537</v>
      </c>
      <c r="V135" s="70">
        <v>2920717.6199999996</v>
      </c>
      <c r="W135" s="44">
        <f t="shared" si="30"/>
        <v>0.15936402649270537</v>
      </c>
      <c r="X135" s="44">
        <f t="shared" si="31"/>
        <v>0.15936402649270537</v>
      </c>
      <c r="Y135" s="5" t="str">
        <f t="shared" si="32"/>
        <v>A</v>
      </c>
      <c r="AB135" s="51" t="s">
        <v>252</v>
      </c>
      <c r="AC135" s="62" t="s">
        <v>177</v>
      </c>
      <c r="AD135" s="5">
        <v>1535</v>
      </c>
      <c r="AE135" s="70">
        <v>2986525.1</v>
      </c>
      <c r="AF135" s="44">
        <f t="shared" si="33"/>
        <v>0.16284115274200878</v>
      </c>
      <c r="AG135" s="44">
        <f t="shared" si="34"/>
        <v>0.16284115274200878</v>
      </c>
      <c r="AH135" s="5" t="str">
        <f t="shared" si="35"/>
        <v>A</v>
      </c>
    </row>
    <row r="136" spans="1:34" x14ac:dyDescent="0.3">
      <c r="A136" s="51" t="s">
        <v>252</v>
      </c>
      <c r="B136" s="21" t="s">
        <v>177</v>
      </c>
      <c r="C136" s="20">
        <v>342</v>
      </c>
      <c r="D136" s="47">
        <v>449754.67320000002</v>
      </c>
      <c r="E136" s="44">
        <f t="shared" si="24"/>
        <v>0.10998828696756843</v>
      </c>
      <c r="F136" s="44">
        <f t="shared" si="25"/>
        <v>0.28277531463321803</v>
      </c>
      <c r="G136" s="5" t="str">
        <f t="shared" si="26"/>
        <v>A</v>
      </c>
      <c r="J136" s="51" t="s">
        <v>252</v>
      </c>
      <c r="K136" s="62" t="s">
        <v>267</v>
      </c>
      <c r="L136" s="5">
        <v>1493</v>
      </c>
      <c r="M136" s="70">
        <v>2135207.5499999998</v>
      </c>
      <c r="N136" s="44">
        <f t="shared" si="27"/>
        <v>0.12194472469063414</v>
      </c>
      <c r="O136" s="44">
        <f t="shared" si="28"/>
        <v>0.28450338525999691</v>
      </c>
      <c r="P136" s="5" t="str">
        <f t="shared" si="29"/>
        <v>A</v>
      </c>
      <c r="S136" s="51" t="s">
        <v>252</v>
      </c>
      <c r="T136" s="62" t="s">
        <v>54</v>
      </c>
      <c r="U136" s="48">
        <v>3233</v>
      </c>
      <c r="V136" s="70">
        <v>1771134.2</v>
      </c>
      <c r="W136" s="44">
        <f t="shared" si="30"/>
        <v>9.6638947783982132E-2</v>
      </c>
      <c r="X136" s="44">
        <f t="shared" si="31"/>
        <v>0.2560029742766875</v>
      </c>
      <c r="Y136" s="5" t="str">
        <f t="shared" si="32"/>
        <v>A</v>
      </c>
      <c r="AB136" s="51" t="s">
        <v>252</v>
      </c>
      <c r="AC136" s="62" t="s">
        <v>54</v>
      </c>
      <c r="AD136" s="5">
        <v>3796</v>
      </c>
      <c r="AE136" s="70">
        <v>2126404.5499999998</v>
      </c>
      <c r="AF136" s="44">
        <f t="shared" si="33"/>
        <v>0.11594282871349462</v>
      </c>
      <c r="AG136" s="44">
        <f t="shared" si="34"/>
        <v>0.27878398145550343</v>
      </c>
      <c r="AH136" s="5" t="str">
        <f t="shared" si="35"/>
        <v>A</v>
      </c>
    </row>
    <row r="137" spans="1:34" x14ac:dyDescent="0.3">
      <c r="A137" s="51" t="s">
        <v>252</v>
      </c>
      <c r="B137" s="21" t="s">
        <v>61</v>
      </c>
      <c r="C137" s="20">
        <v>575</v>
      </c>
      <c r="D137" s="47">
        <v>387600.86700000003</v>
      </c>
      <c r="E137" s="44">
        <f t="shared" si="24"/>
        <v>9.4788465643172171E-2</v>
      </c>
      <c r="F137" s="44">
        <f t="shared" si="25"/>
        <v>0.3775637802763902</v>
      </c>
      <c r="G137" s="5" t="str">
        <f t="shared" si="26"/>
        <v>A</v>
      </c>
      <c r="J137" s="51" t="s">
        <v>252</v>
      </c>
      <c r="K137" s="62" t="s">
        <v>54</v>
      </c>
      <c r="L137" s="5">
        <v>2566</v>
      </c>
      <c r="M137" s="70">
        <v>1393994.3</v>
      </c>
      <c r="N137" s="44">
        <f t="shared" si="27"/>
        <v>7.961298709992537E-2</v>
      </c>
      <c r="O137" s="44">
        <f t="shared" si="28"/>
        <v>0.36411637235992228</v>
      </c>
      <c r="P137" s="5" t="str">
        <f t="shared" si="29"/>
        <v>A</v>
      </c>
      <c r="S137" s="51" t="s">
        <v>252</v>
      </c>
      <c r="T137" s="62" t="s">
        <v>61</v>
      </c>
      <c r="U137" s="48">
        <v>2571</v>
      </c>
      <c r="V137" s="70">
        <v>1749246.83</v>
      </c>
      <c r="W137" s="44">
        <f t="shared" si="30"/>
        <v>9.5444700387845416E-2</v>
      </c>
      <c r="X137" s="44">
        <f t="shared" si="31"/>
        <v>0.35144767466453292</v>
      </c>
      <c r="Y137" s="5" t="str">
        <f t="shared" si="32"/>
        <v>A</v>
      </c>
      <c r="AB137" s="51" t="s">
        <v>252</v>
      </c>
      <c r="AC137" s="62" t="s">
        <v>267</v>
      </c>
      <c r="AD137" s="5">
        <v>1094</v>
      </c>
      <c r="AE137" s="70">
        <v>1709898.1</v>
      </c>
      <c r="AF137" s="44">
        <f t="shared" si="33"/>
        <v>9.3232692963260408E-2</v>
      </c>
      <c r="AG137" s="44">
        <f t="shared" si="34"/>
        <v>0.37201667441876385</v>
      </c>
      <c r="AH137" s="5" t="str">
        <f t="shared" si="35"/>
        <v>A</v>
      </c>
    </row>
    <row r="138" spans="1:34" x14ac:dyDescent="0.3">
      <c r="A138" s="51" t="s">
        <v>252</v>
      </c>
      <c r="B138" s="21" t="s">
        <v>96</v>
      </c>
      <c r="C138" s="20">
        <v>626</v>
      </c>
      <c r="D138" s="47">
        <v>336288.91200000001</v>
      </c>
      <c r="E138" s="44">
        <f t="shared" si="24"/>
        <v>8.2240037871978616E-2</v>
      </c>
      <c r="F138" s="44">
        <f t="shared" si="25"/>
        <v>0.45980381814836879</v>
      </c>
      <c r="G138" s="5" t="str">
        <f t="shared" si="26"/>
        <v>A</v>
      </c>
      <c r="J138" s="51" t="s">
        <v>252</v>
      </c>
      <c r="K138" s="62" t="s">
        <v>61</v>
      </c>
      <c r="L138" s="5">
        <v>1935</v>
      </c>
      <c r="M138" s="70">
        <v>1332860.52</v>
      </c>
      <c r="N138" s="44">
        <f t="shared" si="27"/>
        <v>7.6121550414345179E-2</v>
      </c>
      <c r="O138" s="44">
        <f t="shared" si="28"/>
        <v>0.44023792277426743</v>
      </c>
      <c r="P138" s="5" t="str">
        <f t="shared" si="29"/>
        <v>A</v>
      </c>
      <c r="S138" s="51" t="s">
        <v>252</v>
      </c>
      <c r="T138" s="62" t="s">
        <v>267</v>
      </c>
      <c r="U138" s="48">
        <v>1048</v>
      </c>
      <c r="V138" s="70">
        <v>1543284.2</v>
      </c>
      <c r="W138" s="44">
        <f t="shared" si="30"/>
        <v>8.4206697165942951E-2</v>
      </c>
      <c r="X138" s="44">
        <f t="shared" si="31"/>
        <v>0.43565437183047584</v>
      </c>
      <c r="Y138" s="5" t="str">
        <f t="shared" si="32"/>
        <v>A</v>
      </c>
      <c r="AB138" s="51" t="s">
        <v>252</v>
      </c>
      <c r="AC138" s="62" t="s">
        <v>96</v>
      </c>
      <c r="AD138" s="5">
        <v>2014</v>
      </c>
      <c r="AE138" s="70">
        <v>1417765.84</v>
      </c>
      <c r="AF138" s="44">
        <f t="shared" si="33"/>
        <v>7.7304096223347454E-2</v>
      </c>
      <c r="AG138" s="44">
        <f t="shared" si="34"/>
        <v>0.44932077064211129</v>
      </c>
      <c r="AH138" s="5" t="str">
        <f t="shared" si="35"/>
        <v>A</v>
      </c>
    </row>
    <row r="139" spans="1:34" x14ac:dyDescent="0.3">
      <c r="A139" s="51" t="s">
        <v>252</v>
      </c>
      <c r="B139" s="21" t="s">
        <v>54</v>
      </c>
      <c r="C139" s="20">
        <v>614</v>
      </c>
      <c r="D139" s="47">
        <v>317577.58250000002</v>
      </c>
      <c r="E139" s="44">
        <f t="shared" si="24"/>
        <v>7.7664149724007009E-2</v>
      </c>
      <c r="F139" s="44">
        <f t="shared" si="25"/>
        <v>0.53746796787237583</v>
      </c>
      <c r="G139" s="5" t="str">
        <f t="shared" si="26"/>
        <v>A</v>
      </c>
      <c r="J139" s="51" t="s">
        <v>252</v>
      </c>
      <c r="K139" s="62" t="s">
        <v>92</v>
      </c>
      <c r="L139" s="5">
        <v>3580</v>
      </c>
      <c r="M139" s="70">
        <v>1304067.68</v>
      </c>
      <c r="N139" s="44">
        <f t="shared" si="27"/>
        <v>7.4477150577494905E-2</v>
      </c>
      <c r="O139" s="44">
        <f t="shared" si="28"/>
        <v>0.51471507335176236</v>
      </c>
      <c r="P139" s="5" t="str">
        <f t="shared" si="29"/>
        <v>A</v>
      </c>
      <c r="S139" s="51" t="s">
        <v>252</v>
      </c>
      <c r="T139" s="62" t="s">
        <v>96</v>
      </c>
      <c r="U139" s="48">
        <v>1967</v>
      </c>
      <c r="V139" s="70">
        <v>1309786.2</v>
      </c>
      <c r="W139" s="44">
        <f t="shared" si="30"/>
        <v>7.1466272962252317E-2</v>
      </c>
      <c r="X139" s="44">
        <f t="shared" si="31"/>
        <v>0.50712064479272811</v>
      </c>
      <c r="Y139" s="5" t="str">
        <f t="shared" si="32"/>
        <v>A</v>
      </c>
      <c r="AB139" s="51" t="s">
        <v>252</v>
      </c>
      <c r="AC139" s="62" t="s">
        <v>92</v>
      </c>
      <c r="AD139" s="5">
        <v>3336</v>
      </c>
      <c r="AE139" s="70">
        <v>1386535.1500000004</v>
      </c>
      <c r="AF139" s="44">
        <f t="shared" si="33"/>
        <v>7.5601233735927448E-2</v>
      </c>
      <c r="AG139" s="44">
        <f t="shared" si="34"/>
        <v>0.52492200437803871</v>
      </c>
      <c r="AH139" s="5" t="str">
        <f t="shared" si="35"/>
        <v>A</v>
      </c>
    </row>
    <row r="140" spans="1:34" x14ac:dyDescent="0.3">
      <c r="A140" s="51" t="s">
        <v>252</v>
      </c>
      <c r="B140" s="21" t="s">
        <v>94</v>
      </c>
      <c r="C140" s="20">
        <v>552</v>
      </c>
      <c r="D140" s="47">
        <v>307907.38090000005</v>
      </c>
      <c r="E140" s="44">
        <f t="shared" si="24"/>
        <v>7.5299285116714604E-2</v>
      </c>
      <c r="F140" s="44">
        <f t="shared" si="25"/>
        <v>0.61276725298909041</v>
      </c>
      <c r="G140" s="5" t="str">
        <f t="shared" si="26"/>
        <v>A</v>
      </c>
      <c r="J140" s="51" t="s">
        <v>252</v>
      </c>
      <c r="K140" s="62" t="s">
        <v>281</v>
      </c>
      <c r="L140" s="5">
        <v>805</v>
      </c>
      <c r="M140" s="70">
        <v>971643.56000000017</v>
      </c>
      <c r="N140" s="44">
        <f t="shared" si="27"/>
        <v>5.5491938674358698E-2</v>
      </c>
      <c r="O140" s="44">
        <f t="shared" si="28"/>
        <v>0.57020701202612112</v>
      </c>
      <c r="P140" s="5" t="str">
        <f t="shared" si="29"/>
        <v>A</v>
      </c>
      <c r="S140" s="51" t="s">
        <v>252</v>
      </c>
      <c r="T140" s="62" t="s">
        <v>92</v>
      </c>
      <c r="U140" s="48">
        <v>2538</v>
      </c>
      <c r="V140" s="70">
        <v>1012891.9899999994</v>
      </c>
      <c r="W140" s="44">
        <f t="shared" si="30"/>
        <v>5.5266741578601834E-2</v>
      </c>
      <c r="X140" s="44">
        <f t="shared" si="31"/>
        <v>0.5623873863713299</v>
      </c>
      <c r="Y140" s="5" t="str">
        <f t="shared" si="32"/>
        <v>A</v>
      </c>
      <c r="AB140" s="51" t="s">
        <v>252</v>
      </c>
      <c r="AC140" s="62" t="s">
        <v>61</v>
      </c>
      <c r="AD140" s="5">
        <v>1773</v>
      </c>
      <c r="AE140" s="70">
        <v>1303100.4399999995</v>
      </c>
      <c r="AF140" s="44">
        <f t="shared" si="33"/>
        <v>7.1051931821439818E-2</v>
      </c>
      <c r="AG140" s="44">
        <f t="shared" si="34"/>
        <v>0.59597393619947847</v>
      </c>
      <c r="AH140" s="5" t="str">
        <f t="shared" si="35"/>
        <v>A</v>
      </c>
    </row>
    <row r="141" spans="1:34" x14ac:dyDescent="0.3">
      <c r="A141" s="51" t="s">
        <v>252</v>
      </c>
      <c r="B141" s="21" t="s">
        <v>95</v>
      </c>
      <c r="C141" s="20">
        <v>656</v>
      </c>
      <c r="D141" s="47">
        <v>260404.3762</v>
      </c>
      <c r="E141" s="44">
        <f t="shared" si="24"/>
        <v>6.3682342761027355E-2</v>
      </c>
      <c r="F141" s="44">
        <f t="shared" si="25"/>
        <v>0.67644959575011776</v>
      </c>
      <c r="G141" s="5" t="str">
        <f t="shared" si="26"/>
        <v>A</v>
      </c>
      <c r="J141" s="51" t="s">
        <v>252</v>
      </c>
      <c r="K141" s="62" t="s">
        <v>278</v>
      </c>
      <c r="L141" s="5">
        <v>565</v>
      </c>
      <c r="M141" s="70">
        <v>840703.54</v>
      </c>
      <c r="N141" s="44">
        <f t="shared" si="27"/>
        <v>4.8013768840289801E-2</v>
      </c>
      <c r="O141" s="44">
        <f t="shared" si="28"/>
        <v>0.61822078086641097</v>
      </c>
      <c r="P141" s="5" t="str">
        <f t="shared" si="29"/>
        <v>A</v>
      </c>
      <c r="S141" s="51" t="s">
        <v>252</v>
      </c>
      <c r="T141" s="62" t="s">
        <v>9</v>
      </c>
      <c r="U141" s="48">
        <v>1022</v>
      </c>
      <c r="V141" s="70">
        <v>896581.8</v>
      </c>
      <c r="W141" s="44">
        <f t="shared" si="30"/>
        <v>4.8920472403654519E-2</v>
      </c>
      <c r="X141" s="44">
        <f t="shared" si="31"/>
        <v>0.61130785877498439</v>
      </c>
      <c r="Y141" s="5" t="str">
        <f t="shared" si="32"/>
        <v>A</v>
      </c>
      <c r="AB141" s="51" t="s">
        <v>252</v>
      </c>
      <c r="AC141" s="62" t="s">
        <v>281</v>
      </c>
      <c r="AD141" s="5">
        <v>658</v>
      </c>
      <c r="AE141" s="70">
        <v>831261.6</v>
      </c>
      <c r="AF141" s="44">
        <f t="shared" si="33"/>
        <v>4.5324781356823884E-2</v>
      </c>
      <c r="AG141" s="44">
        <f t="shared" si="34"/>
        <v>0.6412987175563023</v>
      </c>
      <c r="AH141" s="5" t="str">
        <f t="shared" si="35"/>
        <v>A</v>
      </c>
    </row>
    <row r="142" spans="1:34" x14ac:dyDescent="0.3">
      <c r="A142" s="51" t="s">
        <v>252</v>
      </c>
      <c r="B142" s="21" t="s">
        <v>171</v>
      </c>
      <c r="C142" s="20">
        <v>106</v>
      </c>
      <c r="D142" s="47">
        <v>169571.06200000001</v>
      </c>
      <c r="E142" s="44">
        <f t="shared" si="24"/>
        <v>4.1468897912612816E-2</v>
      </c>
      <c r="F142" s="44">
        <f t="shared" si="25"/>
        <v>0.71791849366273053</v>
      </c>
      <c r="G142" s="5" t="str">
        <f t="shared" si="26"/>
        <v>A</v>
      </c>
      <c r="J142" s="51" t="s">
        <v>252</v>
      </c>
      <c r="K142" s="62" t="s">
        <v>9</v>
      </c>
      <c r="L142" s="5">
        <v>948</v>
      </c>
      <c r="M142" s="70">
        <v>806646.79999999993</v>
      </c>
      <c r="N142" s="44">
        <f t="shared" si="27"/>
        <v>4.6068740225549042E-2</v>
      </c>
      <c r="O142" s="44">
        <f t="shared" si="28"/>
        <v>0.66428952109196004</v>
      </c>
      <c r="P142" s="5" t="str">
        <f t="shared" si="29"/>
        <v>A</v>
      </c>
      <c r="S142" s="51" t="s">
        <v>252</v>
      </c>
      <c r="T142" s="62" t="s">
        <v>281</v>
      </c>
      <c r="U142" s="48">
        <v>662</v>
      </c>
      <c r="V142" s="70">
        <v>838683.5</v>
      </c>
      <c r="W142" s="44">
        <f t="shared" si="30"/>
        <v>4.576134940186203E-2</v>
      </c>
      <c r="X142" s="44">
        <f t="shared" si="31"/>
        <v>0.65706920817684644</v>
      </c>
      <c r="Y142" s="5" t="str">
        <f t="shared" si="32"/>
        <v>A</v>
      </c>
      <c r="AB142" s="51" t="s">
        <v>252</v>
      </c>
      <c r="AC142" s="62" t="s">
        <v>8</v>
      </c>
      <c r="AD142" s="5">
        <v>480</v>
      </c>
      <c r="AE142" s="70">
        <v>667137.60000000009</v>
      </c>
      <c r="AF142" s="44">
        <f t="shared" si="33"/>
        <v>3.6375872354642916E-2</v>
      </c>
      <c r="AG142" s="44">
        <f t="shared" si="34"/>
        <v>0.6776745899109452</v>
      </c>
      <c r="AH142" s="5" t="str">
        <f t="shared" si="35"/>
        <v>A</v>
      </c>
    </row>
    <row r="143" spans="1:34" x14ac:dyDescent="0.3">
      <c r="A143" s="51" t="s">
        <v>252</v>
      </c>
      <c r="B143" s="21" t="s">
        <v>13</v>
      </c>
      <c r="C143" s="20">
        <v>145</v>
      </c>
      <c r="D143" s="47">
        <v>162397.23920000001</v>
      </c>
      <c r="E143" s="44">
        <f t="shared" si="24"/>
        <v>3.9714527079360774E-2</v>
      </c>
      <c r="F143" s="44">
        <f t="shared" si="25"/>
        <v>0.75763302074209127</v>
      </c>
      <c r="G143" s="5" t="str">
        <f t="shared" si="26"/>
        <v>A</v>
      </c>
      <c r="J143" s="51" t="s">
        <v>252</v>
      </c>
      <c r="K143" s="62" t="s">
        <v>96</v>
      </c>
      <c r="L143" s="5">
        <v>1062</v>
      </c>
      <c r="M143" s="70">
        <v>730565.23999999987</v>
      </c>
      <c r="N143" s="44">
        <f t="shared" si="27"/>
        <v>4.1723614671719873E-2</v>
      </c>
      <c r="O143" s="44">
        <f t="shared" si="28"/>
        <v>0.70601313576367997</v>
      </c>
      <c r="P143" s="5" t="str">
        <f t="shared" si="29"/>
        <v>A</v>
      </c>
      <c r="S143" s="51" t="s">
        <v>252</v>
      </c>
      <c r="T143" s="62" t="s">
        <v>321</v>
      </c>
      <c r="U143" s="48">
        <v>255</v>
      </c>
      <c r="V143" s="70">
        <v>735618</v>
      </c>
      <c r="W143" s="44">
        <f t="shared" si="30"/>
        <v>4.0137754378497897E-2</v>
      </c>
      <c r="X143" s="44">
        <f t="shared" si="31"/>
        <v>0.69720696255534431</v>
      </c>
      <c r="Y143" s="5" t="str">
        <f t="shared" si="32"/>
        <v>A</v>
      </c>
      <c r="AB143" s="51" t="s">
        <v>252</v>
      </c>
      <c r="AC143" s="62" t="s">
        <v>9</v>
      </c>
      <c r="AD143" s="5">
        <v>700</v>
      </c>
      <c r="AE143" s="70">
        <v>634078.4</v>
      </c>
      <c r="AF143" s="44">
        <f t="shared" si="33"/>
        <v>3.4573309825793375E-2</v>
      </c>
      <c r="AG143" s="44">
        <f t="shared" si="34"/>
        <v>0.71224789973673852</v>
      </c>
      <c r="AH143" s="5" t="str">
        <f t="shared" si="35"/>
        <v>A</v>
      </c>
    </row>
    <row r="144" spans="1:34" x14ac:dyDescent="0.3">
      <c r="A144" s="51" t="s">
        <v>252</v>
      </c>
      <c r="B144" s="21" t="s">
        <v>92</v>
      </c>
      <c r="C144" s="20">
        <v>428</v>
      </c>
      <c r="D144" s="47">
        <v>136076.88290000003</v>
      </c>
      <c r="E144" s="44">
        <f t="shared" si="24"/>
        <v>3.327783820358847E-2</v>
      </c>
      <c r="F144" s="44">
        <f t="shared" si="25"/>
        <v>0.7909108589456797</v>
      </c>
      <c r="G144" s="5" t="str">
        <f t="shared" si="26"/>
        <v>A</v>
      </c>
      <c r="J144" s="51" t="s">
        <v>252</v>
      </c>
      <c r="K144" s="62" t="s">
        <v>184</v>
      </c>
      <c r="L144" s="5">
        <v>241</v>
      </c>
      <c r="M144" s="70">
        <v>544477.69999999995</v>
      </c>
      <c r="N144" s="44">
        <f t="shared" si="27"/>
        <v>3.1095891931765453E-2</v>
      </c>
      <c r="O144" s="44">
        <f t="shared" si="28"/>
        <v>0.7371090276954454</v>
      </c>
      <c r="P144" s="5" t="str">
        <f t="shared" si="29"/>
        <v>A</v>
      </c>
      <c r="S144" s="51" t="s">
        <v>252</v>
      </c>
      <c r="T144" s="62" t="s">
        <v>8</v>
      </c>
      <c r="U144" s="48">
        <v>388</v>
      </c>
      <c r="V144" s="70">
        <v>530989.6</v>
      </c>
      <c r="W144" s="44">
        <f t="shared" si="30"/>
        <v>2.8972551164241286E-2</v>
      </c>
      <c r="X144" s="44">
        <f t="shared" si="31"/>
        <v>0.72617951371958556</v>
      </c>
      <c r="Y144" s="5" t="str">
        <f t="shared" si="32"/>
        <v>A</v>
      </c>
      <c r="AB144" s="51" t="s">
        <v>252</v>
      </c>
      <c r="AC144" s="62" t="s">
        <v>23</v>
      </c>
      <c r="AD144" s="5">
        <v>1139</v>
      </c>
      <c r="AE144" s="70">
        <v>497309</v>
      </c>
      <c r="AF144" s="44">
        <f t="shared" si="33"/>
        <v>2.7115918372484341E-2</v>
      </c>
      <c r="AG144" s="44">
        <f t="shared" si="34"/>
        <v>0.73936381810922291</v>
      </c>
      <c r="AH144" s="5" t="str">
        <f t="shared" si="35"/>
        <v>A</v>
      </c>
    </row>
    <row r="145" spans="1:34" x14ac:dyDescent="0.3">
      <c r="A145" s="51" t="s">
        <v>252</v>
      </c>
      <c r="B145" s="21" t="s">
        <v>69</v>
      </c>
      <c r="C145" s="20">
        <v>184</v>
      </c>
      <c r="D145" s="47">
        <v>133649.9822</v>
      </c>
      <c r="E145" s="44">
        <f t="shared" si="24"/>
        <v>3.2684335419650316E-2</v>
      </c>
      <c r="F145" s="44">
        <f t="shared" si="25"/>
        <v>0.82359519436533002</v>
      </c>
      <c r="G145" s="5" t="str">
        <f t="shared" si="26"/>
        <v>B</v>
      </c>
      <c r="J145" s="51" t="s">
        <v>252</v>
      </c>
      <c r="K145" s="62" t="s">
        <v>19</v>
      </c>
      <c r="L145" s="5">
        <v>718</v>
      </c>
      <c r="M145" s="70">
        <v>488779</v>
      </c>
      <c r="N145" s="44">
        <f t="shared" si="27"/>
        <v>2.7914860356110797E-2</v>
      </c>
      <c r="O145" s="44">
        <f t="shared" si="28"/>
        <v>0.76502388805155619</v>
      </c>
      <c r="P145" s="5" t="str">
        <f t="shared" si="29"/>
        <v>A</v>
      </c>
      <c r="S145" s="51" t="s">
        <v>252</v>
      </c>
      <c r="T145" s="62" t="s">
        <v>194</v>
      </c>
      <c r="U145" s="48">
        <v>169</v>
      </c>
      <c r="V145" s="70">
        <v>510790.50000000006</v>
      </c>
      <c r="W145" s="44">
        <f t="shared" si="30"/>
        <v>2.7870421370698017E-2</v>
      </c>
      <c r="X145" s="44">
        <f t="shared" si="31"/>
        <v>0.75404993509028362</v>
      </c>
      <c r="Y145" s="5" t="str">
        <f t="shared" si="32"/>
        <v>A</v>
      </c>
      <c r="AB145" s="51" t="s">
        <v>252</v>
      </c>
      <c r="AC145" s="62" t="s">
        <v>278</v>
      </c>
      <c r="AD145" s="5">
        <v>310</v>
      </c>
      <c r="AE145" s="70">
        <v>496491.2</v>
      </c>
      <c r="AF145" s="44">
        <f t="shared" si="33"/>
        <v>2.70713275887965E-2</v>
      </c>
      <c r="AG145" s="44">
        <f t="shared" si="34"/>
        <v>0.7664351456980194</v>
      </c>
      <c r="AH145" s="5" t="str">
        <f t="shared" si="35"/>
        <v>A</v>
      </c>
    </row>
    <row r="146" spans="1:34" x14ac:dyDescent="0.3">
      <c r="A146" s="51" t="s">
        <v>252</v>
      </c>
      <c r="B146" s="21" t="s">
        <v>178</v>
      </c>
      <c r="C146" s="20">
        <v>144</v>
      </c>
      <c r="D146" s="47">
        <v>118028.9065</v>
      </c>
      <c r="E146" s="44">
        <f t="shared" si="24"/>
        <v>2.8864174209074795E-2</v>
      </c>
      <c r="F146" s="44">
        <f t="shared" si="25"/>
        <v>0.85245936857440485</v>
      </c>
      <c r="G146" s="5" t="str">
        <f t="shared" si="26"/>
        <v>B</v>
      </c>
      <c r="J146" s="51" t="s">
        <v>252</v>
      </c>
      <c r="K146" s="63" t="s">
        <v>194</v>
      </c>
      <c r="L146" s="5">
        <v>155</v>
      </c>
      <c r="M146" s="70">
        <v>451577.47</v>
      </c>
      <c r="N146" s="44">
        <f t="shared" si="27"/>
        <v>2.5790228334310213E-2</v>
      </c>
      <c r="O146" s="44">
        <f t="shared" si="28"/>
        <v>0.79081411638586641</v>
      </c>
      <c r="P146" s="5" t="str">
        <f t="shared" si="29"/>
        <v>A</v>
      </c>
      <c r="S146" s="51" t="s">
        <v>252</v>
      </c>
      <c r="T146" s="62" t="s">
        <v>23</v>
      </c>
      <c r="U146" s="48">
        <v>1258</v>
      </c>
      <c r="V146" s="70">
        <v>426021.99999999988</v>
      </c>
      <c r="W146" s="44">
        <f t="shared" si="30"/>
        <v>2.3245171265298601E-2</v>
      </c>
      <c r="X146" s="44">
        <f t="shared" si="31"/>
        <v>0.77729510635558219</v>
      </c>
      <c r="Y146" s="5" t="str">
        <f t="shared" si="32"/>
        <v>A</v>
      </c>
      <c r="AB146" s="51" t="s">
        <v>252</v>
      </c>
      <c r="AC146" s="62" t="s">
        <v>94</v>
      </c>
      <c r="AD146" s="5">
        <v>726</v>
      </c>
      <c r="AE146" s="70">
        <v>473996.60000000003</v>
      </c>
      <c r="AF146" s="44">
        <f t="shared" si="33"/>
        <v>2.5844802958392293E-2</v>
      </c>
      <c r="AG146" s="44">
        <f t="shared" si="34"/>
        <v>0.79227994865641171</v>
      </c>
      <c r="AH146" s="5" t="str">
        <f t="shared" si="35"/>
        <v>A</v>
      </c>
    </row>
    <row r="147" spans="1:34" x14ac:dyDescent="0.3">
      <c r="A147" s="51" t="s">
        <v>252</v>
      </c>
      <c r="B147" s="21" t="s">
        <v>39</v>
      </c>
      <c r="C147" s="20">
        <v>119</v>
      </c>
      <c r="D147" s="47">
        <v>99243.743799999997</v>
      </c>
      <c r="E147" s="44">
        <f t="shared" si="24"/>
        <v>2.4270230023727166E-2</v>
      </c>
      <c r="F147" s="44">
        <f t="shared" si="25"/>
        <v>0.87672959859813204</v>
      </c>
      <c r="G147" s="5" t="str">
        <f t="shared" si="26"/>
        <v>B</v>
      </c>
      <c r="J147" s="51" t="s">
        <v>252</v>
      </c>
      <c r="K147" s="62" t="s">
        <v>94</v>
      </c>
      <c r="L147" s="5">
        <v>642</v>
      </c>
      <c r="M147" s="70">
        <v>406849.6</v>
      </c>
      <c r="N147" s="44">
        <f t="shared" si="27"/>
        <v>2.3235756384663693E-2</v>
      </c>
      <c r="O147" s="44">
        <f t="shared" si="28"/>
        <v>0.81404987277053009</v>
      </c>
      <c r="P147" s="5" t="str">
        <f t="shared" si="29"/>
        <v>B</v>
      </c>
      <c r="S147" s="51" t="s">
        <v>252</v>
      </c>
      <c r="T147" s="62" t="s">
        <v>241</v>
      </c>
      <c r="U147" s="48">
        <v>264</v>
      </c>
      <c r="V147" s="70">
        <v>414706.2</v>
      </c>
      <c r="W147" s="44">
        <f t="shared" si="30"/>
        <v>2.2627743740419926E-2</v>
      </c>
      <c r="X147" s="44">
        <f t="shared" si="31"/>
        <v>0.79992285009600206</v>
      </c>
      <c r="Y147" s="5" t="str">
        <f t="shared" si="32"/>
        <v>A</v>
      </c>
      <c r="AB147" s="51" t="s">
        <v>252</v>
      </c>
      <c r="AC147" s="62" t="s">
        <v>19</v>
      </c>
      <c r="AD147" s="5">
        <v>608</v>
      </c>
      <c r="AE147" s="70">
        <v>432385.4</v>
      </c>
      <c r="AF147" s="44">
        <f t="shared" si="33"/>
        <v>2.3575940133506515E-2</v>
      </c>
      <c r="AG147" s="44">
        <f t="shared" si="34"/>
        <v>0.81585588878991822</v>
      </c>
      <c r="AH147" s="5" t="str">
        <f t="shared" si="35"/>
        <v>B</v>
      </c>
    </row>
    <row r="148" spans="1:34" x14ac:dyDescent="0.3">
      <c r="A148" s="51" t="s">
        <v>252</v>
      </c>
      <c r="B148" s="21" t="s">
        <v>194</v>
      </c>
      <c r="C148" s="20">
        <v>29</v>
      </c>
      <c r="D148" s="47">
        <v>90704.425499999998</v>
      </c>
      <c r="E148" s="44">
        <f t="shared" si="24"/>
        <v>2.2181924892831623E-2</v>
      </c>
      <c r="F148" s="44">
        <f t="shared" si="25"/>
        <v>0.8989115234909637</v>
      </c>
      <c r="G148" s="5" t="str">
        <f t="shared" si="26"/>
        <v>B</v>
      </c>
      <c r="J148" s="51" t="s">
        <v>252</v>
      </c>
      <c r="K148" s="62" t="s">
        <v>8</v>
      </c>
      <c r="L148" s="5">
        <v>284</v>
      </c>
      <c r="M148" s="70">
        <v>374550.6</v>
      </c>
      <c r="N148" s="44">
        <f t="shared" si="27"/>
        <v>2.1391114788682639E-2</v>
      </c>
      <c r="O148" s="44">
        <f t="shared" si="28"/>
        <v>0.8354409875592127</v>
      </c>
      <c r="P148" s="5" t="str">
        <f t="shared" si="29"/>
        <v>B</v>
      </c>
      <c r="S148" s="51" t="s">
        <v>252</v>
      </c>
      <c r="T148" s="62" t="s">
        <v>167</v>
      </c>
      <c r="U148" s="48">
        <v>290</v>
      </c>
      <c r="V148" s="70">
        <v>403336.24</v>
      </c>
      <c r="W148" s="44">
        <f t="shared" si="30"/>
        <v>2.2007361066568355E-2</v>
      </c>
      <c r="X148" s="44">
        <f t="shared" si="31"/>
        <v>0.82193021116257037</v>
      </c>
      <c r="Y148" s="5" t="str">
        <f t="shared" si="32"/>
        <v>B</v>
      </c>
      <c r="AB148" s="51" t="s">
        <v>252</v>
      </c>
      <c r="AC148" s="62" t="s">
        <v>194</v>
      </c>
      <c r="AD148" s="5">
        <v>110</v>
      </c>
      <c r="AE148" s="70">
        <v>370547.36999999994</v>
      </c>
      <c r="AF148" s="44">
        <f t="shared" si="33"/>
        <v>2.0204203499351009E-2</v>
      </c>
      <c r="AG148" s="44">
        <f t="shared" si="34"/>
        <v>0.83606009228926925</v>
      </c>
      <c r="AH148" s="5" t="str">
        <f t="shared" si="35"/>
        <v>B</v>
      </c>
    </row>
    <row r="149" spans="1:34" x14ac:dyDescent="0.3">
      <c r="A149" s="51" t="s">
        <v>252</v>
      </c>
      <c r="B149" s="21" t="s">
        <v>281</v>
      </c>
      <c r="C149" s="20">
        <v>96</v>
      </c>
      <c r="D149" s="47">
        <v>78042.848599999998</v>
      </c>
      <c r="E149" s="44">
        <f t="shared" si="24"/>
        <v>1.9085514257160797E-2</v>
      </c>
      <c r="F149" s="44">
        <f t="shared" si="25"/>
        <v>0.91799703774812447</v>
      </c>
      <c r="G149" s="5" t="str">
        <f t="shared" si="26"/>
        <v>B</v>
      </c>
      <c r="J149" s="51" t="s">
        <v>252</v>
      </c>
      <c r="K149" s="62" t="s">
        <v>167</v>
      </c>
      <c r="L149" s="5">
        <v>274</v>
      </c>
      <c r="M149" s="70">
        <v>369409.19999999995</v>
      </c>
      <c r="N149" s="44">
        <f t="shared" si="27"/>
        <v>2.1097482159140642E-2</v>
      </c>
      <c r="O149" s="44">
        <f t="shared" si="28"/>
        <v>0.85653846971835335</v>
      </c>
      <c r="P149" s="5" t="str">
        <f t="shared" si="29"/>
        <v>B</v>
      </c>
      <c r="S149" s="51" t="s">
        <v>252</v>
      </c>
      <c r="T149" s="62" t="s">
        <v>286</v>
      </c>
      <c r="U149" s="48">
        <v>333</v>
      </c>
      <c r="V149" s="70">
        <v>390475</v>
      </c>
      <c r="W149" s="44">
        <f t="shared" si="30"/>
        <v>2.130560921693592E-2</v>
      </c>
      <c r="X149" s="44">
        <f t="shared" si="31"/>
        <v>0.84323582037950628</v>
      </c>
      <c r="Y149" s="5" t="str">
        <f t="shared" si="32"/>
        <v>B</v>
      </c>
      <c r="AB149" s="51" t="s">
        <v>252</v>
      </c>
      <c r="AC149" s="62" t="s">
        <v>185</v>
      </c>
      <c r="AD149" s="5">
        <v>228</v>
      </c>
      <c r="AE149" s="70">
        <v>337819</v>
      </c>
      <c r="AF149" s="44">
        <f t="shared" si="33"/>
        <v>1.8419679572809437E-2</v>
      </c>
      <c r="AG149" s="44">
        <f t="shared" si="34"/>
        <v>0.85447977186207869</v>
      </c>
      <c r="AH149" s="5" t="str">
        <f t="shared" si="35"/>
        <v>B</v>
      </c>
    </row>
    <row r="150" spans="1:34" x14ac:dyDescent="0.3">
      <c r="A150" s="51" t="s">
        <v>252</v>
      </c>
      <c r="B150" s="21" t="s">
        <v>84</v>
      </c>
      <c r="C150" s="20">
        <v>58</v>
      </c>
      <c r="D150" s="47">
        <v>62196.559699999998</v>
      </c>
      <c r="E150" s="44">
        <f t="shared" si="24"/>
        <v>1.521027676712332E-2</v>
      </c>
      <c r="F150" s="44">
        <f t="shared" si="25"/>
        <v>0.93320731451524774</v>
      </c>
      <c r="G150" s="5" t="str">
        <f t="shared" si="26"/>
        <v>B</v>
      </c>
      <c r="J150" s="51" t="s">
        <v>252</v>
      </c>
      <c r="K150" s="62" t="s">
        <v>39</v>
      </c>
      <c r="L150" s="5">
        <v>288</v>
      </c>
      <c r="M150" s="70">
        <v>337750.4</v>
      </c>
      <c r="N150" s="44">
        <f t="shared" si="27"/>
        <v>1.9289403291099995E-2</v>
      </c>
      <c r="O150" s="44">
        <f t="shared" si="28"/>
        <v>0.87582787300945331</v>
      </c>
      <c r="P150" s="5" t="str">
        <f t="shared" si="29"/>
        <v>B</v>
      </c>
      <c r="S150" s="51" t="s">
        <v>252</v>
      </c>
      <c r="T150" s="62" t="s">
        <v>94</v>
      </c>
      <c r="U150" s="48">
        <v>570</v>
      </c>
      <c r="V150" s="70">
        <v>366786.96000000014</v>
      </c>
      <c r="W150" s="44">
        <f t="shared" si="30"/>
        <v>2.0013111301947394E-2</v>
      </c>
      <c r="X150" s="44">
        <f t="shared" si="31"/>
        <v>0.86324893168145367</v>
      </c>
      <c r="Y150" s="5" t="str">
        <f t="shared" si="32"/>
        <v>B</v>
      </c>
      <c r="AB150" s="51" t="s">
        <v>252</v>
      </c>
      <c r="AC150" s="62" t="s">
        <v>241</v>
      </c>
      <c r="AD150" s="5">
        <v>198</v>
      </c>
      <c r="AE150" s="70">
        <v>323336.09999999998</v>
      </c>
      <c r="AF150" s="44">
        <f t="shared" si="33"/>
        <v>1.7629995223246379E-2</v>
      </c>
      <c r="AG150" s="44">
        <f t="shared" si="34"/>
        <v>0.87210976708532506</v>
      </c>
      <c r="AH150" s="5" t="str">
        <f t="shared" si="35"/>
        <v>B</v>
      </c>
    </row>
    <row r="151" spans="1:34" x14ac:dyDescent="0.3">
      <c r="A151" s="51" t="s">
        <v>252</v>
      </c>
      <c r="B151" s="21" t="s">
        <v>8</v>
      </c>
      <c r="C151" s="20">
        <v>60</v>
      </c>
      <c r="D151" s="47">
        <v>55893.715299999996</v>
      </c>
      <c r="E151" s="44">
        <f t="shared" si="24"/>
        <v>1.3668905215279862E-2</v>
      </c>
      <c r="F151" s="44">
        <f t="shared" si="25"/>
        <v>0.9468762197305276</v>
      </c>
      <c r="G151" s="5" t="str">
        <f t="shared" si="26"/>
        <v>B</v>
      </c>
      <c r="J151" s="51" t="s">
        <v>252</v>
      </c>
      <c r="K151" s="62" t="s">
        <v>23</v>
      </c>
      <c r="L151" s="5">
        <v>842</v>
      </c>
      <c r="M151" s="70">
        <v>329473.20000000007</v>
      </c>
      <c r="N151" s="44">
        <f t="shared" si="27"/>
        <v>1.8816680686119833E-2</v>
      </c>
      <c r="O151" s="44">
        <f t="shared" si="28"/>
        <v>0.89464455369557316</v>
      </c>
      <c r="P151" s="5" t="str">
        <f t="shared" si="29"/>
        <v>B</v>
      </c>
      <c r="S151" s="51" t="s">
        <v>252</v>
      </c>
      <c r="T151" s="63" t="s">
        <v>278</v>
      </c>
      <c r="U151" s="48">
        <v>231</v>
      </c>
      <c r="V151" s="70">
        <v>362606.14</v>
      </c>
      <c r="W151" s="44">
        <f t="shared" si="30"/>
        <v>1.9784991916259827E-2</v>
      </c>
      <c r="X151" s="44">
        <f t="shared" si="31"/>
        <v>0.88303392359771349</v>
      </c>
      <c r="Y151" s="5" t="str">
        <f t="shared" si="32"/>
        <v>B</v>
      </c>
      <c r="AB151" s="51" t="s">
        <v>252</v>
      </c>
      <c r="AC151" s="63" t="s">
        <v>39</v>
      </c>
      <c r="AD151" s="5">
        <v>242</v>
      </c>
      <c r="AE151" s="70">
        <v>303504.80000000005</v>
      </c>
      <c r="AF151" s="44">
        <f t="shared" si="33"/>
        <v>1.6548687802668334E-2</v>
      </c>
      <c r="AG151" s="44">
        <f t="shared" si="34"/>
        <v>0.88865845488799344</v>
      </c>
      <c r="AH151" s="5" t="str">
        <f t="shared" si="35"/>
        <v>B</v>
      </c>
    </row>
    <row r="152" spans="1:34" x14ac:dyDescent="0.3">
      <c r="A152" s="51" t="s">
        <v>252</v>
      </c>
      <c r="B152" s="50" t="s">
        <v>17</v>
      </c>
      <c r="C152" s="20">
        <v>168</v>
      </c>
      <c r="D152" s="47">
        <v>52275.488599999997</v>
      </c>
      <c r="E152" s="44">
        <f t="shared" si="24"/>
        <v>1.2784061587615431E-2</v>
      </c>
      <c r="F152" s="44">
        <f t="shared" si="25"/>
        <v>0.95966028131814307</v>
      </c>
      <c r="G152" s="5" t="str">
        <f t="shared" si="26"/>
        <v>C</v>
      </c>
      <c r="J152" s="51" t="s">
        <v>252</v>
      </c>
      <c r="K152" s="62" t="s">
        <v>185</v>
      </c>
      <c r="L152" s="5">
        <v>226</v>
      </c>
      <c r="M152" s="70">
        <v>301883.90000000002</v>
      </c>
      <c r="N152" s="44">
        <f t="shared" si="27"/>
        <v>1.7241016721786569E-2</v>
      </c>
      <c r="O152" s="44">
        <f t="shared" si="28"/>
        <v>0.91188557041735974</v>
      </c>
      <c r="P152" s="5" t="str">
        <f t="shared" si="29"/>
        <v>B</v>
      </c>
      <c r="S152" s="51" t="s">
        <v>252</v>
      </c>
      <c r="T152" s="62" t="s">
        <v>178</v>
      </c>
      <c r="U152" s="48">
        <v>279</v>
      </c>
      <c r="V152" s="70">
        <v>338965.2</v>
      </c>
      <c r="W152" s="44">
        <f t="shared" si="30"/>
        <v>1.8495063933262123E-2</v>
      </c>
      <c r="X152" s="44">
        <f t="shared" si="31"/>
        <v>0.90152898753097566</v>
      </c>
      <c r="Y152" s="5" t="str">
        <f t="shared" si="32"/>
        <v>B</v>
      </c>
      <c r="AB152" s="51" t="s">
        <v>252</v>
      </c>
      <c r="AC152" s="62" t="s">
        <v>167</v>
      </c>
      <c r="AD152" s="5">
        <v>177</v>
      </c>
      <c r="AE152" s="70">
        <v>250068.5</v>
      </c>
      <c r="AF152" s="44">
        <f t="shared" si="33"/>
        <v>1.3635057948940399E-2</v>
      </c>
      <c r="AG152" s="44">
        <f t="shared" si="34"/>
        <v>0.90229351283693382</v>
      </c>
      <c r="AH152" s="5" t="str">
        <f t="shared" si="35"/>
        <v>B</v>
      </c>
    </row>
    <row r="153" spans="1:34" x14ac:dyDescent="0.3">
      <c r="A153" s="51" t="s">
        <v>252</v>
      </c>
      <c r="B153" s="21" t="s">
        <v>9</v>
      </c>
      <c r="C153" s="20">
        <v>92</v>
      </c>
      <c r="D153" s="47">
        <v>50453.993399999992</v>
      </c>
      <c r="E153" s="44">
        <f t="shared" si="24"/>
        <v>1.2338611770847082E-2</v>
      </c>
      <c r="F153" s="44">
        <f t="shared" si="25"/>
        <v>0.97199889308899012</v>
      </c>
      <c r="G153" s="5" t="str">
        <f t="shared" si="26"/>
        <v>C</v>
      </c>
      <c r="J153" s="51" t="s">
        <v>252</v>
      </c>
      <c r="K153" s="62" t="s">
        <v>241</v>
      </c>
      <c r="L153" s="5">
        <v>170</v>
      </c>
      <c r="M153" s="70">
        <v>276964.89999999997</v>
      </c>
      <c r="N153" s="44">
        <f t="shared" si="27"/>
        <v>1.5817857369167233E-2</v>
      </c>
      <c r="O153" s="44">
        <f t="shared" si="28"/>
        <v>0.92770342778652692</v>
      </c>
      <c r="P153" s="5" t="str">
        <f t="shared" si="29"/>
        <v>B</v>
      </c>
      <c r="S153" s="51" t="s">
        <v>252</v>
      </c>
      <c r="T153" s="62" t="s">
        <v>19</v>
      </c>
      <c r="U153" s="48">
        <v>460</v>
      </c>
      <c r="V153" s="70">
        <v>329896.2</v>
      </c>
      <c r="W153" s="44">
        <f t="shared" si="30"/>
        <v>1.8000229257576376E-2</v>
      </c>
      <c r="X153" s="44">
        <f t="shared" si="31"/>
        <v>0.91952921678855204</v>
      </c>
      <c r="Y153" s="5" t="str">
        <f t="shared" si="32"/>
        <v>B</v>
      </c>
      <c r="AB153" s="51" t="s">
        <v>252</v>
      </c>
      <c r="AC153" s="62" t="s">
        <v>178</v>
      </c>
      <c r="AD153" s="5">
        <v>182</v>
      </c>
      <c r="AE153" s="70">
        <v>224443.4</v>
      </c>
      <c r="AF153" s="44">
        <f t="shared" si="33"/>
        <v>1.2237841892350334E-2</v>
      </c>
      <c r="AG153" s="44">
        <f t="shared" si="34"/>
        <v>0.91453135472928415</v>
      </c>
      <c r="AH153" s="5" t="str">
        <f t="shared" si="35"/>
        <v>B</v>
      </c>
    </row>
    <row r="154" spans="1:34" x14ac:dyDescent="0.3">
      <c r="A154" s="51" t="s">
        <v>252</v>
      </c>
      <c r="B154" s="21" t="s">
        <v>278</v>
      </c>
      <c r="C154" s="20">
        <v>41</v>
      </c>
      <c r="D154" s="47">
        <v>40022.090499999998</v>
      </c>
      <c r="E154" s="44">
        <f t="shared" si="24"/>
        <v>9.787471786865681E-3</v>
      </c>
      <c r="F154" s="44">
        <f t="shared" si="25"/>
        <v>0.9817863648758558</v>
      </c>
      <c r="G154" s="5" t="str">
        <f t="shared" si="26"/>
        <v>C</v>
      </c>
      <c r="J154" s="51" t="s">
        <v>252</v>
      </c>
      <c r="K154" s="62" t="s">
        <v>178</v>
      </c>
      <c r="L154" s="5">
        <v>164</v>
      </c>
      <c r="M154" s="70">
        <v>192879.4</v>
      </c>
      <c r="N154" s="44">
        <f t="shared" si="27"/>
        <v>1.1015615475645306E-2</v>
      </c>
      <c r="O154" s="44">
        <f t="shared" si="28"/>
        <v>0.93871904326217226</v>
      </c>
      <c r="P154" s="5" t="str">
        <f t="shared" si="29"/>
        <v>B</v>
      </c>
      <c r="S154" s="51" t="s">
        <v>252</v>
      </c>
      <c r="T154" s="62" t="s">
        <v>185</v>
      </c>
      <c r="U154" s="48">
        <v>216</v>
      </c>
      <c r="V154" s="70">
        <v>300633.5</v>
      </c>
      <c r="W154" s="44">
        <f t="shared" si="30"/>
        <v>1.6403559430231654E-2</v>
      </c>
      <c r="X154" s="44">
        <f t="shared" si="31"/>
        <v>0.93593277621878368</v>
      </c>
      <c r="Y154" s="5" t="str">
        <f t="shared" si="32"/>
        <v>B</v>
      </c>
      <c r="AB154" s="51" t="s">
        <v>252</v>
      </c>
      <c r="AC154" s="62" t="s">
        <v>69</v>
      </c>
      <c r="AD154" s="5">
        <v>315</v>
      </c>
      <c r="AE154" s="70">
        <v>213043.90000000002</v>
      </c>
      <c r="AF154" s="44">
        <f t="shared" si="33"/>
        <v>1.1616280827726257E-2</v>
      </c>
      <c r="AG154" s="44">
        <f t="shared" si="34"/>
        <v>0.92614763555701041</v>
      </c>
      <c r="AH154" s="5" t="str">
        <f t="shared" si="35"/>
        <v>B</v>
      </c>
    </row>
    <row r="155" spans="1:34" x14ac:dyDescent="0.3">
      <c r="A155" s="51" t="s">
        <v>252</v>
      </c>
      <c r="B155" s="21" t="s">
        <v>321</v>
      </c>
      <c r="C155" s="20">
        <v>18</v>
      </c>
      <c r="D155" s="47">
        <v>37346.008400000006</v>
      </c>
      <c r="E155" s="44">
        <f t="shared" si="24"/>
        <v>9.1330312585008212E-3</v>
      </c>
      <c r="F155" s="44">
        <f t="shared" si="25"/>
        <v>0.99091939613435664</v>
      </c>
      <c r="G155" s="5" t="str">
        <f t="shared" si="26"/>
        <v>C</v>
      </c>
      <c r="J155" s="51" t="s">
        <v>252</v>
      </c>
      <c r="K155" s="62" t="s">
        <v>286</v>
      </c>
      <c r="L155" s="5">
        <v>209</v>
      </c>
      <c r="M155" s="70">
        <v>146596.65</v>
      </c>
      <c r="N155" s="44">
        <f t="shared" si="27"/>
        <v>8.3723421289041665E-3</v>
      </c>
      <c r="O155" s="44">
        <f t="shared" si="28"/>
        <v>0.9470913853910764</v>
      </c>
      <c r="P155" s="5" t="str">
        <f t="shared" si="29"/>
        <v>B</v>
      </c>
      <c r="S155" s="51" t="s">
        <v>252</v>
      </c>
      <c r="T155" s="62" t="s">
        <v>39</v>
      </c>
      <c r="U155" s="48">
        <v>204</v>
      </c>
      <c r="V155" s="70">
        <v>237773</v>
      </c>
      <c r="W155" s="44">
        <f t="shared" si="30"/>
        <v>1.2973682362093614E-2</v>
      </c>
      <c r="X155" s="44">
        <f t="shared" si="31"/>
        <v>0.9489064585808773</v>
      </c>
      <c r="Y155" s="5" t="str">
        <f t="shared" si="32"/>
        <v>B</v>
      </c>
      <c r="AB155" s="51" t="s">
        <v>252</v>
      </c>
      <c r="AC155" s="62" t="s">
        <v>321</v>
      </c>
      <c r="AD155" s="5">
        <v>55</v>
      </c>
      <c r="AE155" s="70">
        <v>172508.29</v>
      </c>
      <c r="AF155" s="44">
        <f t="shared" si="33"/>
        <v>9.4060648615184057E-3</v>
      </c>
      <c r="AG155" s="44">
        <f t="shared" si="34"/>
        <v>0.93555370041852881</v>
      </c>
      <c r="AH155" s="5" t="str">
        <f t="shared" si="35"/>
        <v>B</v>
      </c>
    </row>
    <row r="156" spans="1:34" x14ac:dyDescent="0.3">
      <c r="A156" s="51" t="s">
        <v>252</v>
      </c>
      <c r="B156" s="21" t="s">
        <v>266</v>
      </c>
      <c r="C156" s="20">
        <v>8</v>
      </c>
      <c r="D156" s="47">
        <v>13163.704600000001</v>
      </c>
      <c r="E156" s="44">
        <f t="shared" si="24"/>
        <v>3.219206837362331E-3</v>
      </c>
      <c r="F156" s="44">
        <f t="shared" si="25"/>
        <v>0.99413860297171897</v>
      </c>
      <c r="G156" s="5" t="str">
        <f t="shared" si="26"/>
        <v>C</v>
      </c>
      <c r="J156" s="51" t="s">
        <v>252</v>
      </c>
      <c r="K156" s="62" t="s">
        <v>69</v>
      </c>
      <c r="L156" s="5">
        <v>220</v>
      </c>
      <c r="M156" s="70">
        <v>133011.97999999998</v>
      </c>
      <c r="N156" s="44">
        <f t="shared" si="27"/>
        <v>7.596502401678063E-3</v>
      </c>
      <c r="O156" s="44">
        <f t="shared" si="28"/>
        <v>0.95468788779275449</v>
      </c>
      <c r="P156" s="5" t="str">
        <f t="shared" si="29"/>
        <v>C</v>
      </c>
      <c r="S156" s="51" t="s">
        <v>252</v>
      </c>
      <c r="T156" s="62" t="s">
        <v>171</v>
      </c>
      <c r="U156" s="48">
        <v>115</v>
      </c>
      <c r="V156" s="70">
        <v>185795.5</v>
      </c>
      <c r="W156" s="44">
        <f t="shared" si="30"/>
        <v>1.0137617817440854E-2</v>
      </c>
      <c r="X156" s="44">
        <f t="shared" si="31"/>
        <v>0.95904407639831812</v>
      </c>
      <c r="Y156" s="5" t="str">
        <f t="shared" si="32"/>
        <v>C</v>
      </c>
      <c r="AB156" s="51" t="s">
        <v>252</v>
      </c>
      <c r="AC156" s="62" t="s">
        <v>286</v>
      </c>
      <c r="AD156" s="5">
        <v>189</v>
      </c>
      <c r="AE156" s="70">
        <v>142766.70000000001</v>
      </c>
      <c r="AF156" s="44">
        <f t="shared" si="33"/>
        <v>7.7843959862157345E-3</v>
      </c>
      <c r="AG156" s="44">
        <f t="shared" si="34"/>
        <v>0.94333809640474453</v>
      </c>
      <c r="AH156" s="5" t="str">
        <f t="shared" si="35"/>
        <v>B</v>
      </c>
    </row>
    <row r="157" spans="1:34" x14ac:dyDescent="0.3">
      <c r="A157" s="51" t="s">
        <v>252</v>
      </c>
      <c r="B157" s="21" t="s">
        <v>63</v>
      </c>
      <c r="C157" s="20">
        <v>6</v>
      </c>
      <c r="D157" s="47">
        <v>9761.6744999999992</v>
      </c>
      <c r="E157" s="44">
        <f t="shared" si="24"/>
        <v>2.3872344639597511E-3</v>
      </c>
      <c r="F157" s="44">
        <f t="shared" si="25"/>
        <v>0.99652583743567869</v>
      </c>
      <c r="G157" s="5" t="str">
        <f t="shared" si="26"/>
        <v>C</v>
      </c>
      <c r="J157" s="51" t="s">
        <v>252</v>
      </c>
      <c r="K157" s="53" t="s">
        <v>321</v>
      </c>
      <c r="L157" s="5">
        <v>49</v>
      </c>
      <c r="M157" s="70">
        <v>122342.5</v>
      </c>
      <c r="N157" s="44">
        <f t="shared" si="27"/>
        <v>6.9871533006071974E-3</v>
      </c>
      <c r="O157" s="44">
        <f t="shared" si="28"/>
        <v>0.96167504109336166</v>
      </c>
      <c r="P157" s="5" t="str">
        <f t="shared" si="29"/>
        <v>C</v>
      </c>
      <c r="S157" s="51" t="s">
        <v>252</v>
      </c>
      <c r="T157" s="53" t="s">
        <v>98</v>
      </c>
      <c r="U157" s="48">
        <v>157</v>
      </c>
      <c r="V157" s="70">
        <v>150177.99999999997</v>
      </c>
      <c r="W157" s="44">
        <f t="shared" si="30"/>
        <v>8.1942090555887099E-3</v>
      </c>
      <c r="X157" s="44">
        <f t="shared" si="31"/>
        <v>0.96723828545390689</v>
      </c>
      <c r="Y157" s="5" t="str">
        <f t="shared" si="32"/>
        <v>C</v>
      </c>
      <c r="AB157" s="51" t="s">
        <v>252</v>
      </c>
      <c r="AC157" s="53" t="s">
        <v>266</v>
      </c>
      <c r="AD157" s="5">
        <v>75</v>
      </c>
      <c r="AE157" s="70">
        <v>133312.1</v>
      </c>
      <c r="AF157" s="44">
        <f t="shared" si="33"/>
        <v>7.2688811617414324E-3</v>
      </c>
      <c r="AG157" s="44">
        <f t="shared" si="34"/>
        <v>0.95060697756648593</v>
      </c>
      <c r="AH157" s="5" t="str">
        <f t="shared" si="35"/>
        <v>C</v>
      </c>
    </row>
    <row r="158" spans="1:34" x14ac:dyDescent="0.3">
      <c r="A158" s="51" t="s">
        <v>252</v>
      </c>
      <c r="B158" s="53" t="s">
        <v>90</v>
      </c>
      <c r="C158" s="20">
        <v>4</v>
      </c>
      <c r="D158" s="47">
        <v>6206.0105999999996</v>
      </c>
      <c r="E158" s="44">
        <f t="shared" si="24"/>
        <v>1.5176906777643049E-3</v>
      </c>
      <c r="F158" s="44">
        <f t="shared" si="25"/>
        <v>0.99804352811344299</v>
      </c>
      <c r="G158" s="5" t="str">
        <f t="shared" si="26"/>
        <v>C</v>
      </c>
      <c r="J158" s="51" t="s">
        <v>252</v>
      </c>
      <c r="K158" s="62" t="s">
        <v>171</v>
      </c>
      <c r="L158" s="5">
        <v>73</v>
      </c>
      <c r="M158" s="70">
        <v>119849.80000000002</v>
      </c>
      <c r="N158" s="44">
        <f t="shared" si="27"/>
        <v>6.8447916762131933E-3</v>
      </c>
      <c r="O158" s="44">
        <f t="shared" si="28"/>
        <v>0.96851983276957487</v>
      </c>
      <c r="P158" s="5" t="str">
        <f t="shared" si="29"/>
        <v>C</v>
      </c>
      <c r="S158" s="51" t="s">
        <v>252</v>
      </c>
      <c r="T158" s="62" t="s">
        <v>69</v>
      </c>
      <c r="U158" s="48">
        <v>240</v>
      </c>
      <c r="V158" s="70">
        <v>121822.55</v>
      </c>
      <c r="W158" s="44">
        <f t="shared" si="30"/>
        <v>6.6470417929717319E-3</v>
      </c>
      <c r="X158" s="44">
        <f t="shared" si="31"/>
        <v>0.9738853272468786</v>
      </c>
      <c r="Y158" s="5" t="str">
        <f t="shared" si="32"/>
        <v>C</v>
      </c>
      <c r="AB158" s="51" t="s">
        <v>252</v>
      </c>
      <c r="AC158" s="62" t="s">
        <v>90</v>
      </c>
      <c r="AD158" s="5">
        <v>68</v>
      </c>
      <c r="AE158" s="70">
        <v>125400.2</v>
      </c>
      <c r="AF158" s="44">
        <f t="shared" si="33"/>
        <v>6.8374825050284849E-3</v>
      </c>
      <c r="AG158" s="44">
        <f t="shared" si="34"/>
        <v>0.9574444600715144</v>
      </c>
      <c r="AH158" s="5" t="str">
        <f t="shared" si="35"/>
        <v>C</v>
      </c>
    </row>
    <row r="159" spans="1:34" x14ac:dyDescent="0.3">
      <c r="A159" s="51" t="s">
        <v>252</v>
      </c>
      <c r="B159" s="21" t="s">
        <v>286</v>
      </c>
      <c r="C159" s="20">
        <v>10</v>
      </c>
      <c r="D159" s="47">
        <v>5825.1278999999995</v>
      </c>
      <c r="E159" s="44">
        <f t="shared" si="24"/>
        <v>1.4245451515366026E-3</v>
      </c>
      <c r="F159" s="44">
        <f t="shared" si="25"/>
        <v>0.99946807326497955</v>
      </c>
      <c r="G159" s="5" t="str">
        <f t="shared" si="26"/>
        <v>C</v>
      </c>
      <c r="J159" s="51" t="s">
        <v>252</v>
      </c>
      <c r="K159" s="62" t="s">
        <v>77</v>
      </c>
      <c r="L159" s="5">
        <v>52</v>
      </c>
      <c r="M159" s="70">
        <v>92765</v>
      </c>
      <c r="N159" s="44">
        <f t="shared" si="27"/>
        <v>5.2979404207926656E-3</v>
      </c>
      <c r="O159" s="44">
        <f t="shared" si="28"/>
        <v>0.97381777319036755</v>
      </c>
      <c r="P159" s="5" t="str">
        <f t="shared" si="29"/>
        <v>C</v>
      </c>
      <c r="S159" s="51" t="s">
        <v>252</v>
      </c>
      <c r="T159" s="62" t="s">
        <v>266</v>
      </c>
      <c r="U159" s="48">
        <v>46</v>
      </c>
      <c r="V159" s="70">
        <v>81278.399999999994</v>
      </c>
      <c r="W159" s="44">
        <f t="shared" si="30"/>
        <v>4.4348186905123358E-3</v>
      </c>
      <c r="X159" s="44">
        <f t="shared" si="31"/>
        <v>0.97832014593739092</v>
      </c>
      <c r="Y159" s="5" t="str">
        <f t="shared" si="32"/>
        <v>C</v>
      </c>
      <c r="AB159" s="51" t="s">
        <v>252</v>
      </c>
      <c r="AC159" s="62" t="s">
        <v>100</v>
      </c>
      <c r="AD159" s="5">
        <v>114</v>
      </c>
      <c r="AE159" s="70">
        <v>124854.40000000001</v>
      </c>
      <c r="AF159" s="44">
        <f t="shared" si="33"/>
        <v>6.8077226007281369E-3</v>
      </c>
      <c r="AG159" s="44">
        <f t="shared" si="34"/>
        <v>0.96425218267224255</v>
      </c>
      <c r="AH159" s="5" t="str">
        <f t="shared" si="35"/>
        <v>C</v>
      </c>
    </row>
    <row r="160" spans="1:34" x14ac:dyDescent="0.3">
      <c r="A160" s="51" t="s">
        <v>252</v>
      </c>
      <c r="B160" s="21" t="s">
        <v>100</v>
      </c>
      <c r="C160" s="20">
        <v>2</v>
      </c>
      <c r="D160" s="47">
        <v>2175.1091999999999</v>
      </c>
      <c r="E160" s="44">
        <f t="shared" si="24"/>
        <v>5.3192673502030032E-4</v>
      </c>
      <c r="F160" s="44">
        <f t="shared" si="25"/>
        <v>0.99999999999999989</v>
      </c>
      <c r="G160" s="5" t="str">
        <f t="shared" si="26"/>
        <v>C</v>
      </c>
      <c r="J160" s="51" t="s">
        <v>252</v>
      </c>
      <c r="K160" s="62" t="s">
        <v>95</v>
      </c>
      <c r="L160" s="5">
        <v>192</v>
      </c>
      <c r="M160" s="70">
        <v>90297</v>
      </c>
      <c r="N160" s="44">
        <f t="shared" si="27"/>
        <v>5.156989448351375E-3</v>
      </c>
      <c r="O160" s="44">
        <f t="shared" si="28"/>
        <v>0.97897476263871896</v>
      </c>
      <c r="P160" s="5" t="str">
        <f t="shared" si="29"/>
        <v>C</v>
      </c>
      <c r="S160" s="51" t="s">
        <v>252</v>
      </c>
      <c r="T160" s="62" t="s">
        <v>95</v>
      </c>
      <c r="U160" s="48">
        <v>154</v>
      </c>
      <c r="V160" s="70">
        <v>76896.960000000021</v>
      </c>
      <c r="W160" s="44">
        <f t="shared" si="30"/>
        <v>4.195752813189969E-3</v>
      </c>
      <c r="X160" s="44">
        <f t="shared" si="31"/>
        <v>0.98251589875058087</v>
      </c>
      <c r="Y160" s="5" t="str">
        <f t="shared" si="32"/>
        <v>C</v>
      </c>
      <c r="AB160" s="51" t="s">
        <v>252</v>
      </c>
      <c r="AC160" s="62" t="s">
        <v>95</v>
      </c>
      <c r="AD160" s="5">
        <v>245</v>
      </c>
      <c r="AE160" s="70">
        <v>123783.6</v>
      </c>
      <c r="AF160" s="44">
        <f t="shared" si="33"/>
        <v>6.7493369181982491E-3</v>
      </c>
      <c r="AG160" s="44">
        <f t="shared" si="34"/>
        <v>0.97100151959044079</v>
      </c>
      <c r="AH160" s="5" t="str">
        <f t="shared" si="35"/>
        <v>C</v>
      </c>
    </row>
    <row r="161" spans="1:34" x14ac:dyDescent="0.3">
      <c r="A161" s="51" t="s">
        <v>252</v>
      </c>
      <c r="B161" s="21" t="s">
        <v>19</v>
      </c>
      <c r="C161" s="20">
        <v>0</v>
      </c>
      <c r="D161" s="47">
        <v>0</v>
      </c>
      <c r="E161" s="44">
        <f t="shared" si="24"/>
        <v>0</v>
      </c>
      <c r="F161" s="44">
        <f t="shared" si="25"/>
        <v>0.99999999999999989</v>
      </c>
      <c r="G161" s="5" t="str">
        <f t="shared" si="26"/>
        <v>C</v>
      </c>
      <c r="J161" s="51" t="s">
        <v>252</v>
      </c>
      <c r="K161" s="62" t="s">
        <v>100</v>
      </c>
      <c r="L161" s="5">
        <v>54</v>
      </c>
      <c r="M161" s="70">
        <v>63748.800000000003</v>
      </c>
      <c r="N161" s="44">
        <f t="shared" si="27"/>
        <v>3.6407841782679618E-3</v>
      </c>
      <c r="O161" s="44">
        <f t="shared" si="28"/>
        <v>0.98261554681698693</v>
      </c>
      <c r="P161" s="5" t="str">
        <f t="shared" si="29"/>
        <v>C</v>
      </c>
      <c r="S161" s="51" t="s">
        <v>252</v>
      </c>
      <c r="T161" s="62" t="s">
        <v>100</v>
      </c>
      <c r="U161" s="48">
        <v>52</v>
      </c>
      <c r="V161" s="70">
        <v>62459.3</v>
      </c>
      <c r="W161" s="44">
        <f t="shared" si="30"/>
        <v>3.4079862674008983E-3</v>
      </c>
      <c r="X161" s="44">
        <f t="shared" si="31"/>
        <v>0.98592388501798178</v>
      </c>
      <c r="Y161" s="5" t="str">
        <f t="shared" si="32"/>
        <v>C</v>
      </c>
      <c r="AB161" s="51" t="s">
        <v>252</v>
      </c>
      <c r="AC161" s="62" t="s">
        <v>98</v>
      </c>
      <c r="AD161" s="5">
        <v>118</v>
      </c>
      <c r="AE161" s="70">
        <v>116390.39999999999</v>
      </c>
      <c r="AF161" s="44">
        <f t="shared" si="33"/>
        <v>6.3462205303760873E-3</v>
      </c>
      <c r="AG161" s="44">
        <f t="shared" si="34"/>
        <v>0.97734774012081682</v>
      </c>
      <c r="AH161" s="5" t="str">
        <f t="shared" si="35"/>
        <v>C</v>
      </c>
    </row>
    <row r="162" spans="1:34" x14ac:dyDescent="0.3">
      <c r="A162" s="51" t="s">
        <v>252</v>
      </c>
      <c r="B162" s="21" t="s">
        <v>267</v>
      </c>
      <c r="C162" s="20">
        <v>0</v>
      </c>
      <c r="D162" s="47">
        <v>0</v>
      </c>
      <c r="E162" s="44">
        <f t="shared" si="24"/>
        <v>0</v>
      </c>
      <c r="F162" s="44">
        <f t="shared" si="25"/>
        <v>0.99999999999999989</v>
      </c>
      <c r="G162" s="5" t="str">
        <f t="shared" si="26"/>
        <v>C</v>
      </c>
      <c r="J162" s="51" t="s">
        <v>252</v>
      </c>
      <c r="K162" s="62" t="s">
        <v>199</v>
      </c>
      <c r="L162" s="5">
        <v>18</v>
      </c>
      <c r="M162" s="70">
        <v>54709.8</v>
      </c>
      <c r="N162" s="44">
        <f t="shared" si="27"/>
        <v>3.1245540972724907E-3</v>
      </c>
      <c r="O162" s="44">
        <f t="shared" si="28"/>
        <v>0.98574010091425945</v>
      </c>
      <c r="P162" s="5" t="str">
        <f t="shared" si="29"/>
        <v>C</v>
      </c>
      <c r="S162" s="51" t="s">
        <v>252</v>
      </c>
      <c r="T162" s="62" t="s">
        <v>63</v>
      </c>
      <c r="U162" s="48">
        <v>31</v>
      </c>
      <c r="V162" s="70">
        <v>51730.100000000006</v>
      </c>
      <c r="W162" s="44">
        <f t="shared" si="30"/>
        <v>2.8225655812869374E-3</v>
      </c>
      <c r="X162" s="44">
        <f t="shared" si="31"/>
        <v>0.98874645059926869</v>
      </c>
      <c r="Y162" s="5" t="str">
        <f t="shared" si="32"/>
        <v>C</v>
      </c>
      <c r="AB162" s="51" t="s">
        <v>252</v>
      </c>
      <c r="AC162" s="62" t="s">
        <v>171</v>
      </c>
      <c r="AD162" s="5">
        <v>55</v>
      </c>
      <c r="AE162" s="70">
        <v>103892</v>
      </c>
      <c r="AF162" s="44">
        <f t="shared" si="33"/>
        <v>5.664741622520693E-3</v>
      </c>
      <c r="AG162" s="44">
        <f t="shared" si="34"/>
        <v>0.98301248174333755</v>
      </c>
      <c r="AH162" s="5" t="str">
        <f t="shared" si="35"/>
        <v>C</v>
      </c>
    </row>
    <row r="163" spans="1:34" x14ac:dyDescent="0.3">
      <c r="A163" s="51" t="s">
        <v>252</v>
      </c>
      <c r="B163" s="21" t="s">
        <v>342</v>
      </c>
      <c r="C163" s="20">
        <v>0</v>
      </c>
      <c r="D163" s="47">
        <v>0</v>
      </c>
      <c r="E163" s="44">
        <f t="shared" si="24"/>
        <v>0</v>
      </c>
      <c r="F163" s="44">
        <f t="shared" si="25"/>
        <v>0.99999999999999989</v>
      </c>
      <c r="G163" s="5" t="str">
        <f t="shared" si="26"/>
        <v>C</v>
      </c>
      <c r="J163" s="51" t="s">
        <v>252</v>
      </c>
      <c r="K163" s="62" t="s">
        <v>266</v>
      </c>
      <c r="L163" s="5">
        <v>25</v>
      </c>
      <c r="M163" s="70">
        <v>42036.800000000003</v>
      </c>
      <c r="N163" s="44">
        <f t="shared" si="27"/>
        <v>2.4007811338411806E-3</v>
      </c>
      <c r="O163" s="44">
        <f t="shared" si="28"/>
        <v>0.98814088204810069</v>
      </c>
      <c r="P163" s="5" t="str">
        <f t="shared" si="29"/>
        <v>C</v>
      </c>
      <c r="S163" s="51" t="s">
        <v>252</v>
      </c>
      <c r="T163" s="62" t="s">
        <v>17</v>
      </c>
      <c r="U163" s="48">
        <v>166</v>
      </c>
      <c r="V163" s="70">
        <v>50070</v>
      </c>
      <c r="W163" s="44">
        <f t="shared" si="30"/>
        <v>2.7319850271899137E-3</v>
      </c>
      <c r="X163" s="44">
        <f t="shared" si="31"/>
        <v>0.99147843562645865</v>
      </c>
      <c r="Y163" s="5" t="str">
        <f t="shared" si="32"/>
        <v>C</v>
      </c>
      <c r="AB163" s="51" t="s">
        <v>252</v>
      </c>
      <c r="AC163" s="62" t="s">
        <v>184</v>
      </c>
      <c r="AD163" s="5">
        <v>55</v>
      </c>
      <c r="AE163" s="70">
        <v>81095</v>
      </c>
      <c r="AF163" s="44">
        <f t="shared" si="33"/>
        <v>4.4217285438562697E-3</v>
      </c>
      <c r="AG163" s="44">
        <f t="shared" si="34"/>
        <v>0.9874342102871938</v>
      </c>
      <c r="AH163" s="5" t="str">
        <f t="shared" si="35"/>
        <v>C</v>
      </c>
    </row>
    <row r="164" spans="1:34" x14ac:dyDescent="0.3">
      <c r="A164" s="51" t="s">
        <v>252</v>
      </c>
      <c r="B164" s="21" t="s">
        <v>241</v>
      </c>
      <c r="C164" s="20">
        <v>0</v>
      </c>
      <c r="D164" s="47">
        <v>0</v>
      </c>
      <c r="E164" s="44">
        <f t="shared" si="24"/>
        <v>0</v>
      </c>
      <c r="F164" s="44">
        <f t="shared" si="25"/>
        <v>0.99999999999999989</v>
      </c>
      <c r="G164" s="5" t="str">
        <f t="shared" si="26"/>
        <v>C</v>
      </c>
      <c r="J164" s="51" t="s">
        <v>252</v>
      </c>
      <c r="K164" s="62" t="s">
        <v>98</v>
      </c>
      <c r="L164" s="5">
        <v>40</v>
      </c>
      <c r="M164" s="70">
        <v>38728.6</v>
      </c>
      <c r="N164" s="44">
        <f t="shared" si="27"/>
        <v>2.2118451504415547E-3</v>
      </c>
      <c r="O164" s="44">
        <f t="shared" si="28"/>
        <v>0.99035272719854228</v>
      </c>
      <c r="P164" s="5" t="str">
        <f t="shared" si="29"/>
        <v>C</v>
      </c>
      <c r="S164" s="51" t="s">
        <v>252</v>
      </c>
      <c r="T164" s="62" t="s">
        <v>62</v>
      </c>
      <c r="U164" s="48">
        <v>37</v>
      </c>
      <c r="V164" s="70">
        <v>38678.5</v>
      </c>
      <c r="W164" s="44">
        <f t="shared" si="30"/>
        <v>2.1104270595998617E-3</v>
      </c>
      <c r="X164" s="44">
        <f t="shared" si="31"/>
        <v>0.9935888626860585</v>
      </c>
      <c r="Y164" s="5" t="str">
        <f t="shared" si="32"/>
        <v>C</v>
      </c>
      <c r="AB164" s="51" t="s">
        <v>252</v>
      </c>
      <c r="AC164" s="62" t="s">
        <v>77</v>
      </c>
      <c r="AD164" s="5">
        <v>29</v>
      </c>
      <c r="AE164" s="70">
        <v>58279.25</v>
      </c>
      <c r="AF164" s="44">
        <f t="shared" si="33"/>
        <v>3.1776931159693631E-3</v>
      </c>
      <c r="AG164" s="44">
        <f t="shared" si="34"/>
        <v>0.99061190340316319</v>
      </c>
      <c r="AH164" s="5" t="str">
        <f t="shared" si="35"/>
        <v>C</v>
      </c>
    </row>
    <row r="165" spans="1:34" x14ac:dyDescent="0.3">
      <c r="A165" s="51" t="s">
        <v>252</v>
      </c>
      <c r="B165" s="21" t="s">
        <v>167</v>
      </c>
      <c r="C165" s="20">
        <v>0</v>
      </c>
      <c r="D165" s="47">
        <v>0</v>
      </c>
      <c r="E165" s="44">
        <f t="shared" si="24"/>
        <v>0</v>
      </c>
      <c r="F165" s="44">
        <f t="shared" si="25"/>
        <v>0.99999999999999989</v>
      </c>
      <c r="G165" s="5" t="str">
        <f t="shared" si="26"/>
        <v>C</v>
      </c>
      <c r="J165" s="51" t="s">
        <v>252</v>
      </c>
      <c r="K165" s="62" t="s">
        <v>17</v>
      </c>
      <c r="L165" s="5">
        <v>138</v>
      </c>
      <c r="M165" s="70">
        <v>35624</v>
      </c>
      <c r="N165" s="44">
        <f t="shared" si="27"/>
        <v>2.0345370511541845E-3</v>
      </c>
      <c r="O165" s="44">
        <f t="shared" si="28"/>
        <v>0.99238726424969648</v>
      </c>
      <c r="P165" s="5" t="str">
        <f t="shared" si="29"/>
        <v>C</v>
      </c>
      <c r="S165" s="51" t="s">
        <v>252</v>
      </c>
      <c r="T165" s="62" t="s">
        <v>93</v>
      </c>
      <c r="U165" s="48">
        <v>33</v>
      </c>
      <c r="V165" s="70">
        <v>37639.649999999994</v>
      </c>
      <c r="W165" s="44">
        <f t="shared" si="30"/>
        <v>2.0537439630251412E-3</v>
      </c>
      <c r="X165" s="44">
        <f t="shared" si="31"/>
        <v>0.99564260664908366</v>
      </c>
      <c r="Y165" s="5" t="str">
        <f t="shared" si="32"/>
        <v>C</v>
      </c>
      <c r="AB165" s="51" t="s">
        <v>252</v>
      </c>
      <c r="AC165" s="62" t="s">
        <v>63</v>
      </c>
      <c r="AD165" s="5">
        <v>26</v>
      </c>
      <c r="AE165" s="70">
        <v>41098.6</v>
      </c>
      <c r="AF165" s="44">
        <f t="shared" si="33"/>
        <v>2.2409131602753717E-3</v>
      </c>
      <c r="AG165" s="44">
        <f t="shared" si="34"/>
        <v>0.9928528165634386</v>
      </c>
      <c r="AH165" s="5" t="str">
        <f t="shared" si="35"/>
        <v>C</v>
      </c>
    </row>
    <row r="166" spans="1:34" x14ac:dyDescent="0.3">
      <c r="A166" s="51" t="s">
        <v>252</v>
      </c>
      <c r="B166" s="21" t="s">
        <v>62</v>
      </c>
      <c r="C166" s="20">
        <v>0</v>
      </c>
      <c r="D166" s="47">
        <v>0</v>
      </c>
      <c r="E166" s="44">
        <f t="shared" si="24"/>
        <v>0</v>
      </c>
      <c r="F166" s="44">
        <f t="shared" si="25"/>
        <v>0.99999999999999989</v>
      </c>
      <c r="G166" s="5" t="str">
        <f t="shared" si="26"/>
        <v>C</v>
      </c>
      <c r="J166" s="51" t="s">
        <v>252</v>
      </c>
      <c r="K166" s="62" t="s">
        <v>63</v>
      </c>
      <c r="L166" s="5">
        <v>21</v>
      </c>
      <c r="M166" s="70">
        <v>33741.1</v>
      </c>
      <c r="N166" s="44">
        <f t="shared" si="27"/>
        <v>1.9270019676818563E-3</v>
      </c>
      <c r="O166" s="44">
        <f t="shared" si="28"/>
        <v>0.99431426621737828</v>
      </c>
      <c r="P166" s="5" t="str">
        <f t="shared" si="29"/>
        <v>C</v>
      </c>
      <c r="S166" s="51" t="s">
        <v>252</v>
      </c>
      <c r="T166" s="62" t="s">
        <v>90</v>
      </c>
      <c r="U166" s="48">
        <v>20</v>
      </c>
      <c r="V166" s="70">
        <v>33638.400000000001</v>
      </c>
      <c r="W166" s="44">
        <f t="shared" si="30"/>
        <v>1.8354225112567444E-3</v>
      </c>
      <c r="X166" s="44">
        <f t="shared" si="31"/>
        <v>0.99747802916034045</v>
      </c>
      <c r="Y166" s="5" t="str">
        <f t="shared" si="32"/>
        <v>C</v>
      </c>
      <c r="AB166" s="51" t="s">
        <v>252</v>
      </c>
      <c r="AC166" s="62" t="s">
        <v>84</v>
      </c>
      <c r="AD166" s="5">
        <v>26</v>
      </c>
      <c r="AE166" s="70">
        <v>33567</v>
      </c>
      <c r="AF166" s="44">
        <f t="shared" si="33"/>
        <v>1.8302504720589853E-3</v>
      </c>
      <c r="AG166" s="44">
        <f t="shared" si="34"/>
        <v>0.99468306703549758</v>
      </c>
      <c r="AH166" s="5" t="str">
        <f t="shared" si="35"/>
        <v>C</v>
      </c>
    </row>
    <row r="167" spans="1:34" x14ac:dyDescent="0.3">
      <c r="A167" s="51" t="s">
        <v>252</v>
      </c>
      <c r="B167" s="21" t="s">
        <v>276</v>
      </c>
      <c r="C167" s="20">
        <v>0</v>
      </c>
      <c r="D167" s="47">
        <v>0</v>
      </c>
      <c r="E167" s="44">
        <f t="shared" si="24"/>
        <v>0</v>
      </c>
      <c r="F167" s="44">
        <f t="shared" si="25"/>
        <v>0.99999999999999989</v>
      </c>
      <c r="G167" s="5" t="str">
        <f t="shared" si="26"/>
        <v>C</v>
      </c>
      <c r="J167" s="51" t="s">
        <v>252</v>
      </c>
      <c r="K167" s="62" t="s">
        <v>93</v>
      </c>
      <c r="L167" s="5">
        <v>24</v>
      </c>
      <c r="M167" s="70">
        <v>24446.019999999997</v>
      </c>
      <c r="N167" s="44">
        <f t="shared" si="27"/>
        <v>1.3961467955102237E-3</v>
      </c>
      <c r="O167" s="44">
        <f t="shared" si="28"/>
        <v>0.99571041301288854</v>
      </c>
      <c r="P167" s="5" t="str">
        <f t="shared" si="29"/>
        <v>C</v>
      </c>
      <c r="S167" s="51" t="s">
        <v>252</v>
      </c>
      <c r="T167" s="62" t="s">
        <v>276</v>
      </c>
      <c r="U167" s="48">
        <v>12</v>
      </c>
      <c r="V167" s="70">
        <v>26730</v>
      </c>
      <c r="W167" s="44">
        <f t="shared" si="30"/>
        <v>1.4584773272775392E-3</v>
      </c>
      <c r="X167" s="44">
        <f t="shared" si="31"/>
        <v>0.998936506487618</v>
      </c>
      <c r="Y167" s="5" t="str">
        <f t="shared" si="32"/>
        <v>C</v>
      </c>
      <c r="AB167" s="51" t="s">
        <v>252</v>
      </c>
      <c r="AC167" s="62" t="s">
        <v>199</v>
      </c>
      <c r="AD167" s="5">
        <v>6</v>
      </c>
      <c r="AE167" s="70">
        <v>28244.75</v>
      </c>
      <c r="AF167" s="44">
        <f t="shared" si="33"/>
        <v>1.5400532374262824E-3</v>
      </c>
      <c r="AG167" s="44">
        <f t="shared" si="34"/>
        <v>0.99622312027292381</v>
      </c>
      <c r="AH167" s="5" t="str">
        <f t="shared" si="35"/>
        <v>C</v>
      </c>
    </row>
    <row r="168" spans="1:34" x14ac:dyDescent="0.3">
      <c r="A168" s="51" t="s">
        <v>252</v>
      </c>
      <c r="B168" s="21" t="s">
        <v>77</v>
      </c>
      <c r="C168" s="20">
        <v>0</v>
      </c>
      <c r="D168" s="47">
        <v>0</v>
      </c>
      <c r="E168" s="44">
        <f t="shared" si="24"/>
        <v>0</v>
      </c>
      <c r="F168" s="44">
        <f t="shared" si="25"/>
        <v>0.99999999999999989</v>
      </c>
      <c r="G168" s="5" t="str">
        <f t="shared" si="26"/>
        <v>C</v>
      </c>
      <c r="J168" s="51" t="s">
        <v>252</v>
      </c>
      <c r="K168" s="62" t="s">
        <v>342</v>
      </c>
      <c r="L168" s="5">
        <v>35</v>
      </c>
      <c r="M168" s="70">
        <v>18002.5</v>
      </c>
      <c r="N168" s="44">
        <f t="shared" si="27"/>
        <v>1.0281482501516732E-3</v>
      </c>
      <c r="O168" s="44">
        <f t="shared" si="28"/>
        <v>0.99673856126304017</v>
      </c>
      <c r="P168" s="5" t="str">
        <f t="shared" si="29"/>
        <v>C</v>
      </c>
      <c r="S168" s="51" t="s">
        <v>252</v>
      </c>
      <c r="T168" s="62" t="s">
        <v>77</v>
      </c>
      <c r="U168" s="48">
        <v>8</v>
      </c>
      <c r="V168" s="70">
        <v>13788</v>
      </c>
      <c r="W168" s="44">
        <f t="shared" si="30"/>
        <v>7.5231894457548486E-4</v>
      </c>
      <c r="X168" s="44">
        <f t="shared" si="31"/>
        <v>0.99968882543219351</v>
      </c>
      <c r="Y168" s="5" t="str">
        <f t="shared" si="32"/>
        <v>C</v>
      </c>
      <c r="AB168" s="51" t="s">
        <v>252</v>
      </c>
      <c r="AC168" s="62" t="s">
        <v>17</v>
      </c>
      <c r="AD168" s="5">
        <v>70</v>
      </c>
      <c r="AE168" s="70">
        <v>25102.5</v>
      </c>
      <c r="AF168" s="44">
        <f t="shared" si="33"/>
        <v>1.3687211390610028E-3</v>
      </c>
      <c r="AG168" s="44">
        <f t="shared" si="34"/>
        <v>0.99759184141198487</v>
      </c>
      <c r="AH168" s="5" t="str">
        <f t="shared" si="35"/>
        <v>C</v>
      </c>
    </row>
    <row r="169" spans="1:34" x14ac:dyDescent="0.3">
      <c r="A169" s="51" t="s">
        <v>252</v>
      </c>
      <c r="B169" s="21" t="s">
        <v>184</v>
      </c>
      <c r="C169" s="20">
        <v>0</v>
      </c>
      <c r="D169" s="47">
        <v>0</v>
      </c>
      <c r="E169" s="44">
        <f t="shared" si="24"/>
        <v>0</v>
      </c>
      <c r="F169" s="44">
        <f t="shared" si="25"/>
        <v>0.99999999999999989</v>
      </c>
      <c r="G169" s="5" t="str">
        <f t="shared" si="26"/>
        <v>C</v>
      </c>
      <c r="J169" s="51" t="s">
        <v>252</v>
      </c>
      <c r="K169" s="62" t="s">
        <v>62</v>
      </c>
      <c r="L169" s="5">
        <v>17</v>
      </c>
      <c r="M169" s="70">
        <v>17326.599999999999</v>
      </c>
      <c r="N169" s="44">
        <f t="shared" si="27"/>
        <v>9.895466446925693E-4</v>
      </c>
      <c r="O169" s="44">
        <f t="shared" si="28"/>
        <v>0.9977281079077327</v>
      </c>
      <c r="P169" s="5" t="str">
        <f t="shared" si="29"/>
        <v>C</v>
      </c>
      <c r="S169" s="51" t="s">
        <v>252</v>
      </c>
      <c r="T169" s="62" t="s">
        <v>199</v>
      </c>
      <c r="U169" s="48">
        <v>2</v>
      </c>
      <c r="V169" s="70">
        <v>5703</v>
      </c>
      <c r="W169" s="44">
        <f t="shared" si="30"/>
        <v>3.1117456780635261E-4</v>
      </c>
      <c r="X169" s="44">
        <f t="shared" si="31"/>
        <v>0.99999999999999989</v>
      </c>
      <c r="Y169" s="5" t="str">
        <f t="shared" si="32"/>
        <v>C</v>
      </c>
      <c r="AB169" s="51" t="s">
        <v>252</v>
      </c>
      <c r="AC169" s="62" t="s">
        <v>93</v>
      </c>
      <c r="AD169" s="5">
        <v>21</v>
      </c>
      <c r="AE169" s="70">
        <v>21926</v>
      </c>
      <c r="AF169" s="44">
        <f t="shared" si="33"/>
        <v>1.1955215494493195E-3</v>
      </c>
      <c r="AG169" s="44">
        <f t="shared" si="34"/>
        <v>0.99878736296143422</v>
      </c>
      <c r="AH169" s="5" t="str">
        <f t="shared" si="35"/>
        <v>C</v>
      </c>
    </row>
    <row r="170" spans="1:34" x14ac:dyDescent="0.3">
      <c r="A170" s="51" t="s">
        <v>252</v>
      </c>
      <c r="B170" s="21" t="s">
        <v>185</v>
      </c>
      <c r="C170" s="20">
        <v>0</v>
      </c>
      <c r="D170" s="47">
        <v>0</v>
      </c>
      <c r="E170" s="44">
        <f t="shared" si="24"/>
        <v>0</v>
      </c>
      <c r="F170" s="44">
        <f t="shared" si="25"/>
        <v>0.99999999999999989</v>
      </c>
      <c r="G170" s="5" t="str">
        <f t="shared" si="26"/>
        <v>C</v>
      </c>
      <c r="J170" s="51" t="s">
        <v>252</v>
      </c>
      <c r="K170" s="62" t="s">
        <v>90</v>
      </c>
      <c r="L170" s="5">
        <v>8</v>
      </c>
      <c r="M170" s="70">
        <v>12696</v>
      </c>
      <c r="N170" s="44">
        <f t="shared" si="27"/>
        <v>7.2508652597837197E-4</v>
      </c>
      <c r="O170" s="44">
        <f t="shared" si="28"/>
        <v>0.99845319443371106</v>
      </c>
      <c r="P170" s="5" t="str">
        <f t="shared" si="29"/>
        <v>C</v>
      </c>
      <c r="S170" s="51" t="s">
        <v>252</v>
      </c>
      <c r="T170" s="62" t="s">
        <v>13</v>
      </c>
      <c r="U170" s="48">
        <v>0</v>
      </c>
      <c r="V170" s="70">
        <v>0</v>
      </c>
      <c r="W170" s="44">
        <f t="shared" si="30"/>
        <v>0</v>
      </c>
      <c r="X170" s="44">
        <f t="shared" si="31"/>
        <v>0.99999999999999989</v>
      </c>
      <c r="Y170" s="5" t="str">
        <f t="shared" si="32"/>
        <v>C</v>
      </c>
      <c r="AB170" s="51" t="s">
        <v>252</v>
      </c>
      <c r="AC170" s="62" t="s">
        <v>276</v>
      </c>
      <c r="AD170" s="5">
        <v>8</v>
      </c>
      <c r="AE170" s="70">
        <v>10592.4</v>
      </c>
      <c r="AF170" s="44">
        <f t="shared" si="33"/>
        <v>5.7755370155919785E-4</v>
      </c>
      <c r="AG170" s="44">
        <f t="shared" si="34"/>
        <v>0.99936491666299343</v>
      </c>
      <c r="AH170" s="5" t="str">
        <f t="shared" si="35"/>
        <v>C</v>
      </c>
    </row>
    <row r="171" spans="1:34" x14ac:dyDescent="0.3">
      <c r="A171" s="51" t="s">
        <v>252</v>
      </c>
      <c r="B171" s="21" t="s">
        <v>93</v>
      </c>
      <c r="C171" s="20">
        <v>0</v>
      </c>
      <c r="D171" s="47">
        <v>0</v>
      </c>
      <c r="E171" s="44">
        <f t="shared" si="24"/>
        <v>0</v>
      </c>
      <c r="F171" s="44">
        <f t="shared" si="25"/>
        <v>0.99999999999999989</v>
      </c>
      <c r="G171" s="5" t="str">
        <f t="shared" si="26"/>
        <v>C</v>
      </c>
      <c r="J171" s="51" t="s">
        <v>252</v>
      </c>
      <c r="K171" s="62" t="s">
        <v>276</v>
      </c>
      <c r="L171" s="5">
        <v>6</v>
      </c>
      <c r="M171" s="70">
        <v>12315</v>
      </c>
      <c r="N171" s="44">
        <f t="shared" si="27"/>
        <v>7.033270768292101E-4</v>
      </c>
      <c r="O171" s="44">
        <f t="shared" si="28"/>
        <v>0.99915652151054024</v>
      </c>
      <c r="P171" s="5" t="str">
        <f t="shared" si="29"/>
        <v>C</v>
      </c>
      <c r="S171" s="51" t="s">
        <v>252</v>
      </c>
      <c r="T171" s="62" t="s">
        <v>84</v>
      </c>
      <c r="U171" s="48">
        <v>0</v>
      </c>
      <c r="V171" s="70">
        <v>0</v>
      </c>
      <c r="W171" s="44">
        <f t="shared" si="30"/>
        <v>0</v>
      </c>
      <c r="X171" s="44">
        <f t="shared" si="31"/>
        <v>0.99999999999999989</v>
      </c>
      <c r="Y171" s="5" t="str">
        <f t="shared" si="32"/>
        <v>C</v>
      </c>
      <c r="AB171" s="51" t="s">
        <v>252</v>
      </c>
      <c r="AC171" s="62" t="s">
        <v>13</v>
      </c>
      <c r="AD171" s="5">
        <v>4</v>
      </c>
      <c r="AE171" s="70">
        <v>6642</v>
      </c>
      <c r="AF171" s="44">
        <f t="shared" si="33"/>
        <v>3.6215698857257962E-4</v>
      </c>
      <c r="AG171" s="44">
        <f t="shared" si="34"/>
        <v>0.99972707365156599</v>
      </c>
      <c r="AH171" s="5" t="str">
        <f t="shared" si="35"/>
        <v>C</v>
      </c>
    </row>
    <row r="172" spans="1:34" x14ac:dyDescent="0.3">
      <c r="A172" s="51" t="s">
        <v>252</v>
      </c>
      <c r="B172" s="21" t="s">
        <v>98</v>
      </c>
      <c r="C172" s="20">
        <v>0</v>
      </c>
      <c r="D172" s="47">
        <v>0</v>
      </c>
      <c r="E172" s="44">
        <f t="shared" si="24"/>
        <v>0</v>
      </c>
      <c r="F172" s="44">
        <f t="shared" si="25"/>
        <v>0.99999999999999989</v>
      </c>
      <c r="G172" s="5" t="str">
        <f t="shared" si="26"/>
        <v>C</v>
      </c>
      <c r="J172" s="51" t="s">
        <v>252</v>
      </c>
      <c r="K172" s="62" t="s">
        <v>13</v>
      </c>
      <c r="L172" s="5">
        <v>6</v>
      </c>
      <c r="M172" s="70">
        <v>9405</v>
      </c>
      <c r="N172" s="44">
        <f t="shared" si="27"/>
        <v>5.3713285891828833E-4</v>
      </c>
      <c r="O172" s="44">
        <f t="shared" si="28"/>
        <v>0.99969365436945856</v>
      </c>
      <c r="P172" s="5" t="str">
        <f t="shared" si="29"/>
        <v>C</v>
      </c>
      <c r="S172" s="51" t="s">
        <v>252</v>
      </c>
      <c r="T172" s="62" t="s">
        <v>342</v>
      </c>
      <c r="U172" s="48">
        <v>0</v>
      </c>
      <c r="V172" s="70">
        <v>0</v>
      </c>
      <c r="W172" s="44">
        <f t="shared" si="30"/>
        <v>0</v>
      </c>
      <c r="X172" s="44">
        <f t="shared" si="31"/>
        <v>0.99999999999999989</v>
      </c>
      <c r="Y172" s="5" t="str">
        <f t="shared" si="32"/>
        <v>C</v>
      </c>
      <c r="AB172" s="51" t="s">
        <v>252</v>
      </c>
      <c r="AC172" s="62" t="s">
        <v>342</v>
      </c>
      <c r="AD172" s="5">
        <v>5</v>
      </c>
      <c r="AE172" s="70">
        <v>2872.5</v>
      </c>
      <c r="AF172" s="44">
        <f t="shared" si="33"/>
        <v>1.5662390088448284E-4</v>
      </c>
      <c r="AG172" s="44">
        <f t="shared" si="34"/>
        <v>0.99988369755245043</v>
      </c>
      <c r="AH172" s="5" t="str">
        <f t="shared" si="35"/>
        <v>C</v>
      </c>
    </row>
    <row r="173" spans="1:34" x14ac:dyDescent="0.3">
      <c r="A173" s="51" t="s">
        <v>252</v>
      </c>
      <c r="B173" s="21" t="s">
        <v>199</v>
      </c>
      <c r="C173" s="20">
        <v>0</v>
      </c>
      <c r="D173" s="47">
        <v>0</v>
      </c>
      <c r="E173" s="44">
        <f t="shared" si="24"/>
        <v>0</v>
      </c>
      <c r="F173" s="44">
        <f t="shared" si="25"/>
        <v>0.99999999999999989</v>
      </c>
      <c r="G173" s="5" t="str">
        <f t="shared" si="26"/>
        <v>C</v>
      </c>
      <c r="J173" s="51" t="s">
        <v>252</v>
      </c>
      <c r="K173" s="62" t="s">
        <v>84</v>
      </c>
      <c r="L173" s="5">
        <v>4</v>
      </c>
      <c r="M173" s="70">
        <v>5364</v>
      </c>
      <c r="N173" s="44">
        <f t="shared" si="27"/>
        <v>3.0634563054095682E-4</v>
      </c>
      <c r="O173" s="44">
        <f t="shared" si="28"/>
        <v>0.99999999999999956</v>
      </c>
      <c r="P173" s="5" t="str">
        <f t="shared" si="29"/>
        <v>C</v>
      </c>
      <c r="S173" s="51" t="s">
        <v>252</v>
      </c>
      <c r="T173" s="62" t="s">
        <v>184</v>
      </c>
      <c r="U173" s="48">
        <v>0</v>
      </c>
      <c r="V173" s="70">
        <v>0</v>
      </c>
      <c r="W173" s="44">
        <f t="shared" si="30"/>
        <v>0</v>
      </c>
      <c r="X173" s="44">
        <f t="shared" si="31"/>
        <v>0.99999999999999989</v>
      </c>
      <c r="Y173" s="5" t="str">
        <f t="shared" si="32"/>
        <v>C</v>
      </c>
      <c r="AB173" s="51" t="s">
        <v>252</v>
      </c>
      <c r="AC173" s="62" t="s">
        <v>62</v>
      </c>
      <c r="AD173" s="5">
        <v>2</v>
      </c>
      <c r="AE173" s="70">
        <v>2133</v>
      </c>
      <c r="AF173" s="44">
        <f t="shared" si="33"/>
        <v>1.1630244754973085E-4</v>
      </c>
      <c r="AG173" s="44">
        <f t="shared" si="34"/>
        <v>1.0000000000000002</v>
      </c>
      <c r="AH173" s="5" t="str">
        <f t="shared" si="35"/>
        <v>C</v>
      </c>
    </row>
    <row r="174" spans="1:34" x14ac:dyDescent="0.3">
      <c r="A174" s="51" t="s">
        <v>357</v>
      </c>
      <c r="B174" s="21" t="s">
        <v>309</v>
      </c>
      <c r="C174" s="20">
        <v>0</v>
      </c>
      <c r="D174" s="47">
        <v>0</v>
      </c>
      <c r="E174" s="44">
        <f t="shared" si="24"/>
        <v>0</v>
      </c>
      <c r="F174" s="44">
        <f t="shared" si="25"/>
        <v>0</v>
      </c>
      <c r="G174" s="5" t="str">
        <f t="shared" si="26"/>
        <v>A</v>
      </c>
      <c r="J174" s="51" t="s">
        <v>357</v>
      </c>
      <c r="K174" s="62" t="s">
        <v>188</v>
      </c>
      <c r="L174" s="5">
        <v>472</v>
      </c>
      <c r="M174" s="70">
        <v>720263.85</v>
      </c>
      <c r="N174" s="44">
        <f t="shared" si="27"/>
        <v>0.98072492185498528</v>
      </c>
      <c r="O174" s="44">
        <f t="shared" si="28"/>
        <v>0.98072492185498528</v>
      </c>
      <c r="P174" s="5" t="str">
        <f t="shared" si="29"/>
        <v>A</v>
      </c>
      <c r="S174" s="51" t="s">
        <v>357</v>
      </c>
      <c r="T174" s="62" t="s">
        <v>188</v>
      </c>
      <c r="U174" s="48">
        <v>1261</v>
      </c>
      <c r="V174" s="70">
        <v>1817241.8500000013</v>
      </c>
      <c r="W174" s="44">
        <f t="shared" si="30"/>
        <v>0.99345103860721939</v>
      </c>
      <c r="X174" s="44">
        <f t="shared" si="31"/>
        <v>0.99345103860721939</v>
      </c>
      <c r="Y174" s="5" t="str">
        <f t="shared" si="32"/>
        <v>A</v>
      </c>
      <c r="AB174" s="51" t="s">
        <v>357</v>
      </c>
      <c r="AC174" s="62" t="s">
        <v>188</v>
      </c>
      <c r="AD174" s="5">
        <v>1717</v>
      </c>
      <c r="AE174" s="70">
        <v>2809770.41</v>
      </c>
      <c r="AF174" s="44">
        <f t="shared" si="33"/>
        <v>0.99848926180617958</v>
      </c>
      <c r="AG174" s="44">
        <f t="shared" si="34"/>
        <v>0.99848926180617958</v>
      </c>
      <c r="AH174" s="5" t="str">
        <f t="shared" si="35"/>
        <v>A</v>
      </c>
    </row>
    <row r="175" spans="1:34" x14ac:dyDescent="0.3">
      <c r="A175" s="51" t="s">
        <v>357</v>
      </c>
      <c r="B175" s="21" t="s">
        <v>308</v>
      </c>
      <c r="C175" s="20">
        <v>0</v>
      </c>
      <c r="D175" s="47">
        <v>0</v>
      </c>
      <c r="E175" s="44">
        <f t="shared" si="24"/>
        <v>0</v>
      </c>
      <c r="F175" s="44">
        <f t="shared" si="25"/>
        <v>0</v>
      </c>
      <c r="G175" s="5" t="str">
        <f t="shared" si="26"/>
        <v>A</v>
      </c>
      <c r="J175" s="51" t="s">
        <v>357</v>
      </c>
      <c r="K175" s="62" t="s">
        <v>308</v>
      </c>
      <c r="L175" s="5">
        <v>4</v>
      </c>
      <c r="M175" s="70">
        <v>14156</v>
      </c>
      <c r="N175" s="44">
        <f t="shared" si="27"/>
        <v>1.9275078145014737E-2</v>
      </c>
      <c r="O175" s="44">
        <f t="shared" si="28"/>
        <v>1</v>
      </c>
      <c r="P175" s="5" t="str">
        <f t="shared" si="29"/>
        <v>C</v>
      </c>
      <c r="S175" s="51" t="s">
        <v>357</v>
      </c>
      <c r="T175" s="62" t="s">
        <v>308</v>
      </c>
      <c r="U175" s="48">
        <v>2</v>
      </c>
      <c r="V175" s="70">
        <v>7952</v>
      </c>
      <c r="W175" s="44">
        <f t="shared" si="30"/>
        <v>4.3472048913052513E-3</v>
      </c>
      <c r="X175" s="44">
        <f t="shared" si="31"/>
        <v>0.99779824349852464</v>
      </c>
      <c r="Y175" s="5" t="str">
        <f t="shared" si="32"/>
        <v>C</v>
      </c>
      <c r="AB175" s="51" t="s">
        <v>357</v>
      </c>
      <c r="AC175" s="62" t="s">
        <v>309</v>
      </c>
      <c r="AD175" s="5">
        <v>1</v>
      </c>
      <c r="AE175" s="70">
        <v>4251.25</v>
      </c>
      <c r="AF175" s="44">
        <f t="shared" si="33"/>
        <v>1.5107381938204412E-3</v>
      </c>
      <c r="AG175" s="44">
        <f t="shared" si="34"/>
        <v>1</v>
      </c>
      <c r="AH175" s="5" t="str">
        <f t="shared" si="35"/>
        <v>C</v>
      </c>
    </row>
    <row r="176" spans="1:34" x14ac:dyDescent="0.3">
      <c r="A176" s="51" t="s">
        <v>357</v>
      </c>
      <c r="B176" s="21" t="s">
        <v>359</v>
      </c>
      <c r="C176" s="20">
        <v>0</v>
      </c>
      <c r="D176" s="47">
        <v>0</v>
      </c>
      <c r="E176" s="44">
        <f t="shared" si="24"/>
        <v>0</v>
      </c>
      <c r="F176" s="44">
        <f t="shared" si="25"/>
        <v>0</v>
      </c>
      <c r="G176" s="5" t="str">
        <f t="shared" si="26"/>
        <v>A</v>
      </c>
      <c r="J176" s="51" t="s">
        <v>357</v>
      </c>
      <c r="K176" s="62" t="s">
        <v>309</v>
      </c>
      <c r="L176" s="5">
        <v>0</v>
      </c>
      <c r="M176" s="70">
        <v>0</v>
      </c>
      <c r="N176" s="44">
        <f t="shared" si="27"/>
        <v>0</v>
      </c>
      <c r="O176" s="44">
        <f t="shared" si="28"/>
        <v>1</v>
      </c>
      <c r="P176" s="5" t="str">
        <f t="shared" si="29"/>
        <v>C</v>
      </c>
      <c r="S176" s="51" t="s">
        <v>357</v>
      </c>
      <c r="T176" s="62" t="s">
        <v>309</v>
      </c>
      <c r="U176" s="48">
        <v>1</v>
      </c>
      <c r="V176" s="70">
        <v>4027.5</v>
      </c>
      <c r="W176" s="44">
        <f t="shared" si="30"/>
        <v>2.2017565014753391E-3</v>
      </c>
      <c r="X176" s="44">
        <f t="shared" si="31"/>
        <v>1</v>
      </c>
      <c r="Y176" s="5" t="str">
        <f t="shared" si="32"/>
        <v>C</v>
      </c>
      <c r="AB176" s="51" t="s">
        <v>357</v>
      </c>
      <c r="AC176" s="62" t="s">
        <v>308</v>
      </c>
      <c r="AD176" s="5">
        <v>0</v>
      </c>
      <c r="AE176" s="70">
        <v>0</v>
      </c>
      <c r="AF176" s="44">
        <f t="shared" si="33"/>
        <v>0</v>
      </c>
      <c r="AG176" s="44">
        <f t="shared" si="34"/>
        <v>1</v>
      </c>
      <c r="AH176" s="5" t="str">
        <f t="shared" si="35"/>
        <v>C</v>
      </c>
    </row>
    <row r="177" spans="1:34" x14ac:dyDescent="0.3">
      <c r="A177" s="51" t="s">
        <v>357</v>
      </c>
      <c r="B177" s="21" t="s">
        <v>188</v>
      </c>
      <c r="C177" s="20">
        <v>0</v>
      </c>
      <c r="D177" s="47">
        <v>0</v>
      </c>
      <c r="E177" s="44">
        <f t="shared" si="24"/>
        <v>0</v>
      </c>
      <c r="F177" s="44">
        <f t="shared" si="25"/>
        <v>0</v>
      </c>
      <c r="G177" s="5" t="str">
        <f t="shared" si="26"/>
        <v>A</v>
      </c>
      <c r="J177" s="51" t="s">
        <v>357</v>
      </c>
      <c r="K177" s="62" t="s">
        <v>359</v>
      </c>
      <c r="L177" s="5">
        <v>0</v>
      </c>
      <c r="M177" s="70">
        <v>0</v>
      </c>
      <c r="N177" s="44">
        <f t="shared" si="27"/>
        <v>0</v>
      </c>
      <c r="O177" s="44">
        <f t="shared" si="28"/>
        <v>1</v>
      </c>
      <c r="P177" s="5" t="str">
        <f t="shared" si="29"/>
        <v>C</v>
      </c>
      <c r="S177" s="51" t="s">
        <v>357</v>
      </c>
      <c r="T177" s="62" t="s">
        <v>359</v>
      </c>
      <c r="U177" s="48">
        <v>0</v>
      </c>
      <c r="V177" s="70">
        <v>0</v>
      </c>
      <c r="W177" s="44">
        <f t="shared" si="30"/>
        <v>0</v>
      </c>
      <c r="X177" s="44">
        <f t="shared" si="31"/>
        <v>1</v>
      </c>
      <c r="Y177" s="5" t="str">
        <f t="shared" si="32"/>
        <v>C</v>
      </c>
      <c r="AB177" s="51" t="s">
        <v>357</v>
      </c>
      <c r="AC177" s="62" t="s">
        <v>359</v>
      </c>
      <c r="AD177" s="5">
        <v>0</v>
      </c>
      <c r="AE177" s="70">
        <v>0</v>
      </c>
      <c r="AF177" s="44">
        <f t="shared" si="33"/>
        <v>0</v>
      </c>
      <c r="AG177" s="44">
        <f t="shared" si="34"/>
        <v>1</v>
      </c>
      <c r="AH177" s="5" t="str">
        <f t="shared" si="35"/>
        <v>C</v>
      </c>
    </row>
    <row r="178" spans="1:34" x14ac:dyDescent="0.3">
      <c r="A178" s="51" t="s">
        <v>388</v>
      </c>
      <c r="B178" s="21" t="s">
        <v>233</v>
      </c>
      <c r="C178" s="20">
        <v>184</v>
      </c>
      <c r="D178" s="47">
        <v>228586.93890000004</v>
      </c>
      <c r="E178" s="44">
        <f t="shared" si="24"/>
        <v>0.87817142373241774</v>
      </c>
      <c r="F178" s="44">
        <f t="shared" si="25"/>
        <v>0.87817142373241774</v>
      </c>
      <c r="G178" s="5" t="str">
        <f t="shared" si="26"/>
        <v>A</v>
      </c>
      <c r="J178" s="51" t="s">
        <v>388</v>
      </c>
      <c r="K178" s="62" t="s">
        <v>291</v>
      </c>
      <c r="L178" s="5">
        <v>655</v>
      </c>
      <c r="M178" s="70">
        <v>2246460.6</v>
      </c>
      <c r="N178" s="44">
        <f t="shared" si="27"/>
        <v>0.80723316599615547</v>
      </c>
      <c r="O178" s="44">
        <f t="shared" si="28"/>
        <v>0.80723316599615547</v>
      </c>
      <c r="P178" s="5" t="str">
        <f t="shared" si="29"/>
        <v>A</v>
      </c>
      <c r="S178" s="51" t="s">
        <v>388</v>
      </c>
      <c r="T178" s="62" t="s">
        <v>292</v>
      </c>
      <c r="U178" s="48">
        <v>227</v>
      </c>
      <c r="V178" s="70">
        <v>695052.64999999991</v>
      </c>
      <c r="W178" s="44">
        <f t="shared" si="30"/>
        <v>0.42617024843291595</v>
      </c>
      <c r="X178" s="44">
        <f t="shared" si="31"/>
        <v>0.42617024843291595</v>
      </c>
      <c r="Y178" s="5" t="str">
        <f t="shared" si="32"/>
        <v>A</v>
      </c>
      <c r="AB178" s="51" t="s">
        <v>388</v>
      </c>
      <c r="AC178" s="62" t="s">
        <v>291</v>
      </c>
      <c r="AD178" s="5">
        <v>189</v>
      </c>
      <c r="AE178" s="70">
        <v>754909.05</v>
      </c>
      <c r="AF178" s="44">
        <f t="shared" si="33"/>
        <v>0.54823592192020154</v>
      </c>
      <c r="AG178" s="44">
        <f t="shared" si="34"/>
        <v>0.54823592192020154</v>
      </c>
      <c r="AH178" s="5" t="str">
        <f t="shared" si="35"/>
        <v>A</v>
      </c>
    </row>
    <row r="179" spans="1:34" x14ac:dyDescent="0.3">
      <c r="A179" s="51" t="s">
        <v>388</v>
      </c>
      <c r="B179" s="21" t="s">
        <v>291</v>
      </c>
      <c r="C179" s="20">
        <v>12</v>
      </c>
      <c r="D179" s="47">
        <v>31711.8282</v>
      </c>
      <c r="E179" s="44">
        <f t="shared" si="24"/>
        <v>0.12182857626758231</v>
      </c>
      <c r="F179" s="44">
        <f t="shared" si="25"/>
        <v>1</v>
      </c>
      <c r="G179" s="5" t="str">
        <f t="shared" si="26"/>
        <v>C</v>
      </c>
      <c r="J179" s="51" t="s">
        <v>388</v>
      </c>
      <c r="K179" s="62" t="s">
        <v>292</v>
      </c>
      <c r="L179" s="5">
        <v>166</v>
      </c>
      <c r="M179" s="70">
        <v>360673</v>
      </c>
      <c r="N179" s="44">
        <f t="shared" si="27"/>
        <v>0.129602632549768</v>
      </c>
      <c r="O179" s="44">
        <f t="shared" si="28"/>
        <v>0.93683579854592347</v>
      </c>
      <c r="P179" s="5" t="str">
        <f t="shared" si="29"/>
        <v>B</v>
      </c>
      <c r="S179" s="51" t="s">
        <v>388</v>
      </c>
      <c r="T179" s="62" t="s">
        <v>291</v>
      </c>
      <c r="U179" s="48">
        <v>196</v>
      </c>
      <c r="V179" s="70">
        <v>610256.41999999993</v>
      </c>
      <c r="W179" s="44">
        <f t="shared" si="30"/>
        <v>0.37417759664563816</v>
      </c>
      <c r="X179" s="44">
        <f t="shared" si="31"/>
        <v>0.80034784507855417</v>
      </c>
      <c r="Y179" s="5" t="str">
        <f t="shared" si="32"/>
        <v>B</v>
      </c>
      <c r="AB179" s="51" t="s">
        <v>388</v>
      </c>
      <c r="AC179" s="62" t="s">
        <v>292</v>
      </c>
      <c r="AD179" s="5">
        <v>105</v>
      </c>
      <c r="AE179" s="70">
        <v>273535</v>
      </c>
      <c r="AF179" s="44">
        <f t="shared" si="33"/>
        <v>0.19864871523588479</v>
      </c>
      <c r="AG179" s="44">
        <f t="shared" si="34"/>
        <v>0.74688463715608633</v>
      </c>
      <c r="AH179" s="5" t="str">
        <f t="shared" si="35"/>
        <v>A</v>
      </c>
    </row>
    <row r="180" spans="1:34" x14ac:dyDescent="0.3">
      <c r="A180" s="51" t="s">
        <v>388</v>
      </c>
      <c r="B180" s="21" t="s">
        <v>230</v>
      </c>
      <c r="C180" s="20">
        <v>0</v>
      </c>
      <c r="D180" s="47">
        <v>0</v>
      </c>
      <c r="E180" s="44">
        <f t="shared" si="24"/>
        <v>0</v>
      </c>
      <c r="F180" s="44">
        <f t="shared" si="25"/>
        <v>1</v>
      </c>
      <c r="G180" s="5" t="str">
        <f t="shared" si="26"/>
        <v>C</v>
      </c>
      <c r="J180" s="51" t="s">
        <v>388</v>
      </c>
      <c r="K180" s="62" t="s">
        <v>299</v>
      </c>
      <c r="L180" s="5">
        <v>9</v>
      </c>
      <c r="M180" s="70">
        <v>85401.95</v>
      </c>
      <c r="N180" s="44">
        <f t="shared" si="27"/>
        <v>3.0687957082686141E-2</v>
      </c>
      <c r="O180" s="44">
        <f t="shared" si="28"/>
        <v>0.96752375562860959</v>
      </c>
      <c r="P180" s="5" t="str">
        <f t="shared" si="29"/>
        <v>C</v>
      </c>
      <c r="S180" s="51" t="s">
        <v>388</v>
      </c>
      <c r="T180" s="62" t="s">
        <v>233</v>
      </c>
      <c r="U180" s="48">
        <v>60</v>
      </c>
      <c r="V180" s="70">
        <v>152805.65000000002</v>
      </c>
      <c r="W180" s="44">
        <f t="shared" si="30"/>
        <v>9.3692502031973005E-2</v>
      </c>
      <c r="X180" s="44">
        <f t="shared" si="31"/>
        <v>0.89404034711052716</v>
      </c>
      <c r="Y180" s="5" t="str">
        <f t="shared" si="32"/>
        <v>B</v>
      </c>
      <c r="AB180" s="51" t="s">
        <v>388</v>
      </c>
      <c r="AC180" s="62" t="s">
        <v>233</v>
      </c>
      <c r="AD180" s="5">
        <v>81</v>
      </c>
      <c r="AE180" s="70">
        <v>222731.9</v>
      </c>
      <c r="AF180" s="44">
        <f t="shared" si="33"/>
        <v>0.16175409281096592</v>
      </c>
      <c r="AG180" s="44">
        <f t="shared" si="34"/>
        <v>0.90863872996705219</v>
      </c>
      <c r="AH180" s="5" t="str">
        <f t="shared" si="35"/>
        <v>B</v>
      </c>
    </row>
    <row r="181" spans="1:34" x14ac:dyDescent="0.3">
      <c r="A181" s="51" t="s">
        <v>388</v>
      </c>
      <c r="B181" s="21" t="s">
        <v>299</v>
      </c>
      <c r="C181" s="20">
        <v>0</v>
      </c>
      <c r="D181" s="47">
        <v>0</v>
      </c>
      <c r="E181" s="44">
        <f t="shared" si="24"/>
        <v>0</v>
      </c>
      <c r="F181" s="44">
        <f t="shared" si="25"/>
        <v>1</v>
      </c>
      <c r="G181" s="5" t="str">
        <f t="shared" si="26"/>
        <v>C</v>
      </c>
      <c r="J181" s="51" t="s">
        <v>388</v>
      </c>
      <c r="K181" s="62" t="s">
        <v>233</v>
      </c>
      <c r="L181" s="5">
        <v>23</v>
      </c>
      <c r="M181" s="70">
        <v>52723.6</v>
      </c>
      <c r="N181" s="44">
        <f t="shared" si="27"/>
        <v>1.8945464056086672E-2</v>
      </c>
      <c r="O181" s="44">
        <f t="shared" si="28"/>
        <v>0.98646921968469625</v>
      </c>
      <c r="P181" s="5" t="str">
        <f t="shared" si="29"/>
        <v>C</v>
      </c>
      <c r="S181" s="51" t="s">
        <v>388</v>
      </c>
      <c r="T181" s="62" t="s">
        <v>300</v>
      </c>
      <c r="U181" s="48">
        <v>15</v>
      </c>
      <c r="V181" s="70">
        <v>78209.98000000001</v>
      </c>
      <c r="W181" s="44">
        <f t="shared" si="30"/>
        <v>4.7954304766025135E-2</v>
      </c>
      <c r="X181" s="44">
        <f t="shared" si="31"/>
        <v>0.94199465187655229</v>
      </c>
      <c r="Y181" s="5" t="str">
        <f t="shared" si="32"/>
        <v>B</v>
      </c>
      <c r="AB181" s="51" t="s">
        <v>388</v>
      </c>
      <c r="AC181" s="62" t="s">
        <v>300</v>
      </c>
      <c r="AD181" s="5">
        <v>17</v>
      </c>
      <c r="AE181" s="70">
        <v>91475</v>
      </c>
      <c r="AF181" s="44">
        <f t="shared" si="33"/>
        <v>6.643168598608061E-2</v>
      </c>
      <c r="AG181" s="44">
        <f t="shared" si="34"/>
        <v>0.97507041595313282</v>
      </c>
      <c r="AH181" s="5" t="str">
        <f t="shared" si="35"/>
        <v>C</v>
      </c>
    </row>
    <row r="182" spans="1:34" x14ac:dyDescent="0.3">
      <c r="A182" s="51" t="s">
        <v>388</v>
      </c>
      <c r="B182" s="21" t="s">
        <v>292</v>
      </c>
      <c r="C182" s="20">
        <v>0</v>
      </c>
      <c r="D182" s="47">
        <v>0</v>
      </c>
      <c r="E182" s="44">
        <f t="shared" si="24"/>
        <v>0</v>
      </c>
      <c r="F182" s="44">
        <f t="shared" si="25"/>
        <v>1</v>
      </c>
      <c r="G182" s="5" t="str">
        <f t="shared" si="26"/>
        <v>C</v>
      </c>
      <c r="J182" s="51" t="s">
        <v>388</v>
      </c>
      <c r="K182" s="62" t="s">
        <v>230</v>
      </c>
      <c r="L182" s="5">
        <v>2</v>
      </c>
      <c r="M182" s="70">
        <v>19460</v>
      </c>
      <c r="N182" s="44">
        <f t="shared" si="27"/>
        <v>6.9926698960512297E-3</v>
      </c>
      <c r="O182" s="44">
        <f t="shared" si="28"/>
        <v>0.99346188958074744</v>
      </c>
      <c r="P182" s="5" t="str">
        <f t="shared" si="29"/>
        <v>C</v>
      </c>
      <c r="S182" s="51" t="s">
        <v>388</v>
      </c>
      <c r="T182" s="62" t="s">
        <v>230</v>
      </c>
      <c r="U182" s="48">
        <v>7</v>
      </c>
      <c r="V182" s="70">
        <v>56202.5</v>
      </c>
      <c r="W182" s="44">
        <f t="shared" si="30"/>
        <v>3.4460459056664214E-2</v>
      </c>
      <c r="X182" s="44">
        <f t="shared" si="31"/>
        <v>0.97645511093321646</v>
      </c>
      <c r="Y182" s="5" t="str">
        <f t="shared" si="32"/>
        <v>C</v>
      </c>
      <c r="AB182" s="51" t="s">
        <v>388</v>
      </c>
      <c r="AC182" s="62" t="s">
        <v>298</v>
      </c>
      <c r="AD182" s="5">
        <v>3</v>
      </c>
      <c r="AE182" s="70">
        <v>32415</v>
      </c>
      <c r="AF182" s="44">
        <f t="shared" si="33"/>
        <v>2.3540673421577514E-2</v>
      </c>
      <c r="AG182" s="44">
        <f t="shared" si="34"/>
        <v>0.99861108937471033</v>
      </c>
      <c r="AH182" s="5" t="str">
        <f t="shared" si="35"/>
        <v>C</v>
      </c>
    </row>
    <row r="183" spans="1:34" x14ac:dyDescent="0.3">
      <c r="A183" s="51" t="s">
        <v>388</v>
      </c>
      <c r="B183" s="21" t="s">
        <v>298</v>
      </c>
      <c r="C183" s="20">
        <v>0</v>
      </c>
      <c r="D183" s="47">
        <v>0</v>
      </c>
      <c r="E183" s="44">
        <f t="shared" si="24"/>
        <v>0</v>
      </c>
      <c r="F183" s="44">
        <f t="shared" si="25"/>
        <v>1</v>
      </c>
      <c r="G183" s="5" t="str">
        <f t="shared" si="26"/>
        <v>C</v>
      </c>
      <c r="J183" s="51" t="s">
        <v>388</v>
      </c>
      <c r="K183" s="62" t="s">
        <v>300</v>
      </c>
      <c r="L183" s="5">
        <v>1</v>
      </c>
      <c r="M183" s="70">
        <v>9965</v>
      </c>
      <c r="N183" s="44">
        <f t="shared" si="27"/>
        <v>3.5807788033993069E-3</v>
      </c>
      <c r="O183" s="44">
        <f t="shared" si="28"/>
        <v>0.99704266838414679</v>
      </c>
      <c r="P183" s="5" t="str">
        <f t="shared" si="29"/>
        <v>C</v>
      </c>
      <c r="S183" s="51" t="s">
        <v>388</v>
      </c>
      <c r="T183" s="62" t="s">
        <v>298</v>
      </c>
      <c r="U183" s="48">
        <v>7</v>
      </c>
      <c r="V183" s="70">
        <v>38400</v>
      </c>
      <c r="W183" s="44">
        <f t="shared" si="30"/>
        <v>2.3544889066783609E-2</v>
      </c>
      <c r="X183" s="44">
        <f t="shared" si="31"/>
        <v>1</v>
      </c>
      <c r="Y183" s="5" t="str">
        <f t="shared" si="32"/>
        <v>C</v>
      </c>
      <c r="AB183" s="51" t="s">
        <v>388</v>
      </c>
      <c r="AC183" s="62" t="s">
        <v>230</v>
      </c>
      <c r="AD183" s="5">
        <v>3</v>
      </c>
      <c r="AE183" s="70">
        <v>1912.5</v>
      </c>
      <c r="AF183" s="44">
        <f t="shared" si="33"/>
        <v>1.3889106252897422E-3</v>
      </c>
      <c r="AG183" s="44">
        <f t="shared" si="34"/>
        <v>1</v>
      </c>
      <c r="AH183" s="5" t="str">
        <f t="shared" si="35"/>
        <v>C</v>
      </c>
    </row>
    <row r="184" spans="1:34" x14ac:dyDescent="0.3">
      <c r="A184" s="51" t="s">
        <v>388</v>
      </c>
      <c r="B184" s="21" t="s">
        <v>301</v>
      </c>
      <c r="C184" s="20">
        <v>0</v>
      </c>
      <c r="D184" s="47">
        <v>0</v>
      </c>
      <c r="E184" s="44">
        <f t="shared" si="24"/>
        <v>0</v>
      </c>
      <c r="F184" s="44">
        <f t="shared" si="25"/>
        <v>1</v>
      </c>
      <c r="G184" s="5" t="str">
        <f t="shared" si="26"/>
        <v>C</v>
      </c>
      <c r="J184" s="51" t="s">
        <v>388</v>
      </c>
      <c r="K184" s="62" t="s">
        <v>298</v>
      </c>
      <c r="L184" s="5">
        <v>1</v>
      </c>
      <c r="M184" s="70">
        <v>8230</v>
      </c>
      <c r="N184" s="44">
        <f t="shared" si="27"/>
        <v>2.9573316158531151E-3</v>
      </c>
      <c r="O184" s="44">
        <f t="shared" si="28"/>
        <v>0.99999999999999989</v>
      </c>
      <c r="P184" s="5" t="str">
        <f t="shared" si="29"/>
        <v>C</v>
      </c>
      <c r="S184" s="51" t="s">
        <v>388</v>
      </c>
      <c r="T184" s="62" t="s">
        <v>299</v>
      </c>
      <c r="U184" s="48">
        <v>0</v>
      </c>
      <c r="V184" s="70">
        <v>0</v>
      </c>
      <c r="W184" s="44">
        <f t="shared" si="30"/>
        <v>0</v>
      </c>
      <c r="X184" s="44">
        <f t="shared" si="31"/>
        <v>1</v>
      </c>
      <c r="Y184" s="5" t="str">
        <f t="shared" si="32"/>
        <v>C</v>
      </c>
      <c r="AB184" s="51" t="s">
        <v>388</v>
      </c>
      <c r="AC184" s="62" t="s">
        <v>299</v>
      </c>
      <c r="AD184" s="5">
        <v>0</v>
      </c>
      <c r="AE184" s="70">
        <v>0</v>
      </c>
      <c r="AF184" s="44">
        <f t="shared" si="33"/>
        <v>0</v>
      </c>
      <c r="AG184" s="44">
        <f t="shared" si="34"/>
        <v>1</v>
      </c>
      <c r="AH184" s="5" t="str">
        <f t="shared" si="35"/>
        <v>C</v>
      </c>
    </row>
    <row r="185" spans="1:34" x14ac:dyDescent="0.3">
      <c r="A185" s="51" t="s">
        <v>388</v>
      </c>
      <c r="B185" s="21" t="s">
        <v>300</v>
      </c>
      <c r="C185" s="20">
        <v>0</v>
      </c>
      <c r="D185" s="47">
        <v>0</v>
      </c>
      <c r="E185" s="44">
        <f t="shared" si="24"/>
        <v>0</v>
      </c>
      <c r="F185" s="44">
        <f t="shared" si="25"/>
        <v>1</v>
      </c>
      <c r="G185" s="5" t="str">
        <f t="shared" si="26"/>
        <v>C</v>
      </c>
      <c r="J185" s="51" t="s">
        <v>388</v>
      </c>
      <c r="K185" s="62" t="s">
        <v>301</v>
      </c>
      <c r="L185" s="5">
        <v>0</v>
      </c>
      <c r="M185" s="70">
        <v>0</v>
      </c>
      <c r="N185" s="44">
        <f t="shared" si="27"/>
        <v>0</v>
      </c>
      <c r="O185" s="44">
        <f t="shared" si="28"/>
        <v>0.99999999999999989</v>
      </c>
      <c r="P185" s="5" t="str">
        <f t="shared" si="29"/>
        <v>C</v>
      </c>
      <c r="S185" s="51" t="s">
        <v>388</v>
      </c>
      <c r="T185" s="62" t="s">
        <v>301</v>
      </c>
      <c r="U185" s="48">
        <v>0</v>
      </c>
      <c r="V185" s="70">
        <v>0</v>
      </c>
      <c r="W185" s="44">
        <f t="shared" si="30"/>
        <v>0</v>
      </c>
      <c r="X185" s="44">
        <f t="shared" si="31"/>
        <v>1</v>
      </c>
      <c r="Y185" s="5" t="str">
        <f t="shared" si="32"/>
        <v>C</v>
      </c>
      <c r="AB185" s="51" t="s">
        <v>388</v>
      </c>
      <c r="AC185" s="62" t="s">
        <v>301</v>
      </c>
      <c r="AD185" s="5">
        <v>0</v>
      </c>
      <c r="AE185" s="70">
        <v>0</v>
      </c>
      <c r="AF185" s="44">
        <f t="shared" si="33"/>
        <v>0</v>
      </c>
      <c r="AG185" s="44">
        <f t="shared" si="34"/>
        <v>1</v>
      </c>
      <c r="AH185" s="5" t="str">
        <f t="shared" si="35"/>
        <v>C</v>
      </c>
    </row>
    <row r="186" spans="1:34" x14ac:dyDescent="0.3">
      <c r="A186" s="51" t="s">
        <v>254</v>
      </c>
      <c r="B186" s="21" t="s">
        <v>235</v>
      </c>
      <c r="C186" s="20">
        <v>92</v>
      </c>
      <c r="D186" s="47">
        <v>140746.1575</v>
      </c>
      <c r="E186" s="44">
        <f t="shared" si="24"/>
        <v>0.38149970856096049</v>
      </c>
      <c r="F186" s="44">
        <f t="shared" si="25"/>
        <v>0.38149970856096049</v>
      </c>
      <c r="G186" s="5" t="str">
        <f t="shared" si="26"/>
        <v>A</v>
      </c>
      <c r="J186" s="51" t="s">
        <v>254</v>
      </c>
      <c r="K186" s="62" t="s">
        <v>216</v>
      </c>
      <c r="L186" s="5">
        <v>268</v>
      </c>
      <c r="M186" s="70">
        <v>225578.40000000002</v>
      </c>
      <c r="N186" s="44">
        <f t="shared" si="27"/>
        <v>0.53388178214306847</v>
      </c>
      <c r="O186" s="44">
        <f t="shared" si="28"/>
        <v>0.53388178214306847</v>
      </c>
      <c r="P186" s="5" t="str">
        <f t="shared" si="29"/>
        <v>A</v>
      </c>
      <c r="S186" s="51" t="s">
        <v>254</v>
      </c>
      <c r="T186" s="62" t="s">
        <v>235</v>
      </c>
      <c r="U186" s="48">
        <v>334</v>
      </c>
      <c r="V186" s="70">
        <v>778664.4</v>
      </c>
      <c r="W186" s="44">
        <f t="shared" si="30"/>
        <v>0.50128844488251512</v>
      </c>
      <c r="X186" s="44">
        <f t="shared" si="31"/>
        <v>0.50128844488251512</v>
      </c>
      <c r="Y186" s="5" t="str">
        <f t="shared" si="32"/>
        <v>A</v>
      </c>
      <c r="AB186" s="51" t="s">
        <v>254</v>
      </c>
      <c r="AC186" s="62" t="s">
        <v>219</v>
      </c>
      <c r="AD186" s="5">
        <v>211</v>
      </c>
      <c r="AE186" s="70">
        <v>334844.75</v>
      </c>
      <c r="AF186" s="44">
        <f t="shared" si="33"/>
        <v>0.57746613681859205</v>
      </c>
      <c r="AG186" s="44">
        <f t="shared" si="34"/>
        <v>0.57746613681859205</v>
      </c>
      <c r="AH186" s="5" t="str">
        <f t="shared" si="35"/>
        <v>A</v>
      </c>
    </row>
    <row r="187" spans="1:34" x14ac:dyDescent="0.3">
      <c r="A187" s="51" t="s">
        <v>254</v>
      </c>
      <c r="B187" s="21" t="s">
        <v>219</v>
      </c>
      <c r="C187" s="20">
        <v>127</v>
      </c>
      <c r="D187" s="47">
        <v>130407.57319999998</v>
      </c>
      <c r="E187" s="44">
        <f t="shared" si="24"/>
        <v>0.35347644336181694</v>
      </c>
      <c r="F187" s="44">
        <f t="shared" si="25"/>
        <v>0.73497615192277743</v>
      </c>
      <c r="G187" s="5" t="str">
        <f t="shared" si="26"/>
        <v>A</v>
      </c>
      <c r="J187" s="51" t="s">
        <v>254</v>
      </c>
      <c r="K187" s="62" t="s">
        <v>219</v>
      </c>
      <c r="L187" s="5">
        <v>69</v>
      </c>
      <c r="M187" s="70">
        <v>120461.6</v>
      </c>
      <c r="N187" s="44">
        <f t="shared" si="27"/>
        <v>0.28509934323412817</v>
      </c>
      <c r="O187" s="44">
        <f t="shared" si="28"/>
        <v>0.81898112537719658</v>
      </c>
      <c r="P187" s="5" t="str">
        <f t="shared" si="29"/>
        <v>B</v>
      </c>
      <c r="S187" s="51" t="s">
        <v>254</v>
      </c>
      <c r="T187" s="62" t="s">
        <v>219</v>
      </c>
      <c r="U187" s="48">
        <v>255</v>
      </c>
      <c r="V187" s="70">
        <v>299409.59999999998</v>
      </c>
      <c r="W187" s="44">
        <f t="shared" si="30"/>
        <v>0.19275386516565532</v>
      </c>
      <c r="X187" s="44">
        <f t="shared" si="31"/>
        <v>0.69404231004817041</v>
      </c>
      <c r="Y187" s="5" t="str">
        <f t="shared" si="32"/>
        <v>A</v>
      </c>
      <c r="AB187" s="51" t="s">
        <v>254</v>
      </c>
      <c r="AC187" s="62" t="s">
        <v>216</v>
      </c>
      <c r="AD187" s="5">
        <v>130</v>
      </c>
      <c r="AE187" s="70">
        <v>158522.09999999998</v>
      </c>
      <c r="AF187" s="44">
        <f t="shared" si="33"/>
        <v>0.27338384337030969</v>
      </c>
      <c r="AG187" s="44">
        <f t="shared" si="34"/>
        <v>0.85084998018890179</v>
      </c>
      <c r="AH187" s="5" t="str">
        <f t="shared" si="35"/>
        <v>B</v>
      </c>
    </row>
    <row r="188" spans="1:34" x14ac:dyDescent="0.3">
      <c r="A188" s="51" t="s">
        <v>254</v>
      </c>
      <c r="B188" s="21" t="s">
        <v>217</v>
      </c>
      <c r="C188" s="20">
        <v>50</v>
      </c>
      <c r="D188" s="47">
        <v>52739.88</v>
      </c>
      <c r="E188" s="44">
        <f t="shared" si="24"/>
        <v>0.14295416093004193</v>
      </c>
      <c r="F188" s="44">
        <f t="shared" si="25"/>
        <v>0.87793031285281931</v>
      </c>
      <c r="G188" s="5" t="str">
        <f t="shared" si="26"/>
        <v>B</v>
      </c>
      <c r="J188" s="51" t="s">
        <v>254</v>
      </c>
      <c r="K188" s="62" t="s">
        <v>214</v>
      </c>
      <c r="L188" s="5">
        <v>18</v>
      </c>
      <c r="M188" s="70">
        <v>37980</v>
      </c>
      <c r="N188" s="44">
        <f t="shared" si="27"/>
        <v>8.9888172297497196E-2</v>
      </c>
      <c r="O188" s="44">
        <f t="shared" si="28"/>
        <v>0.90886929767469382</v>
      </c>
      <c r="P188" s="5" t="str">
        <f t="shared" si="29"/>
        <v>B</v>
      </c>
      <c r="S188" s="51" t="s">
        <v>254</v>
      </c>
      <c r="T188" s="62" t="s">
        <v>220</v>
      </c>
      <c r="U188" s="48">
        <v>145</v>
      </c>
      <c r="V188" s="70">
        <v>200391.25</v>
      </c>
      <c r="W188" s="44">
        <f t="shared" si="30"/>
        <v>0.12900784738658055</v>
      </c>
      <c r="X188" s="44">
        <f t="shared" si="31"/>
        <v>0.82305015743475096</v>
      </c>
      <c r="Y188" s="5" t="str">
        <f t="shared" si="32"/>
        <v>B</v>
      </c>
      <c r="AB188" s="51" t="s">
        <v>254</v>
      </c>
      <c r="AC188" s="62" t="s">
        <v>282</v>
      </c>
      <c r="AD188" s="5">
        <v>31</v>
      </c>
      <c r="AE188" s="70">
        <v>43710</v>
      </c>
      <c r="AF188" s="44">
        <f t="shared" si="33"/>
        <v>7.5381336695112156E-2</v>
      </c>
      <c r="AG188" s="44">
        <f t="shared" si="34"/>
        <v>0.92623131688401394</v>
      </c>
      <c r="AH188" s="5" t="str">
        <f t="shared" si="35"/>
        <v>B</v>
      </c>
    </row>
    <row r="189" spans="1:34" x14ac:dyDescent="0.3">
      <c r="A189" s="51" t="s">
        <v>254</v>
      </c>
      <c r="B189" s="21" t="s">
        <v>237</v>
      </c>
      <c r="C189" s="20">
        <v>31</v>
      </c>
      <c r="D189" s="47">
        <v>41384.413799999995</v>
      </c>
      <c r="E189" s="44">
        <f t="shared" si="24"/>
        <v>0.1121745849698681</v>
      </c>
      <c r="F189" s="44">
        <f t="shared" si="25"/>
        <v>0.9901048978226874</v>
      </c>
      <c r="G189" s="5" t="str">
        <f t="shared" si="26"/>
        <v>C</v>
      </c>
      <c r="J189" s="51" t="s">
        <v>254</v>
      </c>
      <c r="K189" s="62" t="s">
        <v>235</v>
      </c>
      <c r="L189" s="5">
        <v>10</v>
      </c>
      <c r="M189" s="70">
        <v>21936</v>
      </c>
      <c r="N189" s="44">
        <f t="shared" si="27"/>
        <v>5.1916454647653987E-2</v>
      </c>
      <c r="O189" s="44">
        <f t="shared" si="28"/>
        <v>0.96078575232234775</v>
      </c>
      <c r="P189" s="5" t="str">
        <f t="shared" si="29"/>
        <v>C</v>
      </c>
      <c r="S189" s="51" t="s">
        <v>254</v>
      </c>
      <c r="T189" s="62" t="s">
        <v>217</v>
      </c>
      <c r="U189" s="48">
        <v>142</v>
      </c>
      <c r="V189" s="70">
        <v>169697.5</v>
      </c>
      <c r="W189" s="44">
        <f t="shared" si="30"/>
        <v>0.10924782984229228</v>
      </c>
      <c r="X189" s="44">
        <f t="shared" si="31"/>
        <v>0.93229798727704327</v>
      </c>
      <c r="Y189" s="5" t="str">
        <f t="shared" si="32"/>
        <v>B</v>
      </c>
      <c r="AB189" s="51" t="s">
        <v>254</v>
      </c>
      <c r="AC189" s="62" t="s">
        <v>236</v>
      </c>
      <c r="AD189" s="5">
        <v>13</v>
      </c>
      <c r="AE189" s="70">
        <v>27433.9</v>
      </c>
      <c r="AF189" s="44">
        <f t="shared" si="33"/>
        <v>4.7311920676276306E-2</v>
      </c>
      <c r="AG189" s="44">
        <f t="shared" si="34"/>
        <v>0.97354323756029026</v>
      </c>
      <c r="AH189" s="5" t="str">
        <f t="shared" si="35"/>
        <v>C</v>
      </c>
    </row>
    <row r="190" spans="1:34" x14ac:dyDescent="0.3">
      <c r="A190" s="51" t="s">
        <v>254</v>
      </c>
      <c r="B190" s="21" t="s">
        <v>236</v>
      </c>
      <c r="C190" s="20">
        <v>3</v>
      </c>
      <c r="D190" s="47">
        <v>3650.5862999999999</v>
      </c>
      <c r="E190" s="44">
        <f t="shared" si="24"/>
        <v>9.8951021773126206E-3</v>
      </c>
      <c r="F190" s="44">
        <f t="shared" si="25"/>
        <v>1</v>
      </c>
      <c r="G190" s="5" t="str">
        <f t="shared" si="26"/>
        <v>C</v>
      </c>
      <c r="J190" s="51" t="s">
        <v>254</v>
      </c>
      <c r="K190" s="62" t="s">
        <v>217</v>
      </c>
      <c r="L190" s="5">
        <v>14</v>
      </c>
      <c r="M190" s="70">
        <v>16569</v>
      </c>
      <c r="N190" s="44">
        <f t="shared" si="27"/>
        <v>3.9214247677652213E-2</v>
      </c>
      <c r="O190" s="44">
        <f t="shared" si="28"/>
        <v>1</v>
      </c>
      <c r="P190" s="5" t="str">
        <f t="shared" si="29"/>
        <v>C</v>
      </c>
      <c r="S190" s="51" t="s">
        <v>254</v>
      </c>
      <c r="T190" s="62" t="s">
        <v>216</v>
      </c>
      <c r="U190" s="48">
        <v>57</v>
      </c>
      <c r="V190" s="70">
        <v>64202.3</v>
      </c>
      <c r="W190" s="44">
        <f t="shared" si="30"/>
        <v>4.1332146589571454E-2</v>
      </c>
      <c r="X190" s="44">
        <f t="shared" si="31"/>
        <v>0.97363013386661468</v>
      </c>
      <c r="Y190" s="5" t="str">
        <f t="shared" si="32"/>
        <v>C</v>
      </c>
      <c r="AB190" s="51" t="s">
        <v>254</v>
      </c>
      <c r="AC190" s="62" t="s">
        <v>217</v>
      </c>
      <c r="AD190" s="5">
        <v>11</v>
      </c>
      <c r="AE190" s="70">
        <v>15341</v>
      </c>
      <c r="AF190" s="44">
        <f t="shared" si="33"/>
        <v>2.6456762439709805E-2</v>
      </c>
      <c r="AG190" s="44">
        <f t="shared" si="34"/>
        <v>1</v>
      </c>
      <c r="AH190" s="5" t="str">
        <f t="shared" si="35"/>
        <v>C</v>
      </c>
    </row>
    <row r="191" spans="1:34" x14ac:dyDescent="0.3">
      <c r="A191" s="51" t="s">
        <v>254</v>
      </c>
      <c r="B191" s="21" t="s">
        <v>214</v>
      </c>
      <c r="C191" s="20">
        <v>0</v>
      </c>
      <c r="D191" s="47">
        <v>0</v>
      </c>
      <c r="E191" s="44">
        <f t="shared" si="24"/>
        <v>0</v>
      </c>
      <c r="F191" s="44">
        <f t="shared" si="25"/>
        <v>1</v>
      </c>
      <c r="G191" s="5" t="str">
        <f t="shared" si="26"/>
        <v>C</v>
      </c>
      <c r="J191" s="51" t="s">
        <v>254</v>
      </c>
      <c r="K191" s="62" t="s">
        <v>236</v>
      </c>
      <c r="L191" s="5">
        <v>0</v>
      </c>
      <c r="M191" s="70">
        <v>0</v>
      </c>
      <c r="N191" s="44">
        <f t="shared" si="27"/>
        <v>0</v>
      </c>
      <c r="O191" s="44">
        <f t="shared" si="28"/>
        <v>1</v>
      </c>
      <c r="P191" s="5" t="str">
        <f t="shared" si="29"/>
        <v>C</v>
      </c>
      <c r="S191" s="51" t="s">
        <v>254</v>
      </c>
      <c r="T191" s="62" t="s">
        <v>218</v>
      </c>
      <c r="U191" s="48">
        <v>20</v>
      </c>
      <c r="V191" s="70">
        <v>29516</v>
      </c>
      <c r="W191" s="44">
        <f t="shared" si="30"/>
        <v>1.9001805834647528E-2</v>
      </c>
      <c r="X191" s="44">
        <f t="shared" si="31"/>
        <v>0.99263193970126218</v>
      </c>
      <c r="Y191" s="5" t="str">
        <f t="shared" si="32"/>
        <v>C</v>
      </c>
      <c r="AB191" s="51" t="s">
        <v>254</v>
      </c>
      <c r="AC191" s="62" t="s">
        <v>235</v>
      </c>
      <c r="AD191" s="5">
        <v>0</v>
      </c>
      <c r="AE191" s="70">
        <v>0</v>
      </c>
      <c r="AF191" s="44">
        <f t="shared" si="33"/>
        <v>0</v>
      </c>
      <c r="AG191" s="44">
        <f t="shared" si="34"/>
        <v>1</v>
      </c>
      <c r="AH191" s="5" t="str">
        <f t="shared" si="35"/>
        <v>C</v>
      </c>
    </row>
    <row r="192" spans="1:34" x14ac:dyDescent="0.3">
      <c r="A192" s="51" t="s">
        <v>254</v>
      </c>
      <c r="B192" s="21" t="s">
        <v>216</v>
      </c>
      <c r="C192" s="20">
        <v>0</v>
      </c>
      <c r="D192" s="47">
        <v>0</v>
      </c>
      <c r="E192" s="44">
        <f t="shared" si="24"/>
        <v>0</v>
      </c>
      <c r="F192" s="44">
        <f t="shared" si="25"/>
        <v>1</v>
      </c>
      <c r="G192" s="5" t="str">
        <f t="shared" si="26"/>
        <v>C</v>
      </c>
      <c r="J192" s="51" t="s">
        <v>254</v>
      </c>
      <c r="K192" s="62" t="s">
        <v>218</v>
      </c>
      <c r="L192" s="5">
        <v>0</v>
      </c>
      <c r="M192" s="70">
        <v>0</v>
      </c>
      <c r="N192" s="44">
        <f t="shared" si="27"/>
        <v>0</v>
      </c>
      <c r="O192" s="44">
        <f t="shared" si="28"/>
        <v>1</v>
      </c>
      <c r="P192" s="5" t="str">
        <f t="shared" si="29"/>
        <v>C</v>
      </c>
      <c r="S192" s="51" t="s">
        <v>254</v>
      </c>
      <c r="T192" s="62" t="s">
        <v>237</v>
      </c>
      <c r="U192" s="48">
        <v>7</v>
      </c>
      <c r="V192" s="70">
        <v>11445</v>
      </c>
      <c r="W192" s="44">
        <f t="shared" si="30"/>
        <v>7.3680602987376666E-3</v>
      </c>
      <c r="X192" s="44">
        <f t="shared" si="31"/>
        <v>0.99999999999999989</v>
      </c>
      <c r="Y192" s="5" t="str">
        <f t="shared" si="32"/>
        <v>C</v>
      </c>
      <c r="AB192" s="51" t="s">
        <v>254</v>
      </c>
      <c r="AC192" s="62" t="s">
        <v>214</v>
      </c>
      <c r="AD192" s="5">
        <v>0</v>
      </c>
      <c r="AE192" s="70">
        <v>0</v>
      </c>
      <c r="AF192" s="44">
        <f t="shared" si="33"/>
        <v>0</v>
      </c>
      <c r="AG192" s="44">
        <f t="shared" si="34"/>
        <v>1</v>
      </c>
      <c r="AH192" s="5" t="str">
        <f t="shared" si="35"/>
        <v>C</v>
      </c>
    </row>
    <row r="193" spans="1:34" x14ac:dyDescent="0.3">
      <c r="A193" s="51" t="s">
        <v>254</v>
      </c>
      <c r="B193" s="21" t="s">
        <v>218</v>
      </c>
      <c r="C193" s="20">
        <v>0</v>
      </c>
      <c r="D193" s="47">
        <v>0</v>
      </c>
      <c r="E193" s="44">
        <f t="shared" si="24"/>
        <v>0</v>
      </c>
      <c r="F193" s="44">
        <f t="shared" si="25"/>
        <v>1</v>
      </c>
      <c r="G193" s="5" t="str">
        <f t="shared" si="26"/>
        <v>C</v>
      </c>
      <c r="J193" s="51" t="s">
        <v>254</v>
      </c>
      <c r="K193" s="62" t="s">
        <v>282</v>
      </c>
      <c r="L193" s="5">
        <v>0</v>
      </c>
      <c r="M193" s="70">
        <v>0</v>
      </c>
      <c r="N193" s="44">
        <f t="shared" si="27"/>
        <v>0</v>
      </c>
      <c r="O193" s="44">
        <f t="shared" si="28"/>
        <v>1</v>
      </c>
      <c r="P193" s="5" t="str">
        <f t="shared" si="29"/>
        <v>C</v>
      </c>
      <c r="S193" s="51" t="s">
        <v>254</v>
      </c>
      <c r="T193" s="62" t="s">
        <v>236</v>
      </c>
      <c r="U193" s="48">
        <v>0</v>
      </c>
      <c r="V193" s="70">
        <v>0</v>
      </c>
      <c r="W193" s="44">
        <f t="shared" si="30"/>
        <v>0</v>
      </c>
      <c r="X193" s="44">
        <f t="shared" si="31"/>
        <v>0.99999999999999989</v>
      </c>
      <c r="Y193" s="5" t="str">
        <f t="shared" si="32"/>
        <v>C</v>
      </c>
      <c r="AB193" s="51" t="s">
        <v>254</v>
      </c>
      <c r="AC193" s="62" t="s">
        <v>218</v>
      </c>
      <c r="AD193" s="5">
        <v>0</v>
      </c>
      <c r="AE193" s="70">
        <v>0</v>
      </c>
      <c r="AF193" s="44">
        <f t="shared" si="33"/>
        <v>0</v>
      </c>
      <c r="AG193" s="44">
        <f t="shared" si="34"/>
        <v>1</v>
      </c>
      <c r="AH193" s="5" t="str">
        <f t="shared" si="35"/>
        <v>C</v>
      </c>
    </row>
    <row r="194" spans="1:34" x14ac:dyDescent="0.3">
      <c r="A194" s="51" t="s">
        <v>254</v>
      </c>
      <c r="B194" s="21" t="s">
        <v>282</v>
      </c>
      <c r="C194" s="20">
        <v>0</v>
      </c>
      <c r="D194" s="47">
        <v>0</v>
      </c>
      <c r="E194" s="44">
        <f t="shared" si="24"/>
        <v>0</v>
      </c>
      <c r="F194" s="44">
        <f t="shared" si="25"/>
        <v>1</v>
      </c>
      <c r="G194" s="5" t="str">
        <f t="shared" si="26"/>
        <v>C</v>
      </c>
      <c r="J194" s="51" t="s">
        <v>254</v>
      </c>
      <c r="K194" s="62" t="s">
        <v>270</v>
      </c>
      <c r="L194" s="5">
        <v>0</v>
      </c>
      <c r="M194" s="70">
        <v>0</v>
      </c>
      <c r="N194" s="44">
        <f t="shared" si="27"/>
        <v>0</v>
      </c>
      <c r="O194" s="44">
        <f t="shared" si="28"/>
        <v>1</v>
      </c>
      <c r="P194" s="5" t="str">
        <f t="shared" si="29"/>
        <v>C</v>
      </c>
      <c r="S194" s="51" t="s">
        <v>254</v>
      </c>
      <c r="T194" s="62" t="s">
        <v>214</v>
      </c>
      <c r="U194" s="48">
        <v>0</v>
      </c>
      <c r="V194" s="70">
        <v>0</v>
      </c>
      <c r="W194" s="44">
        <f t="shared" si="30"/>
        <v>0</v>
      </c>
      <c r="X194" s="44">
        <f t="shared" si="31"/>
        <v>0.99999999999999989</v>
      </c>
      <c r="Y194" s="5" t="str">
        <f t="shared" si="32"/>
        <v>C</v>
      </c>
      <c r="AB194" s="51" t="s">
        <v>254</v>
      </c>
      <c r="AC194" s="62" t="s">
        <v>270</v>
      </c>
      <c r="AD194" s="5">
        <v>0</v>
      </c>
      <c r="AE194" s="70">
        <v>0</v>
      </c>
      <c r="AF194" s="44">
        <f t="shared" si="33"/>
        <v>0</v>
      </c>
      <c r="AG194" s="44">
        <f t="shared" si="34"/>
        <v>1</v>
      </c>
      <c r="AH194" s="5" t="str">
        <f t="shared" si="35"/>
        <v>C</v>
      </c>
    </row>
    <row r="195" spans="1:34" x14ac:dyDescent="0.3">
      <c r="A195" s="51" t="s">
        <v>254</v>
      </c>
      <c r="B195" s="21" t="s">
        <v>270</v>
      </c>
      <c r="C195" s="20">
        <v>0</v>
      </c>
      <c r="D195" s="47">
        <v>0</v>
      </c>
      <c r="E195" s="44">
        <f t="shared" ref="E195:E258" si="36">IFERROR(D195/SUMIF(A:A,A195,D:D),0)</f>
        <v>0</v>
      </c>
      <c r="F195" s="44">
        <f t="shared" ref="F195:F258" si="37">IF(A195=A194,E195+F194,E195)</f>
        <v>1</v>
      </c>
      <c r="G195" s="5" t="str">
        <f t="shared" ref="G195:G258" si="38">IF(A195&lt;&gt;A194,"A",IF(F195&lt;0.8,"A",IF(F195&lt;0.95,"B","C")))</f>
        <v>C</v>
      </c>
      <c r="J195" s="51" t="s">
        <v>254</v>
      </c>
      <c r="K195" s="62" t="s">
        <v>220</v>
      </c>
      <c r="L195" s="5">
        <v>0</v>
      </c>
      <c r="M195" s="70">
        <v>0</v>
      </c>
      <c r="N195" s="44">
        <f t="shared" ref="N195:N258" si="39">IFERROR(M195/SUMIF(J:J,J195,M:M),0)</f>
        <v>0</v>
      </c>
      <c r="O195" s="44">
        <f t="shared" ref="O195:O258" si="40">IF(J195=J194,N195+O194,N195)</f>
        <v>1</v>
      </c>
      <c r="P195" s="5" t="str">
        <f t="shared" ref="P195:P258" si="41">IF(J195&lt;&gt;J194,"A",IF(O195&lt;0.8,"A",IF(O195&lt;0.95,"B","C")))</f>
        <v>C</v>
      </c>
      <c r="S195" s="51" t="s">
        <v>254</v>
      </c>
      <c r="T195" s="62" t="s">
        <v>282</v>
      </c>
      <c r="U195" s="48">
        <v>0</v>
      </c>
      <c r="V195" s="70">
        <v>0</v>
      </c>
      <c r="W195" s="44">
        <f t="shared" ref="W195:W258" si="42">IFERROR(V195/SUMIF(S:S,S195,V:V),0)</f>
        <v>0</v>
      </c>
      <c r="X195" s="44">
        <f t="shared" ref="X195:X258" si="43">IF(S195=S194,W195+X194,W195)</f>
        <v>0.99999999999999989</v>
      </c>
      <c r="Y195" s="5" t="str">
        <f t="shared" ref="Y195:Y258" si="44">IF(S195&lt;&gt;S194,"A",IF(X195&lt;0.8,"A",IF(X195&lt;0.95,"B","C")))</f>
        <v>C</v>
      </c>
      <c r="AB195" s="51" t="s">
        <v>254</v>
      </c>
      <c r="AC195" s="64" t="s">
        <v>220</v>
      </c>
      <c r="AD195" s="5">
        <v>0</v>
      </c>
      <c r="AE195" s="70">
        <v>0</v>
      </c>
      <c r="AF195" s="44">
        <f t="shared" ref="AF195:AF258" si="45">IFERROR(AE195/SUMIF(AB:AB,AB195,AE:AE),0)</f>
        <v>0</v>
      </c>
      <c r="AG195" s="44">
        <f t="shared" ref="AG195:AG258" si="46">IF(AB195=AB194,AF195+AG194,AF195)</f>
        <v>1</v>
      </c>
      <c r="AH195" s="5" t="str">
        <f t="shared" ref="AH195:AH258" si="47">IF(AB195&lt;&gt;AB194,"A",IF(AG195&lt;0.8,"A",IF(AG195&lt;0.95,"B","C")))</f>
        <v>C</v>
      </c>
    </row>
    <row r="196" spans="1:34" x14ac:dyDescent="0.3">
      <c r="A196" s="51" t="s">
        <v>254</v>
      </c>
      <c r="B196" s="21" t="s">
        <v>220</v>
      </c>
      <c r="C196" s="20">
        <v>0</v>
      </c>
      <c r="D196" s="47">
        <v>0</v>
      </c>
      <c r="E196" s="44">
        <f t="shared" si="36"/>
        <v>0</v>
      </c>
      <c r="F196" s="44">
        <f t="shared" si="37"/>
        <v>1</v>
      </c>
      <c r="G196" s="5" t="str">
        <f t="shared" si="38"/>
        <v>C</v>
      </c>
      <c r="J196" s="51" t="s">
        <v>254</v>
      </c>
      <c r="K196" s="62" t="s">
        <v>237</v>
      </c>
      <c r="L196" s="5">
        <v>0</v>
      </c>
      <c r="M196" s="70">
        <v>0</v>
      </c>
      <c r="N196" s="44">
        <f t="shared" si="39"/>
        <v>0</v>
      </c>
      <c r="O196" s="44">
        <f t="shared" si="40"/>
        <v>1</v>
      </c>
      <c r="P196" s="5" t="str">
        <f t="shared" si="41"/>
        <v>C</v>
      </c>
      <c r="S196" s="51" t="s">
        <v>254</v>
      </c>
      <c r="T196" s="62" t="s">
        <v>270</v>
      </c>
      <c r="U196" s="48">
        <v>0</v>
      </c>
      <c r="V196" s="70">
        <v>0</v>
      </c>
      <c r="W196" s="44">
        <f t="shared" si="42"/>
        <v>0</v>
      </c>
      <c r="X196" s="44">
        <f t="shared" si="43"/>
        <v>0.99999999999999989</v>
      </c>
      <c r="Y196" s="5" t="str">
        <f t="shared" si="44"/>
        <v>C</v>
      </c>
      <c r="AB196" s="51" t="s">
        <v>254</v>
      </c>
      <c r="AC196" s="62" t="s">
        <v>237</v>
      </c>
      <c r="AD196" s="5">
        <v>0</v>
      </c>
      <c r="AE196" s="70">
        <v>0</v>
      </c>
      <c r="AF196" s="44">
        <f t="shared" si="45"/>
        <v>0</v>
      </c>
      <c r="AG196" s="44">
        <f t="shared" si="46"/>
        <v>1</v>
      </c>
      <c r="AH196" s="5" t="str">
        <f t="shared" si="47"/>
        <v>C</v>
      </c>
    </row>
    <row r="197" spans="1:34" x14ac:dyDescent="0.3">
      <c r="A197" s="51" t="s">
        <v>255</v>
      </c>
      <c r="B197" s="21" t="s">
        <v>165</v>
      </c>
      <c r="C197" s="20">
        <v>2</v>
      </c>
      <c r="D197" s="47">
        <v>3522.1668</v>
      </c>
      <c r="E197" s="44">
        <f t="shared" si="36"/>
        <v>1</v>
      </c>
      <c r="F197" s="44">
        <f t="shared" si="37"/>
        <v>1</v>
      </c>
      <c r="G197" s="5" t="str">
        <f t="shared" si="38"/>
        <v>A</v>
      </c>
      <c r="J197" s="51" t="s">
        <v>255</v>
      </c>
      <c r="K197" s="64" t="s">
        <v>136</v>
      </c>
      <c r="L197" s="5">
        <v>17</v>
      </c>
      <c r="M197" s="70">
        <v>31639.5</v>
      </c>
      <c r="N197" s="44">
        <f t="shared" si="39"/>
        <v>1</v>
      </c>
      <c r="O197" s="44">
        <f t="shared" si="40"/>
        <v>1</v>
      </c>
      <c r="P197" s="5" t="str">
        <f t="shared" si="41"/>
        <v>A</v>
      </c>
      <c r="S197" s="51" t="s">
        <v>255</v>
      </c>
      <c r="T197" s="64" t="s">
        <v>136</v>
      </c>
      <c r="U197" s="48">
        <v>9</v>
      </c>
      <c r="V197" s="70">
        <v>12567.1</v>
      </c>
      <c r="W197" s="44">
        <f t="shared" si="42"/>
        <v>0.73375527672519003</v>
      </c>
      <c r="X197" s="44">
        <f t="shared" si="43"/>
        <v>0.73375527672519003</v>
      </c>
      <c r="Y197" s="5" t="str">
        <f t="shared" si="44"/>
        <v>A</v>
      </c>
      <c r="AB197" s="51" t="s">
        <v>255</v>
      </c>
      <c r="AC197" s="62" t="s">
        <v>165</v>
      </c>
      <c r="AD197" s="5">
        <v>19</v>
      </c>
      <c r="AE197" s="70">
        <v>43514.8</v>
      </c>
      <c r="AF197" s="44">
        <f t="shared" si="45"/>
        <v>0.95385775474684242</v>
      </c>
      <c r="AG197" s="44">
        <f t="shared" si="46"/>
        <v>0.95385775474684242</v>
      </c>
      <c r="AH197" s="5" t="str">
        <f t="shared" si="47"/>
        <v>A</v>
      </c>
    </row>
    <row r="198" spans="1:34" x14ac:dyDescent="0.3">
      <c r="A198" s="51" t="s">
        <v>255</v>
      </c>
      <c r="B198" s="54" t="s">
        <v>136</v>
      </c>
      <c r="C198" s="20">
        <v>0</v>
      </c>
      <c r="D198" s="47">
        <v>0</v>
      </c>
      <c r="E198" s="44">
        <f t="shared" si="36"/>
        <v>0</v>
      </c>
      <c r="F198" s="44">
        <f t="shared" si="37"/>
        <v>1</v>
      </c>
      <c r="G198" s="5" t="str">
        <f t="shared" si="38"/>
        <v>C</v>
      </c>
      <c r="J198" s="51" t="s">
        <v>255</v>
      </c>
      <c r="K198" s="62" t="s">
        <v>165</v>
      </c>
      <c r="L198" s="5">
        <v>0</v>
      </c>
      <c r="M198" s="70">
        <v>0</v>
      </c>
      <c r="N198" s="44">
        <f t="shared" si="39"/>
        <v>0</v>
      </c>
      <c r="O198" s="44">
        <f t="shared" si="40"/>
        <v>1</v>
      </c>
      <c r="P198" s="5" t="str">
        <f t="shared" si="41"/>
        <v>C</v>
      </c>
      <c r="S198" s="51" t="s">
        <v>255</v>
      </c>
      <c r="T198" s="62" t="s">
        <v>165</v>
      </c>
      <c r="U198" s="48">
        <v>2</v>
      </c>
      <c r="V198" s="70">
        <v>4560</v>
      </c>
      <c r="W198" s="44">
        <f t="shared" si="42"/>
        <v>0.26624472327481014</v>
      </c>
      <c r="X198" s="44">
        <f t="shared" si="43"/>
        <v>1.0000000000000002</v>
      </c>
      <c r="Y198" s="5" t="str">
        <f t="shared" si="44"/>
        <v>C</v>
      </c>
      <c r="AB198" s="51" t="s">
        <v>255</v>
      </c>
      <c r="AC198" s="62" t="s">
        <v>136</v>
      </c>
      <c r="AD198" s="5">
        <v>1</v>
      </c>
      <c r="AE198" s="70">
        <v>2105</v>
      </c>
      <c r="AF198" s="44">
        <f t="shared" si="45"/>
        <v>4.6142245253157618E-2</v>
      </c>
      <c r="AG198" s="44">
        <f t="shared" si="46"/>
        <v>1</v>
      </c>
      <c r="AH198" s="5" t="str">
        <f t="shared" si="47"/>
        <v>C</v>
      </c>
    </row>
    <row r="199" spans="1:34" x14ac:dyDescent="0.3">
      <c r="A199" s="51" t="s">
        <v>256</v>
      </c>
      <c r="B199" s="21" t="s">
        <v>244</v>
      </c>
      <c r="C199" s="20">
        <v>54</v>
      </c>
      <c r="D199" s="47">
        <v>183111.36690000002</v>
      </c>
      <c r="E199" s="44">
        <f t="shared" si="36"/>
        <v>0.46485080026688147</v>
      </c>
      <c r="F199" s="44">
        <f t="shared" si="37"/>
        <v>0.46485080026688147</v>
      </c>
      <c r="G199" s="5" t="str">
        <f t="shared" si="38"/>
        <v>A</v>
      </c>
      <c r="J199" s="51" t="s">
        <v>256</v>
      </c>
      <c r="K199" s="62" t="s">
        <v>173</v>
      </c>
      <c r="L199" s="5">
        <v>882</v>
      </c>
      <c r="M199" s="70">
        <v>1483791.5700000017</v>
      </c>
      <c r="N199" s="44">
        <f t="shared" si="39"/>
        <v>0.2984036013468982</v>
      </c>
      <c r="O199" s="44">
        <f t="shared" si="40"/>
        <v>0.2984036013468982</v>
      </c>
      <c r="P199" s="5" t="str">
        <f t="shared" si="41"/>
        <v>A</v>
      </c>
      <c r="S199" s="51" t="s">
        <v>256</v>
      </c>
      <c r="T199" s="62" t="s">
        <v>173</v>
      </c>
      <c r="U199" s="48">
        <v>699</v>
      </c>
      <c r="V199" s="70">
        <v>1181636.8300000012</v>
      </c>
      <c r="W199" s="44">
        <f t="shared" si="42"/>
        <v>0.22453539656942587</v>
      </c>
      <c r="X199" s="44">
        <f t="shared" si="43"/>
        <v>0.22453539656942587</v>
      </c>
      <c r="Y199" s="5" t="str">
        <f t="shared" si="44"/>
        <v>A</v>
      </c>
      <c r="AB199" s="51" t="s">
        <v>256</v>
      </c>
      <c r="AC199" s="62" t="s">
        <v>173</v>
      </c>
      <c r="AD199" s="5">
        <v>507</v>
      </c>
      <c r="AE199" s="70">
        <v>821493.15000000026</v>
      </c>
      <c r="AF199" s="44">
        <f t="shared" si="45"/>
        <v>0.23281037622082251</v>
      </c>
      <c r="AG199" s="44">
        <f t="shared" si="46"/>
        <v>0.23281037622082251</v>
      </c>
      <c r="AH199" s="5" t="str">
        <f t="shared" si="47"/>
        <v>A</v>
      </c>
    </row>
    <row r="200" spans="1:34" x14ac:dyDescent="0.3">
      <c r="A200" s="51" t="s">
        <v>256</v>
      </c>
      <c r="B200" s="21" t="s">
        <v>139</v>
      </c>
      <c r="C200" s="20">
        <v>81</v>
      </c>
      <c r="D200" s="47">
        <v>138977.76080000002</v>
      </c>
      <c r="E200" s="44">
        <f t="shared" si="36"/>
        <v>0.3528121952279481</v>
      </c>
      <c r="F200" s="44">
        <f t="shared" si="37"/>
        <v>0.81766299549482957</v>
      </c>
      <c r="G200" s="5" t="str">
        <f t="shared" si="38"/>
        <v>B</v>
      </c>
      <c r="J200" s="51" t="s">
        <v>256</v>
      </c>
      <c r="K200" s="62" t="s">
        <v>284</v>
      </c>
      <c r="L200" s="5">
        <v>168</v>
      </c>
      <c r="M200" s="70">
        <v>734807.77000000014</v>
      </c>
      <c r="N200" s="44">
        <f t="shared" si="39"/>
        <v>0.14777633819936251</v>
      </c>
      <c r="O200" s="44">
        <f t="shared" si="40"/>
        <v>0.44617993954626067</v>
      </c>
      <c r="P200" s="5" t="str">
        <f t="shared" si="41"/>
        <v>A</v>
      </c>
      <c r="S200" s="51" t="s">
        <v>256</v>
      </c>
      <c r="T200" s="62" t="s">
        <v>284</v>
      </c>
      <c r="U200" s="48">
        <v>224</v>
      </c>
      <c r="V200" s="70">
        <v>1052612.1500000004</v>
      </c>
      <c r="W200" s="44">
        <f t="shared" si="42"/>
        <v>0.2000180432206449</v>
      </c>
      <c r="X200" s="44">
        <f t="shared" si="43"/>
        <v>0.42455343979007076</v>
      </c>
      <c r="Y200" s="5" t="str">
        <f t="shared" si="44"/>
        <v>A</v>
      </c>
      <c r="AB200" s="51" t="s">
        <v>256</v>
      </c>
      <c r="AC200" s="62" t="s">
        <v>140</v>
      </c>
      <c r="AD200" s="5">
        <v>320</v>
      </c>
      <c r="AE200" s="70">
        <v>535181.80000000028</v>
      </c>
      <c r="AF200" s="44">
        <f t="shared" si="45"/>
        <v>0.15167001234829167</v>
      </c>
      <c r="AG200" s="44">
        <f t="shared" si="46"/>
        <v>0.38448038856911415</v>
      </c>
      <c r="AH200" s="5" t="str">
        <f t="shared" si="47"/>
        <v>A</v>
      </c>
    </row>
    <row r="201" spans="1:34" x14ac:dyDescent="0.3">
      <c r="A201" s="51" t="s">
        <v>256</v>
      </c>
      <c r="B201" s="21" t="s">
        <v>173</v>
      </c>
      <c r="C201" s="20">
        <v>13</v>
      </c>
      <c r="D201" s="47">
        <v>18603.996200000001</v>
      </c>
      <c r="E201" s="44">
        <f t="shared" si="36"/>
        <v>4.7228540030804726E-2</v>
      </c>
      <c r="F201" s="44">
        <f t="shared" si="37"/>
        <v>0.86489153552563425</v>
      </c>
      <c r="G201" s="5" t="str">
        <f t="shared" si="38"/>
        <v>B</v>
      </c>
      <c r="J201" s="51" t="s">
        <v>256</v>
      </c>
      <c r="K201" s="63" t="s">
        <v>140</v>
      </c>
      <c r="L201" s="5">
        <v>429</v>
      </c>
      <c r="M201" s="70">
        <v>713364.65000000095</v>
      </c>
      <c r="N201" s="44">
        <f t="shared" si="39"/>
        <v>0.14346393721159206</v>
      </c>
      <c r="O201" s="44">
        <f t="shared" si="40"/>
        <v>0.58964387675785268</v>
      </c>
      <c r="P201" s="5" t="str">
        <f t="shared" si="41"/>
        <v>A</v>
      </c>
      <c r="S201" s="51" t="s">
        <v>256</v>
      </c>
      <c r="T201" s="63" t="s">
        <v>140</v>
      </c>
      <c r="U201" s="48">
        <v>393</v>
      </c>
      <c r="V201" s="70">
        <v>659318.90000000084</v>
      </c>
      <c r="W201" s="44">
        <f t="shared" si="42"/>
        <v>0.12528420485777994</v>
      </c>
      <c r="X201" s="44">
        <f t="shared" si="43"/>
        <v>0.54983764464785068</v>
      </c>
      <c r="Y201" s="5" t="str">
        <f t="shared" si="44"/>
        <v>A</v>
      </c>
      <c r="AB201" s="51" t="s">
        <v>256</v>
      </c>
      <c r="AC201" s="63" t="s">
        <v>312</v>
      </c>
      <c r="AD201" s="5">
        <v>199</v>
      </c>
      <c r="AE201" s="70">
        <v>483196.96999999986</v>
      </c>
      <c r="AF201" s="44">
        <f t="shared" si="45"/>
        <v>0.13693756104291488</v>
      </c>
      <c r="AG201" s="44">
        <f t="shared" si="46"/>
        <v>0.52141794961202903</v>
      </c>
      <c r="AH201" s="5" t="str">
        <f t="shared" si="47"/>
        <v>A</v>
      </c>
    </row>
    <row r="202" spans="1:34" x14ac:dyDescent="0.3">
      <c r="A202" s="51" t="s">
        <v>256</v>
      </c>
      <c r="B202" s="50" t="s">
        <v>312</v>
      </c>
      <c r="C202" s="20">
        <v>9</v>
      </c>
      <c r="D202" s="47">
        <v>15611.5337</v>
      </c>
      <c r="E202" s="44">
        <f t="shared" si="36"/>
        <v>3.963180471369409E-2</v>
      </c>
      <c r="F202" s="44">
        <f t="shared" si="37"/>
        <v>0.90452334023932834</v>
      </c>
      <c r="G202" s="5" t="str">
        <f t="shared" si="38"/>
        <v>B</v>
      </c>
      <c r="J202" s="51" t="s">
        <v>256</v>
      </c>
      <c r="K202" s="62" t="s">
        <v>303</v>
      </c>
      <c r="L202" s="5">
        <v>179</v>
      </c>
      <c r="M202" s="70">
        <v>520418.16999999993</v>
      </c>
      <c r="N202" s="44">
        <f t="shared" si="39"/>
        <v>0.1046606944493977</v>
      </c>
      <c r="O202" s="44">
        <f t="shared" si="40"/>
        <v>0.69430457120725042</v>
      </c>
      <c r="P202" s="5" t="str">
        <f t="shared" si="41"/>
        <v>A</v>
      </c>
      <c r="S202" s="51" t="s">
        <v>256</v>
      </c>
      <c r="T202" s="62" t="s">
        <v>311</v>
      </c>
      <c r="U202" s="48">
        <v>80</v>
      </c>
      <c r="V202" s="70">
        <v>345060.3</v>
      </c>
      <c r="W202" s="44">
        <f t="shared" si="42"/>
        <v>6.5568581931273226E-2</v>
      </c>
      <c r="X202" s="44">
        <f t="shared" si="43"/>
        <v>0.61540622657912392</v>
      </c>
      <c r="Y202" s="5" t="str">
        <f t="shared" si="44"/>
        <v>A</v>
      </c>
      <c r="AB202" s="51" t="s">
        <v>256</v>
      </c>
      <c r="AC202" s="62" t="s">
        <v>284</v>
      </c>
      <c r="AD202" s="5">
        <v>73</v>
      </c>
      <c r="AE202" s="70">
        <v>362599</v>
      </c>
      <c r="AF202" s="44">
        <f t="shared" si="45"/>
        <v>0.10276021121696997</v>
      </c>
      <c r="AG202" s="44">
        <f t="shared" si="46"/>
        <v>0.62417816082899902</v>
      </c>
      <c r="AH202" s="5" t="str">
        <f t="shared" si="47"/>
        <v>A</v>
      </c>
    </row>
    <row r="203" spans="1:34" x14ac:dyDescent="0.3">
      <c r="A203" s="51" t="s">
        <v>256</v>
      </c>
      <c r="B203" s="21" t="s">
        <v>310</v>
      </c>
      <c r="C203" s="20">
        <v>3</v>
      </c>
      <c r="D203" s="47">
        <v>11141.2988</v>
      </c>
      <c r="E203" s="44">
        <f t="shared" si="36"/>
        <v>2.8283561806519645E-2</v>
      </c>
      <c r="F203" s="44">
        <f t="shared" si="37"/>
        <v>0.93280690204584804</v>
      </c>
      <c r="G203" s="5" t="str">
        <f t="shared" si="38"/>
        <v>B</v>
      </c>
      <c r="J203" s="51" t="s">
        <v>256</v>
      </c>
      <c r="K203" s="62" t="s">
        <v>132</v>
      </c>
      <c r="L203" s="5">
        <v>84</v>
      </c>
      <c r="M203" s="70">
        <v>351939.3</v>
      </c>
      <c r="N203" s="44">
        <f t="shared" si="39"/>
        <v>7.0778104350266852E-2</v>
      </c>
      <c r="O203" s="44">
        <f t="shared" si="40"/>
        <v>0.7650826755575173</v>
      </c>
      <c r="P203" s="5" t="str">
        <f t="shared" si="41"/>
        <v>A</v>
      </c>
      <c r="S203" s="51" t="s">
        <v>256</v>
      </c>
      <c r="T203" s="65" t="s">
        <v>132</v>
      </c>
      <c r="U203" s="48">
        <v>79</v>
      </c>
      <c r="V203" s="70">
        <v>338400.05</v>
      </c>
      <c r="W203" s="44">
        <f t="shared" si="42"/>
        <v>6.4302996907995374E-2</v>
      </c>
      <c r="X203" s="44">
        <f t="shared" si="43"/>
        <v>0.67970922348711926</v>
      </c>
      <c r="Y203" s="5" t="str">
        <f t="shared" si="44"/>
        <v>A</v>
      </c>
      <c r="AB203" s="51" t="s">
        <v>256</v>
      </c>
      <c r="AC203" s="65" t="s">
        <v>132</v>
      </c>
      <c r="AD203" s="5">
        <v>66</v>
      </c>
      <c r="AE203" s="70">
        <v>275236.95</v>
      </c>
      <c r="AF203" s="44">
        <f t="shared" si="45"/>
        <v>7.8001889461125393E-2</v>
      </c>
      <c r="AG203" s="44">
        <f t="shared" si="46"/>
        <v>0.70218005029012442</v>
      </c>
      <c r="AH203" s="5" t="str">
        <f t="shared" si="47"/>
        <v>A</v>
      </c>
    </row>
    <row r="204" spans="1:34" x14ac:dyDescent="0.3">
      <c r="A204" s="51" t="s">
        <v>256</v>
      </c>
      <c r="B204" s="20" t="s">
        <v>311</v>
      </c>
      <c r="C204" s="20">
        <v>3</v>
      </c>
      <c r="D204" s="47">
        <v>10111.267599999999</v>
      </c>
      <c r="E204" s="44">
        <f t="shared" si="36"/>
        <v>2.5668700502571525E-2</v>
      </c>
      <c r="F204" s="44">
        <f t="shared" si="37"/>
        <v>0.95847560254841957</v>
      </c>
      <c r="G204" s="5" t="str">
        <f t="shared" si="38"/>
        <v>C</v>
      </c>
      <c r="J204" s="51" t="s">
        <v>256</v>
      </c>
      <c r="K204" s="65" t="s">
        <v>147</v>
      </c>
      <c r="L204" s="5">
        <v>71</v>
      </c>
      <c r="M204" s="70">
        <v>309980.15000000002</v>
      </c>
      <c r="N204" s="44">
        <f t="shared" si="39"/>
        <v>6.2339748369140288E-2</v>
      </c>
      <c r="O204" s="44">
        <f t="shared" si="40"/>
        <v>0.82742242392665755</v>
      </c>
      <c r="P204" s="5" t="str">
        <f t="shared" si="41"/>
        <v>B</v>
      </c>
      <c r="S204" s="51" t="s">
        <v>256</v>
      </c>
      <c r="T204" s="65" t="s">
        <v>312</v>
      </c>
      <c r="U204" s="48">
        <v>126</v>
      </c>
      <c r="V204" s="70">
        <v>300335.39999999991</v>
      </c>
      <c r="W204" s="44">
        <f t="shared" si="42"/>
        <v>5.7069927435180787E-2</v>
      </c>
      <c r="X204" s="44">
        <f t="shared" si="43"/>
        <v>0.73677915092230006</v>
      </c>
      <c r="Y204" s="5" t="str">
        <f t="shared" si="44"/>
        <v>A</v>
      </c>
      <c r="AB204" s="51" t="s">
        <v>256</v>
      </c>
      <c r="AC204" s="65" t="s">
        <v>303</v>
      </c>
      <c r="AD204" s="5">
        <v>89</v>
      </c>
      <c r="AE204" s="70">
        <v>267554.75</v>
      </c>
      <c r="AF204" s="44">
        <f t="shared" si="45"/>
        <v>7.5824761298579416E-2</v>
      </c>
      <c r="AG204" s="44">
        <f t="shared" si="46"/>
        <v>0.77800481158870383</v>
      </c>
      <c r="AH204" s="5" t="str">
        <f t="shared" si="47"/>
        <v>A</v>
      </c>
    </row>
    <row r="205" spans="1:34" x14ac:dyDescent="0.3">
      <c r="A205" s="51" t="s">
        <v>256</v>
      </c>
      <c r="B205" s="21" t="s">
        <v>147</v>
      </c>
      <c r="C205" s="20">
        <v>2</v>
      </c>
      <c r="D205" s="47">
        <v>8888.3222999999998</v>
      </c>
      <c r="E205" s="44">
        <f t="shared" si="36"/>
        <v>2.2564102950754436E-2</v>
      </c>
      <c r="F205" s="44">
        <f t="shared" si="37"/>
        <v>0.98103970549917396</v>
      </c>
      <c r="G205" s="5" t="str">
        <f t="shared" si="38"/>
        <v>C</v>
      </c>
      <c r="J205" s="51" t="s">
        <v>256</v>
      </c>
      <c r="K205" s="65" t="s">
        <v>139</v>
      </c>
      <c r="L205" s="5">
        <v>141</v>
      </c>
      <c r="M205" s="70">
        <v>282571.42499999999</v>
      </c>
      <c r="N205" s="44">
        <f t="shared" si="39"/>
        <v>5.6827611480313803E-2</v>
      </c>
      <c r="O205" s="44">
        <f t="shared" si="40"/>
        <v>0.88425003540697134</v>
      </c>
      <c r="P205" s="5" t="str">
        <f t="shared" si="41"/>
        <v>B</v>
      </c>
      <c r="S205" s="51" t="s">
        <v>256</v>
      </c>
      <c r="T205" s="62" t="s">
        <v>303</v>
      </c>
      <c r="U205" s="48">
        <v>96</v>
      </c>
      <c r="V205" s="70">
        <v>285221.85000000003</v>
      </c>
      <c r="W205" s="44">
        <f t="shared" si="42"/>
        <v>5.419804086507294E-2</v>
      </c>
      <c r="X205" s="44">
        <f t="shared" si="43"/>
        <v>0.79097719178737302</v>
      </c>
      <c r="Y205" s="5" t="str">
        <f t="shared" si="44"/>
        <v>A</v>
      </c>
      <c r="AB205" s="51" t="s">
        <v>256</v>
      </c>
      <c r="AC205" s="65" t="s">
        <v>139</v>
      </c>
      <c r="AD205" s="5">
        <v>96</v>
      </c>
      <c r="AE205" s="70">
        <v>215280</v>
      </c>
      <c r="AF205" s="44">
        <f t="shared" si="45"/>
        <v>6.1010146941357521E-2</v>
      </c>
      <c r="AG205" s="44">
        <f t="shared" si="46"/>
        <v>0.83901495853006136</v>
      </c>
      <c r="AH205" s="5" t="str">
        <f t="shared" si="47"/>
        <v>B</v>
      </c>
    </row>
    <row r="206" spans="1:34" x14ac:dyDescent="0.3">
      <c r="A206" s="51" t="s">
        <v>256</v>
      </c>
      <c r="B206" s="20" t="s">
        <v>138</v>
      </c>
      <c r="C206" s="20">
        <v>2</v>
      </c>
      <c r="D206" s="47">
        <v>3817.6219999999998</v>
      </c>
      <c r="E206" s="44">
        <f t="shared" si="36"/>
        <v>9.6915045300579438E-3</v>
      </c>
      <c r="F206" s="44">
        <f t="shared" si="37"/>
        <v>0.99073121002923192</v>
      </c>
      <c r="G206" s="5" t="str">
        <f t="shared" si="38"/>
        <v>C</v>
      </c>
      <c r="J206" s="51" t="s">
        <v>256</v>
      </c>
      <c r="K206" s="65" t="s">
        <v>239</v>
      </c>
      <c r="L206" s="5">
        <v>119</v>
      </c>
      <c r="M206" s="70">
        <v>217052</v>
      </c>
      <c r="N206" s="44">
        <f t="shared" si="39"/>
        <v>4.3651075925405666E-2</v>
      </c>
      <c r="O206" s="44">
        <f t="shared" si="40"/>
        <v>0.92790111133237696</v>
      </c>
      <c r="P206" s="5" t="str">
        <f t="shared" si="41"/>
        <v>B</v>
      </c>
      <c r="S206" s="51" t="s">
        <v>256</v>
      </c>
      <c r="T206" s="65" t="s">
        <v>147</v>
      </c>
      <c r="U206" s="48">
        <v>57</v>
      </c>
      <c r="V206" s="70">
        <v>263085.34999999998</v>
      </c>
      <c r="W206" s="44">
        <f t="shared" si="42"/>
        <v>4.9991648782524947E-2</v>
      </c>
      <c r="X206" s="44">
        <f t="shared" si="43"/>
        <v>0.84096884056989796</v>
      </c>
      <c r="Y206" s="5" t="str">
        <f t="shared" si="44"/>
        <v>B</v>
      </c>
      <c r="AB206" s="51" t="s">
        <v>256</v>
      </c>
      <c r="AC206" s="62" t="s">
        <v>147</v>
      </c>
      <c r="AD206" s="5">
        <v>34</v>
      </c>
      <c r="AE206" s="70">
        <v>164743.95000000001</v>
      </c>
      <c r="AF206" s="44">
        <f t="shared" si="45"/>
        <v>4.6688278507988006E-2</v>
      </c>
      <c r="AG206" s="44">
        <f t="shared" si="46"/>
        <v>0.88570323703804932</v>
      </c>
      <c r="AH206" s="5" t="str">
        <f t="shared" si="47"/>
        <v>B</v>
      </c>
    </row>
    <row r="207" spans="1:34" x14ac:dyDescent="0.3">
      <c r="A207" s="51" t="s">
        <v>256</v>
      </c>
      <c r="B207" s="21" t="s">
        <v>284</v>
      </c>
      <c r="C207" s="20">
        <v>1</v>
      </c>
      <c r="D207" s="47">
        <v>3651.1087000000002</v>
      </c>
      <c r="E207" s="44">
        <f t="shared" si="36"/>
        <v>9.2687899707681841E-3</v>
      </c>
      <c r="F207" s="44">
        <f t="shared" si="37"/>
        <v>1</v>
      </c>
      <c r="G207" s="5" t="str">
        <f t="shared" si="38"/>
        <v>C</v>
      </c>
      <c r="J207" s="51" t="s">
        <v>256</v>
      </c>
      <c r="K207" s="65" t="s">
        <v>312</v>
      </c>
      <c r="L207" s="5">
        <v>69</v>
      </c>
      <c r="M207" s="70">
        <v>140383.50000000003</v>
      </c>
      <c r="N207" s="44">
        <f t="shared" si="39"/>
        <v>2.8232362830907742E-2</v>
      </c>
      <c r="O207" s="44">
        <f t="shared" si="40"/>
        <v>0.95613347416328476</v>
      </c>
      <c r="P207" s="5" t="str">
        <f t="shared" si="41"/>
        <v>C</v>
      </c>
      <c r="S207" s="51" t="s">
        <v>256</v>
      </c>
      <c r="T207" s="65" t="s">
        <v>239</v>
      </c>
      <c r="U207" s="48">
        <v>128</v>
      </c>
      <c r="V207" s="70">
        <v>242114</v>
      </c>
      <c r="W207" s="44">
        <f t="shared" si="42"/>
        <v>4.6006659258420304E-2</v>
      </c>
      <c r="X207" s="44">
        <f t="shared" si="43"/>
        <v>0.88697549982831825</v>
      </c>
      <c r="Y207" s="5" t="str">
        <f t="shared" si="44"/>
        <v>B</v>
      </c>
      <c r="AB207" s="51" t="s">
        <v>256</v>
      </c>
      <c r="AC207" s="65" t="s">
        <v>239</v>
      </c>
      <c r="AD207" s="5">
        <v>74</v>
      </c>
      <c r="AE207" s="70">
        <v>143128.85</v>
      </c>
      <c r="AF207" s="44">
        <f t="shared" si="45"/>
        <v>4.0562579756816798E-2</v>
      </c>
      <c r="AG207" s="44">
        <f t="shared" si="46"/>
        <v>0.92626581679486608</v>
      </c>
      <c r="AH207" s="5" t="str">
        <f t="shared" si="47"/>
        <v>B</v>
      </c>
    </row>
    <row r="208" spans="1:34" x14ac:dyDescent="0.3">
      <c r="A208" s="51" t="s">
        <v>256</v>
      </c>
      <c r="B208" s="20" t="s">
        <v>140</v>
      </c>
      <c r="C208" s="20">
        <v>0</v>
      </c>
      <c r="D208" s="47">
        <v>0</v>
      </c>
      <c r="E208" s="44">
        <f t="shared" si="36"/>
        <v>0</v>
      </c>
      <c r="F208" s="44">
        <f t="shared" si="37"/>
        <v>1</v>
      </c>
      <c r="G208" s="5" t="str">
        <f t="shared" si="38"/>
        <v>C</v>
      </c>
      <c r="J208" s="51" t="s">
        <v>256</v>
      </c>
      <c r="K208" s="62" t="s">
        <v>277</v>
      </c>
      <c r="L208" s="5">
        <v>23</v>
      </c>
      <c r="M208" s="70">
        <v>73688.759999999995</v>
      </c>
      <c r="N208" s="44">
        <f t="shared" si="39"/>
        <v>1.4819461039792288E-2</v>
      </c>
      <c r="O208" s="44">
        <f t="shared" si="40"/>
        <v>0.97095293520307702</v>
      </c>
      <c r="P208" s="5" t="str">
        <f t="shared" si="41"/>
        <v>C</v>
      </c>
      <c r="S208" s="51" t="s">
        <v>256</v>
      </c>
      <c r="T208" s="65" t="s">
        <v>139</v>
      </c>
      <c r="U208" s="48">
        <v>101</v>
      </c>
      <c r="V208" s="70">
        <v>213512.5</v>
      </c>
      <c r="W208" s="44">
        <f t="shared" si="42"/>
        <v>4.0571783684187887E-2</v>
      </c>
      <c r="X208" s="44">
        <f t="shared" si="43"/>
        <v>0.92754728351250615</v>
      </c>
      <c r="Y208" s="5" t="str">
        <f t="shared" si="44"/>
        <v>B</v>
      </c>
      <c r="AB208" s="51" t="s">
        <v>256</v>
      </c>
      <c r="AC208" s="65" t="s">
        <v>311</v>
      </c>
      <c r="AD208" s="5">
        <v>27</v>
      </c>
      <c r="AE208" s="70">
        <v>119385.1</v>
      </c>
      <c r="AF208" s="44">
        <f t="shared" si="45"/>
        <v>3.3833623623228642E-2</v>
      </c>
      <c r="AG208" s="44">
        <f t="shared" si="46"/>
        <v>0.9600994404180947</v>
      </c>
      <c r="AH208" s="5" t="str">
        <f t="shared" si="47"/>
        <v>C</v>
      </c>
    </row>
    <row r="209" spans="1:34" x14ac:dyDescent="0.3">
      <c r="A209" s="51" t="s">
        <v>256</v>
      </c>
      <c r="B209" s="20" t="s">
        <v>141</v>
      </c>
      <c r="C209" s="20">
        <v>0</v>
      </c>
      <c r="D209" s="47">
        <v>0</v>
      </c>
      <c r="E209" s="44">
        <f t="shared" si="36"/>
        <v>0</v>
      </c>
      <c r="F209" s="44">
        <f t="shared" si="37"/>
        <v>1</v>
      </c>
      <c r="G209" s="5" t="str">
        <f t="shared" si="38"/>
        <v>C</v>
      </c>
      <c r="J209" s="51" t="s">
        <v>256</v>
      </c>
      <c r="K209" s="65" t="s">
        <v>138</v>
      </c>
      <c r="L209" s="5">
        <v>28</v>
      </c>
      <c r="M209" s="70">
        <v>51875.299999999996</v>
      </c>
      <c r="N209" s="44">
        <f t="shared" si="39"/>
        <v>1.0432581404240441E-2</v>
      </c>
      <c r="O209" s="44">
        <f t="shared" si="40"/>
        <v>0.98138551660731743</v>
      </c>
      <c r="P209" s="5" t="str">
        <f t="shared" si="41"/>
        <v>C</v>
      </c>
      <c r="S209" s="51" t="s">
        <v>256</v>
      </c>
      <c r="T209" s="65" t="s">
        <v>277</v>
      </c>
      <c r="U209" s="48">
        <v>53</v>
      </c>
      <c r="V209" s="70">
        <v>212571.09999999998</v>
      </c>
      <c r="W209" s="44">
        <f t="shared" si="42"/>
        <v>4.0392898245816385E-2</v>
      </c>
      <c r="X209" s="44">
        <f t="shared" si="43"/>
        <v>0.96794018175832253</v>
      </c>
      <c r="Y209" s="5" t="str">
        <f t="shared" si="44"/>
        <v>C</v>
      </c>
      <c r="AB209" s="51" t="s">
        <v>256</v>
      </c>
      <c r="AC209" s="65" t="s">
        <v>138</v>
      </c>
      <c r="AD209" s="5">
        <v>19</v>
      </c>
      <c r="AE209" s="70">
        <v>40016</v>
      </c>
      <c r="AF209" s="44">
        <f t="shared" si="45"/>
        <v>1.1340496283934237E-2</v>
      </c>
      <c r="AG209" s="44">
        <f t="shared" si="46"/>
        <v>0.97143993670202888</v>
      </c>
      <c r="AH209" s="5" t="str">
        <f t="shared" si="47"/>
        <v>C</v>
      </c>
    </row>
    <row r="210" spans="1:34" x14ac:dyDescent="0.3">
      <c r="A210" s="51" t="s">
        <v>256</v>
      </c>
      <c r="B210" s="20" t="s">
        <v>142</v>
      </c>
      <c r="C210" s="20">
        <v>0</v>
      </c>
      <c r="D210" s="47">
        <v>0</v>
      </c>
      <c r="E210" s="44">
        <f t="shared" si="36"/>
        <v>0</v>
      </c>
      <c r="F210" s="44">
        <f t="shared" si="37"/>
        <v>1</v>
      </c>
      <c r="G210" s="5" t="str">
        <f t="shared" si="38"/>
        <v>C</v>
      </c>
      <c r="J210" s="51" t="s">
        <v>256</v>
      </c>
      <c r="K210" s="65" t="s">
        <v>141</v>
      </c>
      <c r="L210" s="5">
        <v>9</v>
      </c>
      <c r="M210" s="70">
        <v>32458.6</v>
      </c>
      <c r="N210" s="44">
        <f t="shared" si="39"/>
        <v>6.5277113918893737E-3</v>
      </c>
      <c r="O210" s="44">
        <f t="shared" si="40"/>
        <v>0.98791322799920678</v>
      </c>
      <c r="P210" s="5" t="str">
        <f t="shared" si="41"/>
        <v>C</v>
      </c>
      <c r="S210" s="51" t="s">
        <v>256</v>
      </c>
      <c r="T210" s="62" t="s">
        <v>163</v>
      </c>
      <c r="U210" s="48">
        <v>16</v>
      </c>
      <c r="V210" s="70">
        <v>54489.700000000004</v>
      </c>
      <c r="W210" s="44">
        <f t="shared" si="42"/>
        <v>1.0354168123254109E-2</v>
      </c>
      <c r="X210" s="44">
        <f t="shared" si="43"/>
        <v>0.9782943498815766</v>
      </c>
      <c r="Y210" s="5" t="str">
        <f t="shared" si="44"/>
        <v>C</v>
      </c>
      <c r="AB210" s="51" t="s">
        <v>256</v>
      </c>
      <c r="AC210" s="62" t="s">
        <v>277</v>
      </c>
      <c r="AD210" s="5">
        <v>6</v>
      </c>
      <c r="AE210" s="70">
        <v>26839.35</v>
      </c>
      <c r="AF210" s="44">
        <f t="shared" si="45"/>
        <v>7.6062462249652726E-3</v>
      </c>
      <c r="AG210" s="44">
        <f t="shared" si="46"/>
        <v>0.97904618292699419</v>
      </c>
      <c r="AH210" s="5" t="str">
        <f t="shared" si="47"/>
        <v>C</v>
      </c>
    </row>
    <row r="211" spans="1:34" x14ac:dyDescent="0.3">
      <c r="A211" s="51" t="s">
        <v>256</v>
      </c>
      <c r="B211" s="20" t="s">
        <v>144</v>
      </c>
      <c r="C211" s="20">
        <v>0</v>
      </c>
      <c r="D211" s="47">
        <v>0</v>
      </c>
      <c r="E211" s="44">
        <f t="shared" si="36"/>
        <v>0</v>
      </c>
      <c r="F211" s="44">
        <f t="shared" si="37"/>
        <v>1</v>
      </c>
      <c r="G211" s="5" t="str">
        <f t="shared" si="38"/>
        <v>C</v>
      </c>
      <c r="J211" s="51" t="s">
        <v>256</v>
      </c>
      <c r="K211" s="65" t="s">
        <v>163</v>
      </c>
      <c r="L211" s="5">
        <v>7</v>
      </c>
      <c r="M211" s="70">
        <v>20002.600000000002</v>
      </c>
      <c r="N211" s="44">
        <f t="shared" si="39"/>
        <v>4.0226996816685378E-3</v>
      </c>
      <c r="O211" s="44">
        <f t="shared" si="40"/>
        <v>0.99193592768087535</v>
      </c>
      <c r="P211" s="5" t="str">
        <f t="shared" si="41"/>
        <v>C</v>
      </c>
      <c r="S211" s="51" t="s">
        <v>256</v>
      </c>
      <c r="T211" s="65" t="s">
        <v>141</v>
      </c>
      <c r="U211" s="48">
        <v>17</v>
      </c>
      <c r="V211" s="70">
        <v>51958.549999999996</v>
      </c>
      <c r="W211" s="44">
        <f t="shared" si="42"/>
        <v>9.8731973591431894E-3</v>
      </c>
      <c r="X211" s="44">
        <f t="shared" si="43"/>
        <v>0.98816754724071976</v>
      </c>
      <c r="Y211" s="5" t="str">
        <f t="shared" si="44"/>
        <v>C</v>
      </c>
      <c r="AB211" s="51" t="s">
        <v>256</v>
      </c>
      <c r="AC211" s="62" t="s">
        <v>310</v>
      </c>
      <c r="AD211" s="5">
        <v>5</v>
      </c>
      <c r="AE211" s="70">
        <v>26053</v>
      </c>
      <c r="AF211" s="44">
        <f t="shared" si="45"/>
        <v>7.3833953839798757E-3</v>
      </c>
      <c r="AG211" s="44">
        <f t="shared" si="46"/>
        <v>0.98642957831097411</v>
      </c>
      <c r="AH211" s="5" t="str">
        <f t="shared" si="47"/>
        <v>C</v>
      </c>
    </row>
    <row r="212" spans="1:34" x14ac:dyDescent="0.3">
      <c r="A212" s="51" t="s">
        <v>256</v>
      </c>
      <c r="B212" s="20" t="s">
        <v>303</v>
      </c>
      <c r="C212" s="20">
        <v>0</v>
      </c>
      <c r="D212" s="47">
        <v>0</v>
      </c>
      <c r="E212" s="44">
        <f t="shared" si="36"/>
        <v>0</v>
      </c>
      <c r="F212" s="44">
        <f t="shared" si="37"/>
        <v>1</v>
      </c>
      <c r="G212" s="5" t="str">
        <f t="shared" si="38"/>
        <v>C</v>
      </c>
      <c r="J212" s="51" t="s">
        <v>256</v>
      </c>
      <c r="K212" s="65" t="s">
        <v>144</v>
      </c>
      <c r="L212" s="5">
        <v>4</v>
      </c>
      <c r="M212" s="70">
        <v>14467.55</v>
      </c>
      <c r="N212" s="44">
        <f t="shared" si="39"/>
        <v>2.9095521971905475E-3</v>
      </c>
      <c r="O212" s="44">
        <f t="shared" si="40"/>
        <v>0.99484547987806593</v>
      </c>
      <c r="P212" s="5" t="str">
        <f t="shared" si="41"/>
        <v>C</v>
      </c>
      <c r="S212" s="51" t="s">
        <v>256</v>
      </c>
      <c r="T212" s="65" t="s">
        <v>138</v>
      </c>
      <c r="U212" s="48">
        <v>17</v>
      </c>
      <c r="V212" s="70">
        <v>34805.5</v>
      </c>
      <c r="W212" s="44">
        <f t="shared" si="42"/>
        <v>6.6137636766934087E-3</v>
      </c>
      <c r="X212" s="44">
        <f t="shared" si="43"/>
        <v>0.99478131091741318</v>
      </c>
      <c r="Y212" s="5" t="str">
        <f t="shared" si="44"/>
        <v>C</v>
      </c>
      <c r="AB212" s="51" t="s">
        <v>256</v>
      </c>
      <c r="AC212" s="62" t="s">
        <v>163</v>
      </c>
      <c r="AD212" s="5">
        <v>5</v>
      </c>
      <c r="AE212" s="70">
        <v>15959.15</v>
      </c>
      <c r="AF212" s="44">
        <f t="shared" si="45"/>
        <v>4.5228079085802946E-3</v>
      </c>
      <c r="AG212" s="44">
        <f t="shared" si="46"/>
        <v>0.99095238621955439</v>
      </c>
      <c r="AH212" s="5" t="str">
        <f t="shared" si="47"/>
        <v>C</v>
      </c>
    </row>
    <row r="213" spans="1:34" x14ac:dyDescent="0.3">
      <c r="A213" s="51" t="s">
        <v>256</v>
      </c>
      <c r="B213" s="21" t="s">
        <v>239</v>
      </c>
      <c r="C213" s="20">
        <v>0</v>
      </c>
      <c r="D213" s="47">
        <v>0</v>
      </c>
      <c r="E213" s="44">
        <f t="shared" si="36"/>
        <v>0</v>
      </c>
      <c r="F213" s="44">
        <f t="shared" si="37"/>
        <v>1</v>
      </c>
      <c r="G213" s="5" t="str">
        <f t="shared" si="38"/>
        <v>C</v>
      </c>
      <c r="J213" s="51" t="s">
        <v>256</v>
      </c>
      <c r="K213" s="62" t="s">
        <v>311</v>
      </c>
      <c r="L213" s="5">
        <v>3</v>
      </c>
      <c r="M213" s="70">
        <v>10281</v>
      </c>
      <c r="N213" s="44">
        <f t="shared" si="39"/>
        <v>2.0675999833638741E-3</v>
      </c>
      <c r="O213" s="44">
        <f t="shared" si="40"/>
        <v>0.99691307986142985</v>
      </c>
      <c r="P213" s="5" t="str">
        <f t="shared" si="41"/>
        <v>C</v>
      </c>
      <c r="S213" s="51" t="s">
        <v>256</v>
      </c>
      <c r="T213" s="62" t="s">
        <v>142</v>
      </c>
      <c r="U213" s="48">
        <v>5</v>
      </c>
      <c r="V213" s="70">
        <v>15920.4</v>
      </c>
      <c r="W213" s="44">
        <f t="shared" si="42"/>
        <v>3.0252047302417647E-3</v>
      </c>
      <c r="X213" s="44">
        <f t="shared" si="43"/>
        <v>0.99780651564765499</v>
      </c>
      <c r="Y213" s="5" t="str">
        <f t="shared" si="44"/>
        <v>C</v>
      </c>
      <c r="AB213" s="51" t="s">
        <v>256</v>
      </c>
      <c r="AC213" s="65" t="s">
        <v>244</v>
      </c>
      <c r="AD213" s="5">
        <v>3</v>
      </c>
      <c r="AE213" s="70">
        <v>13670</v>
      </c>
      <c r="AF213" s="44">
        <f t="shared" si="45"/>
        <v>3.8740649790429084E-3</v>
      </c>
      <c r="AG213" s="44">
        <f t="shared" si="46"/>
        <v>0.99482645119859725</v>
      </c>
      <c r="AH213" s="5" t="str">
        <f t="shared" si="47"/>
        <v>C</v>
      </c>
    </row>
    <row r="214" spans="1:34" x14ac:dyDescent="0.3">
      <c r="A214" s="51" t="s">
        <v>256</v>
      </c>
      <c r="B214" s="20" t="s">
        <v>163</v>
      </c>
      <c r="C214" s="20">
        <v>0</v>
      </c>
      <c r="D214" s="47">
        <v>0</v>
      </c>
      <c r="E214" s="44">
        <f t="shared" si="36"/>
        <v>0</v>
      </c>
      <c r="F214" s="44">
        <f t="shared" si="37"/>
        <v>1</v>
      </c>
      <c r="G214" s="5" t="str">
        <f t="shared" si="38"/>
        <v>C</v>
      </c>
      <c r="J214" s="51" t="s">
        <v>256</v>
      </c>
      <c r="K214" s="62" t="s">
        <v>310</v>
      </c>
      <c r="L214" s="5">
        <v>2</v>
      </c>
      <c r="M214" s="70">
        <v>8937.7999999999993</v>
      </c>
      <c r="N214" s="44">
        <f t="shared" si="39"/>
        <v>1.7974705895642091E-3</v>
      </c>
      <c r="O214" s="44">
        <f t="shared" si="40"/>
        <v>0.99871055045099411</v>
      </c>
      <c r="P214" s="5" t="str">
        <f t="shared" si="41"/>
        <v>C</v>
      </c>
      <c r="S214" s="51" t="s">
        <v>256</v>
      </c>
      <c r="T214" s="62" t="s">
        <v>310</v>
      </c>
      <c r="U214" s="48">
        <v>1</v>
      </c>
      <c r="V214" s="70">
        <v>4464</v>
      </c>
      <c r="W214" s="44">
        <f t="shared" si="42"/>
        <v>8.482521743046178E-4</v>
      </c>
      <c r="X214" s="44">
        <f t="shared" si="43"/>
        <v>0.99865476782195961</v>
      </c>
      <c r="Y214" s="5" t="str">
        <f t="shared" si="44"/>
        <v>C</v>
      </c>
      <c r="AB214" s="51" t="s">
        <v>256</v>
      </c>
      <c r="AC214" s="62" t="s">
        <v>144</v>
      </c>
      <c r="AD214" s="5">
        <v>2</v>
      </c>
      <c r="AE214" s="70">
        <v>7704</v>
      </c>
      <c r="AF214" s="44">
        <f t="shared" si="45"/>
        <v>2.1833062617810216E-3</v>
      </c>
      <c r="AG214" s="44">
        <f t="shared" si="46"/>
        <v>0.99700975746037823</v>
      </c>
      <c r="AH214" s="5" t="str">
        <f t="shared" si="47"/>
        <v>C</v>
      </c>
    </row>
    <row r="215" spans="1:34" x14ac:dyDescent="0.3">
      <c r="A215" s="51" t="s">
        <v>256</v>
      </c>
      <c r="B215" s="21" t="s">
        <v>277</v>
      </c>
      <c r="C215" s="20">
        <v>0</v>
      </c>
      <c r="D215" s="47">
        <v>0</v>
      </c>
      <c r="E215" s="44">
        <f t="shared" si="36"/>
        <v>0</v>
      </c>
      <c r="F215" s="44">
        <f t="shared" si="37"/>
        <v>1</v>
      </c>
      <c r="G215" s="5" t="str">
        <f t="shared" si="38"/>
        <v>C</v>
      </c>
      <c r="J215" s="51" t="s">
        <v>256</v>
      </c>
      <c r="K215" s="62" t="s">
        <v>142</v>
      </c>
      <c r="L215" s="5">
        <v>2</v>
      </c>
      <c r="M215" s="70">
        <v>6411.7</v>
      </c>
      <c r="N215" s="44">
        <f t="shared" si="39"/>
        <v>1.2894495490063372E-3</v>
      </c>
      <c r="O215" s="44">
        <f t="shared" si="40"/>
        <v>1.0000000000000004</v>
      </c>
      <c r="P215" s="5" t="str">
        <f t="shared" si="41"/>
        <v>C</v>
      </c>
      <c r="S215" s="51" t="s">
        <v>256</v>
      </c>
      <c r="T215" s="62" t="s">
        <v>144</v>
      </c>
      <c r="U215" s="48">
        <v>1</v>
      </c>
      <c r="V215" s="70">
        <v>3758.2</v>
      </c>
      <c r="W215" s="44">
        <f t="shared" si="42"/>
        <v>7.1413560068808572E-4</v>
      </c>
      <c r="X215" s="44">
        <f t="shared" si="43"/>
        <v>0.99936890342264773</v>
      </c>
      <c r="Y215" s="5" t="str">
        <f t="shared" si="44"/>
        <v>C</v>
      </c>
      <c r="AB215" s="51" t="s">
        <v>256</v>
      </c>
      <c r="AC215" s="65" t="s">
        <v>141</v>
      </c>
      <c r="AD215" s="5">
        <v>2</v>
      </c>
      <c r="AE215" s="70">
        <v>6906.35</v>
      </c>
      <c r="AF215" s="44">
        <f t="shared" si="45"/>
        <v>1.9572530115591069E-3</v>
      </c>
      <c r="AG215" s="44">
        <f t="shared" si="46"/>
        <v>0.99896701047193737</v>
      </c>
      <c r="AH215" s="5" t="str">
        <f t="shared" si="47"/>
        <v>C</v>
      </c>
    </row>
    <row r="216" spans="1:34" x14ac:dyDescent="0.3">
      <c r="A216" s="51" t="s">
        <v>256</v>
      </c>
      <c r="B216" s="21" t="s">
        <v>132</v>
      </c>
      <c r="C216" s="20">
        <v>0</v>
      </c>
      <c r="D216" s="47">
        <v>0</v>
      </c>
      <c r="E216" s="44">
        <f t="shared" si="36"/>
        <v>0</v>
      </c>
      <c r="F216" s="44">
        <f t="shared" si="37"/>
        <v>1</v>
      </c>
      <c r="G216" s="5" t="str">
        <f t="shared" si="38"/>
        <v>C</v>
      </c>
      <c r="J216" s="51" t="s">
        <v>256</v>
      </c>
      <c r="K216" s="62" t="s">
        <v>244</v>
      </c>
      <c r="L216" s="5">
        <v>0</v>
      </c>
      <c r="M216" s="70">
        <v>0</v>
      </c>
      <c r="N216" s="44">
        <f t="shared" si="39"/>
        <v>0</v>
      </c>
      <c r="O216" s="44">
        <f t="shared" si="40"/>
        <v>1.0000000000000004</v>
      </c>
      <c r="P216" s="5" t="str">
        <f t="shared" si="41"/>
        <v>C</v>
      </c>
      <c r="S216" s="51" t="s">
        <v>256</v>
      </c>
      <c r="T216" s="62" t="s">
        <v>244</v>
      </c>
      <c r="U216" s="48">
        <v>1</v>
      </c>
      <c r="V216" s="70">
        <v>3321.2</v>
      </c>
      <c r="W216" s="44">
        <f t="shared" si="42"/>
        <v>6.3109657735226175E-4</v>
      </c>
      <c r="X216" s="44">
        <f t="shared" si="43"/>
        <v>1</v>
      </c>
      <c r="Y216" s="5" t="str">
        <f t="shared" si="44"/>
        <v>C</v>
      </c>
      <c r="AB216" s="51" t="s">
        <v>256</v>
      </c>
      <c r="AC216" s="62" t="s">
        <v>142</v>
      </c>
      <c r="AD216" s="5">
        <v>1</v>
      </c>
      <c r="AE216" s="70">
        <v>3645</v>
      </c>
      <c r="AF216" s="44">
        <f t="shared" si="45"/>
        <v>1.0329895280622825E-3</v>
      </c>
      <c r="AG216" s="44">
        <f t="shared" si="46"/>
        <v>0.99999999999999967</v>
      </c>
      <c r="AH216" s="5" t="str">
        <f t="shared" si="47"/>
        <v>C</v>
      </c>
    </row>
    <row r="217" spans="1:34" x14ac:dyDescent="0.3">
      <c r="A217" s="51" t="s">
        <v>257</v>
      </c>
      <c r="B217" s="21" t="s">
        <v>328</v>
      </c>
      <c r="C217" s="20">
        <v>156</v>
      </c>
      <c r="D217" s="47">
        <v>313166.67679999996</v>
      </c>
      <c r="E217" s="44">
        <f t="shared" si="36"/>
        <v>0.96744970978882194</v>
      </c>
      <c r="F217" s="44">
        <f t="shared" si="37"/>
        <v>0.96744970978882194</v>
      </c>
      <c r="G217" s="5" t="str">
        <f t="shared" si="38"/>
        <v>A</v>
      </c>
      <c r="J217" s="51" t="s">
        <v>257</v>
      </c>
      <c r="K217" s="62" t="s">
        <v>243</v>
      </c>
      <c r="L217" s="5">
        <v>56</v>
      </c>
      <c r="M217" s="70">
        <v>102317.9</v>
      </c>
      <c r="N217" s="44">
        <f t="shared" si="39"/>
        <v>0.58371675236426679</v>
      </c>
      <c r="O217" s="44">
        <f t="shared" si="40"/>
        <v>0.58371675236426679</v>
      </c>
      <c r="P217" s="5" t="str">
        <f t="shared" si="41"/>
        <v>A</v>
      </c>
      <c r="S217" s="51" t="s">
        <v>257</v>
      </c>
      <c r="T217" s="62" t="s">
        <v>243</v>
      </c>
      <c r="U217" s="48">
        <v>130</v>
      </c>
      <c r="V217" s="70">
        <v>250269.4</v>
      </c>
      <c r="W217" s="44">
        <f t="shared" si="42"/>
        <v>0.78576878179330389</v>
      </c>
      <c r="X217" s="44">
        <f t="shared" si="43"/>
        <v>0.78576878179330389</v>
      </c>
      <c r="Y217" s="5" t="str">
        <f t="shared" si="44"/>
        <v>A</v>
      </c>
      <c r="AB217" s="51" t="s">
        <v>257</v>
      </c>
      <c r="AC217" s="62" t="s">
        <v>243</v>
      </c>
      <c r="AD217" s="5">
        <v>93</v>
      </c>
      <c r="AE217" s="70">
        <v>221187.745</v>
      </c>
      <c r="AF217" s="44">
        <f t="shared" si="45"/>
        <v>0.5760262548563273</v>
      </c>
      <c r="AG217" s="44">
        <f t="shared" si="46"/>
        <v>0.5760262548563273</v>
      </c>
      <c r="AH217" s="5" t="str">
        <f t="shared" si="47"/>
        <v>A</v>
      </c>
    </row>
    <row r="218" spans="1:34" x14ac:dyDescent="0.3">
      <c r="A218" s="51" t="s">
        <v>257</v>
      </c>
      <c r="B218" s="21" t="s">
        <v>243</v>
      </c>
      <c r="C218" s="20">
        <v>4</v>
      </c>
      <c r="D218" s="47">
        <v>10536.6368</v>
      </c>
      <c r="E218" s="44">
        <f t="shared" si="36"/>
        <v>3.2550290211178126E-2</v>
      </c>
      <c r="F218" s="44">
        <f t="shared" si="37"/>
        <v>1</v>
      </c>
      <c r="G218" s="5" t="str">
        <f t="shared" si="38"/>
        <v>C</v>
      </c>
      <c r="J218" s="51" t="s">
        <v>257</v>
      </c>
      <c r="K218" s="62" t="s">
        <v>328</v>
      </c>
      <c r="L218" s="5">
        <v>21</v>
      </c>
      <c r="M218" s="70">
        <v>58516.6</v>
      </c>
      <c r="N218" s="44">
        <f t="shared" si="39"/>
        <v>0.33383327561842902</v>
      </c>
      <c r="O218" s="44">
        <f t="shared" si="40"/>
        <v>0.9175500279826958</v>
      </c>
      <c r="P218" s="5" t="str">
        <f t="shared" si="41"/>
        <v>B</v>
      </c>
      <c r="S218" s="51" t="s">
        <v>257</v>
      </c>
      <c r="T218" s="62" t="s">
        <v>328</v>
      </c>
      <c r="U218" s="48">
        <v>19</v>
      </c>
      <c r="V218" s="70">
        <v>59297.5</v>
      </c>
      <c r="W218" s="44">
        <f t="shared" si="42"/>
        <v>0.18617587423148191</v>
      </c>
      <c r="X218" s="44">
        <f t="shared" si="43"/>
        <v>0.97194465602478575</v>
      </c>
      <c r="Y218" s="5" t="str">
        <f t="shared" si="44"/>
        <v>C</v>
      </c>
      <c r="AB218" s="51" t="s">
        <v>257</v>
      </c>
      <c r="AC218" s="62" t="s">
        <v>328</v>
      </c>
      <c r="AD218" s="5">
        <v>39</v>
      </c>
      <c r="AE218" s="70">
        <v>116704.90400000001</v>
      </c>
      <c r="AF218" s="44">
        <f t="shared" si="45"/>
        <v>0.30392772788785033</v>
      </c>
      <c r="AG218" s="44">
        <f t="shared" si="46"/>
        <v>0.87995398274417758</v>
      </c>
      <c r="AH218" s="5" t="str">
        <f t="shared" si="47"/>
        <v>B</v>
      </c>
    </row>
    <row r="219" spans="1:34" x14ac:dyDescent="0.3">
      <c r="A219" s="51" t="s">
        <v>257</v>
      </c>
      <c r="B219" s="21" t="s">
        <v>240</v>
      </c>
      <c r="C219" s="20">
        <v>0</v>
      </c>
      <c r="D219" s="47">
        <v>0</v>
      </c>
      <c r="E219" s="44">
        <f t="shared" si="36"/>
        <v>0</v>
      </c>
      <c r="F219" s="44">
        <f t="shared" si="37"/>
        <v>1</v>
      </c>
      <c r="G219" s="5" t="str">
        <f t="shared" si="38"/>
        <v>C</v>
      </c>
      <c r="J219" s="51" t="s">
        <v>257</v>
      </c>
      <c r="K219" s="62" t="s">
        <v>240</v>
      </c>
      <c r="L219" s="5">
        <v>6</v>
      </c>
      <c r="M219" s="70">
        <v>14452.4</v>
      </c>
      <c r="N219" s="44">
        <f t="shared" si="39"/>
        <v>8.244997201730421E-2</v>
      </c>
      <c r="O219" s="44">
        <f t="shared" si="40"/>
        <v>1</v>
      </c>
      <c r="P219" s="5" t="str">
        <f t="shared" si="41"/>
        <v>C</v>
      </c>
      <c r="S219" s="51" t="s">
        <v>257</v>
      </c>
      <c r="T219" s="62" t="s">
        <v>240</v>
      </c>
      <c r="U219" s="48">
        <v>4</v>
      </c>
      <c r="V219" s="70">
        <v>8935.7000000000007</v>
      </c>
      <c r="W219" s="44">
        <f t="shared" si="42"/>
        <v>2.8055343975214017E-2</v>
      </c>
      <c r="X219" s="44">
        <f t="shared" si="43"/>
        <v>0.99999999999999978</v>
      </c>
      <c r="Y219" s="5" t="str">
        <f t="shared" si="44"/>
        <v>C</v>
      </c>
      <c r="AB219" s="51" t="s">
        <v>257</v>
      </c>
      <c r="AC219" s="62" t="s">
        <v>240</v>
      </c>
      <c r="AD219" s="5">
        <v>18</v>
      </c>
      <c r="AE219" s="70">
        <v>46096.35</v>
      </c>
      <c r="AF219" s="44">
        <f t="shared" si="45"/>
        <v>0.12004601725582249</v>
      </c>
      <c r="AG219" s="44">
        <f t="shared" si="46"/>
        <v>1</v>
      </c>
      <c r="AH219" s="5" t="str">
        <f t="shared" si="47"/>
        <v>C</v>
      </c>
    </row>
    <row r="220" spans="1:34" x14ac:dyDescent="0.3">
      <c r="A220" s="51" t="s">
        <v>258</v>
      </c>
      <c r="B220" s="21" t="s">
        <v>102</v>
      </c>
      <c r="C220" s="20">
        <v>24</v>
      </c>
      <c r="D220" s="47">
        <v>31075.237399999998</v>
      </c>
      <c r="E220" s="44">
        <f t="shared" si="36"/>
        <v>0.31073416808509191</v>
      </c>
      <c r="F220" s="44">
        <f t="shared" si="37"/>
        <v>0.31073416808509191</v>
      </c>
      <c r="G220" s="5" t="str">
        <f t="shared" si="38"/>
        <v>A</v>
      </c>
      <c r="J220" s="51" t="s">
        <v>258</v>
      </c>
      <c r="K220" s="62" t="s">
        <v>229</v>
      </c>
      <c r="L220" s="5">
        <v>230</v>
      </c>
      <c r="M220" s="70">
        <v>506117.54000000004</v>
      </c>
      <c r="N220" s="44">
        <f t="shared" si="39"/>
        <v>0.52350991440776717</v>
      </c>
      <c r="O220" s="44">
        <f t="shared" si="40"/>
        <v>0.52350991440776717</v>
      </c>
      <c r="P220" s="5" t="str">
        <f t="shared" si="41"/>
        <v>A</v>
      </c>
      <c r="S220" s="51" t="s">
        <v>258</v>
      </c>
      <c r="T220" s="62" t="s">
        <v>229</v>
      </c>
      <c r="U220" s="48">
        <v>266</v>
      </c>
      <c r="V220" s="70">
        <v>614215.28</v>
      </c>
      <c r="W220" s="44">
        <f t="shared" si="42"/>
        <v>0.58958046787508078</v>
      </c>
      <c r="X220" s="44">
        <f t="shared" si="43"/>
        <v>0.58958046787508078</v>
      </c>
      <c r="Y220" s="5" t="str">
        <f t="shared" si="44"/>
        <v>A</v>
      </c>
      <c r="AB220" s="51" t="s">
        <v>258</v>
      </c>
      <c r="AC220" s="62" t="s">
        <v>229</v>
      </c>
      <c r="AD220" s="5">
        <v>105</v>
      </c>
      <c r="AE220" s="70">
        <v>256932.53330000001</v>
      </c>
      <c r="AF220" s="44">
        <f t="shared" si="45"/>
        <v>0.38319729319999662</v>
      </c>
      <c r="AG220" s="44">
        <f t="shared" si="46"/>
        <v>0.38319729319999662</v>
      </c>
      <c r="AH220" s="5" t="str">
        <f t="shared" si="47"/>
        <v>A</v>
      </c>
    </row>
    <row r="221" spans="1:34" x14ac:dyDescent="0.3">
      <c r="A221" s="51" t="s">
        <v>258</v>
      </c>
      <c r="B221" s="21" t="s">
        <v>183</v>
      </c>
      <c r="C221" s="20">
        <v>12</v>
      </c>
      <c r="D221" s="47">
        <v>25418.2317</v>
      </c>
      <c r="E221" s="44">
        <f t="shared" si="36"/>
        <v>0.25416742533054987</v>
      </c>
      <c r="F221" s="44">
        <f t="shared" si="37"/>
        <v>0.56490159341564183</v>
      </c>
      <c r="G221" s="5" t="str">
        <f t="shared" si="38"/>
        <v>A</v>
      </c>
      <c r="J221" s="51" t="s">
        <v>258</v>
      </c>
      <c r="K221" s="62" t="s">
        <v>314</v>
      </c>
      <c r="L221" s="5">
        <v>87</v>
      </c>
      <c r="M221" s="70">
        <v>181720.2</v>
      </c>
      <c r="N221" s="44">
        <f t="shared" si="39"/>
        <v>0.18796488726346519</v>
      </c>
      <c r="O221" s="44">
        <f t="shared" si="40"/>
        <v>0.71147480167123234</v>
      </c>
      <c r="P221" s="5" t="str">
        <f t="shared" si="41"/>
        <v>A</v>
      </c>
      <c r="S221" s="51" t="s">
        <v>258</v>
      </c>
      <c r="T221" s="62" t="s">
        <v>314</v>
      </c>
      <c r="U221" s="48">
        <v>109</v>
      </c>
      <c r="V221" s="70">
        <v>236915.3</v>
      </c>
      <c r="W221" s="44">
        <f t="shared" si="42"/>
        <v>0.22741315295960257</v>
      </c>
      <c r="X221" s="44">
        <f t="shared" si="43"/>
        <v>0.8169936208346833</v>
      </c>
      <c r="Y221" s="5" t="str">
        <f t="shared" si="44"/>
        <v>B</v>
      </c>
      <c r="AB221" s="51" t="s">
        <v>258</v>
      </c>
      <c r="AC221" s="62" t="s">
        <v>314</v>
      </c>
      <c r="AD221" s="5">
        <v>82</v>
      </c>
      <c r="AE221" s="70">
        <v>180117</v>
      </c>
      <c r="AF221" s="44">
        <f t="shared" si="45"/>
        <v>0.2686321812688241</v>
      </c>
      <c r="AG221" s="44">
        <f t="shared" si="46"/>
        <v>0.65182947446882067</v>
      </c>
      <c r="AH221" s="5" t="str">
        <f t="shared" si="47"/>
        <v>A</v>
      </c>
    </row>
    <row r="222" spans="1:34" x14ac:dyDescent="0.3">
      <c r="A222" s="51" t="s">
        <v>258</v>
      </c>
      <c r="B222" s="21" t="s">
        <v>55</v>
      </c>
      <c r="C222" s="20">
        <v>10</v>
      </c>
      <c r="D222" s="47">
        <v>9946.5889999999999</v>
      </c>
      <c r="E222" s="44">
        <f t="shared" si="36"/>
        <v>9.9460062634930221E-2</v>
      </c>
      <c r="F222" s="44">
        <f t="shared" si="37"/>
        <v>0.66436165605057207</v>
      </c>
      <c r="G222" s="5" t="str">
        <f t="shared" si="38"/>
        <v>A</v>
      </c>
      <c r="J222" s="51" t="s">
        <v>258</v>
      </c>
      <c r="K222" s="62" t="s">
        <v>183</v>
      </c>
      <c r="L222" s="5">
        <v>29</v>
      </c>
      <c r="M222" s="70">
        <v>76589.600000000006</v>
      </c>
      <c r="N222" s="44">
        <f t="shared" si="39"/>
        <v>7.9221547904712267E-2</v>
      </c>
      <c r="O222" s="44">
        <f t="shared" si="40"/>
        <v>0.79069634957594459</v>
      </c>
      <c r="P222" s="5" t="str">
        <f t="shared" si="41"/>
        <v>A</v>
      </c>
      <c r="S222" s="51" t="s">
        <v>258</v>
      </c>
      <c r="T222" s="62" t="s">
        <v>183</v>
      </c>
      <c r="U222" s="48">
        <v>20</v>
      </c>
      <c r="V222" s="70">
        <v>46258.2</v>
      </c>
      <c r="W222" s="44">
        <f t="shared" si="42"/>
        <v>4.4402886230800152E-2</v>
      </c>
      <c r="X222" s="44">
        <f t="shared" si="43"/>
        <v>0.86139650706548343</v>
      </c>
      <c r="Y222" s="5" t="str">
        <f t="shared" si="44"/>
        <v>B</v>
      </c>
      <c r="AB222" s="51" t="s">
        <v>258</v>
      </c>
      <c r="AC222" s="62" t="s">
        <v>421</v>
      </c>
      <c r="AD222" s="5">
        <v>44</v>
      </c>
      <c r="AE222" s="70">
        <v>63520</v>
      </c>
      <c r="AF222" s="44">
        <f t="shared" si="45"/>
        <v>9.4735733740822392E-2</v>
      </c>
      <c r="AG222" s="44">
        <f t="shared" si="46"/>
        <v>0.74656520820964301</v>
      </c>
      <c r="AH222" s="5" t="str">
        <f t="shared" si="47"/>
        <v>A</v>
      </c>
    </row>
    <row r="223" spans="1:34" x14ac:dyDescent="0.3">
      <c r="A223" s="51" t="s">
        <v>258</v>
      </c>
      <c r="B223" s="21" t="s">
        <v>80</v>
      </c>
      <c r="C223" s="20">
        <v>4</v>
      </c>
      <c r="D223" s="47">
        <v>9669.2330000000002</v>
      </c>
      <c r="E223" s="44">
        <f t="shared" si="36"/>
        <v>9.6686665128290133E-2</v>
      </c>
      <c r="F223" s="44">
        <f t="shared" si="37"/>
        <v>0.76104832117886223</v>
      </c>
      <c r="G223" s="5" t="str">
        <f t="shared" si="38"/>
        <v>A</v>
      </c>
      <c r="J223" s="51" t="s">
        <v>258</v>
      </c>
      <c r="K223" s="62" t="s">
        <v>21</v>
      </c>
      <c r="L223" s="5">
        <v>20</v>
      </c>
      <c r="M223" s="70">
        <v>50566</v>
      </c>
      <c r="N223" s="44">
        <f t="shared" si="39"/>
        <v>5.2303665136646235E-2</v>
      </c>
      <c r="O223" s="44">
        <f t="shared" si="40"/>
        <v>0.84300001471259078</v>
      </c>
      <c r="P223" s="5" t="str">
        <f t="shared" si="41"/>
        <v>B</v>
      </c>
      <c r="S223" s="51" t="s">
        <v>258</v>
      </c>
      <c r="T223" s="62" t="s">
        <v>80</v>
      </c>
      <c r="U223" s="48">
        <v>17</v>
      </c>
      <c r="V223" s="70">
        <v>42618.9</v>
      </c>
      <c r="W223" s="44">
        <f t="shared" si="42"/>
        <v>4.0909550479306347E-2</v>
      </c>
      <c r="X223" s="44">
        <f t="shared" si="43"/>
        <v>0.90230605754478976</v>
      </c>
      <c r="Y223" s="5" t="str">
        <f t="shared" si="44"/>
        <v>B</v>
      </c>
      <c r="AB223" s="51" t="s">
        <v>258</v>
      </c>
      <c r="AC223" s="62" t="s">
        <v>183</v>
      </c>
      <c r="AD223" s="5">
        <v>22</v>
      </c>
      <c r="AE223" s="70">
        <v>54512.7</v>
      </c>
      <c r="AF223" s="44">
        <f t="shared" si="45"/>
        <v>8.1301962101595224E-2</v>
      </c>
      <c r="AG223" s="44">
        <f t="shared" si="46"/>
        <v>0.82786717031123824</v>
      </c>
      <c r="AH223" s="5" t="str">
        <f t="shared" si="47"/>
        <v>B</v>
      </c>
    </row>
    <row r="224" spans="1:34" x14ac:dyDescent="0.3">
      <c r="A224" s="51" t="s">
        <v>258</v>
      </c>
      <c r="B224" s="21" t="s">
        <v>313</v>
      </c>
      <c r="C224" s="20">
        <v>4</v>
      </c>
      <c r="D224" s="47">
        <v>7833.0594000000001</v>
      </c>
      <c r="E224" s="44">
        <f t="shared" si="36"/>
        <v>7.832600487937412E-2</v>
      </c>
      <c r="F224" s="44">
        <f t="shared" si="37"/>
        <v>0.83937432605823636</v>
      </c>
      <c r="G224" s="5" t="str">
        <f t="shared" si="38"/>
        <v>B</v>
      </c>
      <c r="J224" s="51" t="s">
        <v>258</v>
      </c>
      <c r="K224" s="62" t="s">
        <v>58</v>
      </c>
      <c r="L224" s="5">
        <v>14</v>
      </c>
      <c r="M224" s="70">
        <v>32522</v>
      </c>
      <c r="N224" s="44">
        <f t="shared" si="39"/>
        <v>3.3639595727841018E-2</v>
      </c>
      <c r="O224" s="44">
        <f t="shared" si="40"/>
        <v>0.87663961044043182</v>
      </c>
      <c r="P224" s="5" t="str">
        <f t="shared" si="41"/>
        <v>B</v>
      </c>
      <c r="S224" s="51" t="s">
        <v>258</v>
      </c>
      <c r="T224" s="62" t="s">
        <v>313</v>
      </c>
      <c r="U224" s="48">
        <v>12</v>
      </c>
      <c r="V224" s="70">
        <v>26799</v>
      </c>
      <c r="W224" s="44">
        <f t="shared" si="42"/>
        <v>2.5724151568785932E-2</v>
      </c>
      <c r="X224" s="44">
        <f t="shared" si="43"/>
        <v>0.9280302091135757</v>
      </c>
      <c r="Y224" s="5" t="str">
        <f t="shared" si="44"/>
        <v>B</v>
      </c>
      <c r="AB224" s="51" t="s">
        <v>258</v>
      </c>
      <c r="AC224" s="62" t="s">
        <v>231</v>
      </c>
      <c r="AD224" s="5">
        <v>19</v>
      </c>
      <c r="AE224" s="70">
        <v>29321.9</v>
      </c>
      <c r="AF224" s="44">
        <f t="shared" si="45"/>
        <v>4.3731607543687344E-2</v>
      </c>
      <c r="AG224" s="44">
        <f t="shared" si="46"/>
        <v>0.87159877785492557</v>
      </c>
      <c r="AH224" s="5" t="str">
        <f t="shared" si="47"/>
        <v>B</v>
      </c>
    </row>
    <row r="225" spans="1:34" x14ac:dyDescent="0.3">
      <c r="A225" s="51" t="s">
        <v>258</v>
      </c>
      <c r="B225" s="21" t="s">
        <v>314</v>
      </c>
      <c r="C225" s="20">
        <v>4</v>
      </c>
      <c r="D225" s="47">
        <v>7552.0857999999998</v>
      </c>
      <c r="E225" s="44">
        <f t="shared" si="36"/>
        <v>7.5516433492161694E-2</v>
      </c>
      <c r="F225" s="44">
        <f t="shared" si="37"/>
        <v>0.91489075955039811</v>
      </c>
      <c r="G225" s="5" t="str">
        <f t="shared" si="38"/>
        <v>B</v>
      </c>
      <c r="J225" s="51" t="s">
        <v>258</v>
      </c>
      <c r="K225" s="62" t="s">
        <v>313</v>
      </c>
      <c r="L225" s="5">
        <v>13</v>
      </c>
      <c r="M225" s="70">
        <v>31309</v>
      </c>
      <c r="N225" s="44">
        <f t="shared" si="39"/>
        <v>3.2384911833312047E-2</v>
      </c>
      <c r="O225" s="44">
        <f t="shared" si="40"/>
        <v>0.90902452227374386</v>
      </c>
      <c r="P225" s="5" t="str">
        <f t="shared" si="41"/>
        <v>B</v>
      </c>
      <c r="S225" s="51" t="s">
        <v>258</v>
      </c>
      <c r="T225" s="62" t="s">
        <v>231</v>
      </c>
      <c r="U225" s="48">
        <v>15</v>
      </c>
      <c r="V225" s="70">
        <v>22621.200000000001</v>
      </c>
      <c r="W225" s="44">
        <f t="shared" si="42"/>
        <v>2.1713913857525295E-2</v>
      </c>
      <c r="X225" s="44">
        <f t="shared" si="43"/>
        <v>0.949744122971101</v>
      </c>
      <c r="Y225" s="5" t="str">
        <f t="shared" si="44"/>
        <v>B</v>
      </c>
      <c r="AB225" s="51" t="s">
        <v>258</v>
      </c>
      <c r="AC225" s="62" t="s">
        <v>80</v>
      </c>
      <c r="AD225" s="5">
        <v>9</v>
      </c>
      <c r="AE225" s="70">
        <v>24865.599999999999</v>
      </c>
      <c r="AF225" s="44">
        <f t="shared" si="45"/>
        <v>3.7085341009222186E-2</v>
      </c>
      <c r="AG225" s="44">
        <f t="shared" si="46"/>
        <v>0.90868411886414779</v>
      </c>
      <c r="AH225" s="5" t="str">
        <f t="shared" si="47"/>
        <v>B</v>
      </c>
    </row>
    <row r="226" spans="1:34" x14ac:dyDescent="0.3">
      <c r="A226" s="51" t="s">
        <v>258</v>
      </c>
      <c r="B226" s="21" t="s">
        <v>21</v>
      </c>
      <c r="C226" s="20">
        <v>2</v>
      </c>
      <c r="D226" s="47">
        <v>5419.0227000000004</v>
      </c>
      <c r="E226" s="44">
        <f t="shared" si="36"/>
        <v>5.4187052180612746E-2</v>
      </c>
      <c r="F226" s="44">
        <f t="shared" si="37"/>
        <v>0.96907781173101082</v>
      </c>
      <c r="G226" s="5" t="str">
        <f t="shared" si="38"/>
        <v>C</v>
      </c>
      <c r="J226" s="51" t="s">
        <v>258</v>
      </c>
      <c r="K226" s="62" t="s">
        <v>231</v>
      </c>
      <c r="L226" s="5">
        <v>21</v>
      </c>
      <c r="M226" s="70">
        <v>30945.9</v>
      </c>
      <c r="N226" s="44">
        <f t="shared" si="39"/>
        <v>3.2009334156392455E-2</v>
      </c>
      <c r="O226" s="44">
        <f t="shared" si="40"/>
        <v>0.94103385643013637</v>
      </c>
      <c r="P226" s="5" t="str">
        <f t="shared" si="41"/>
        <v>B</v>
      </c>
      <c r="S226" s="51" t="s">
        <v>258</v>
      </c>
      <c r="T226" s="62" t="s">
        <v>137</v>
      </c>
      <c r="U226" s="48">
        <v>9</v>
      </c>
      <c r="V226" s="70">
        <v>19203.2</v>
      </c>
      <c r="W226" s="44">
        <f t="shared" si="42"/>
        <v>1.843300225402851E-2</v>
      </c>
      <c r="X226" s="44">
        <f t="shared" si="43"/>
        <v>0.96817712522512955</v>
      </c>
      <c r="Y226" s="5" t="str">
        <f t="shared" si="44"/>
        <v>C</v>
      </c>
      <c r="AB226" s="51" t="s">
        <v>258</v>
      </c>
      <c r="AC226" s="62" t="s">
        <v>358</v>
      </c>
      <c r="AD226" s="5">
        <v>8</v>
      </c>
      <c r="AE226" s="70">
        <v>17133.199999999997</v>
      </c>
      <c r="AF226" s="44">
        <f t="shared" si="45"/>
        <v>2.5552995486905823E-2</v>
      </c>
      <c r="AG226" s="44">
        <f t="shared" si="46"/>
        <v>0.93423711435105361</v>
      </c>
      <c r="AH226" s="5" t="str">
        <f t="shared" si="47"/>
        <v>B</v>
      </c>
    </row>
    <row r="227" spans="1:34" x14ac:dyDescent="0.3">
      <c r="A227" s="51" t="s">
        <v>258</v>
      </c>
      <c r="B227" s="21" t="s">
        <v>229</v>
      </c>
      <c r="C227" s="20">
        <v>2</v>
      </c>
      <c r="D227" s="47">
        <v>3092.4</v>
      </c>
      <c r="E227" s="44">
        <f t="shared" si="36"/>
        <v>3.092218826898932E-2</v>
      </c>
      <c r="F227" s="44">
        <f t="shared" si="37"/>
        <v>1.0000000000000002</v>
      </c>
      <c r="G227" s="5" t="str">
        <f t="shared" si="38"/>
        <v>C</v>
      </c>
      <c r="J227" s="51" t="s">
        <v>258</v>
      </c>
      <c r="K227" s="62" t="s">
        <v>80</v>
      </c>
      <c r="L227" s="5">
        <v>10</v>
      </c>
      <c r="M227" s="70">
        <v>23828.6</v>
      </c>
      <c r="N227" s="44">
        <f t="shared" si="39"/>
        <v>2.4647453132046995E-2</v>
      </c>
      <c r="O227" s="44">
        <f t="shared" si="40"/>
        <v>0.96568130956218334</v>
      </c>
      <c r="P227" s="5" t="str">
        <f t="shared" si="41"/>
        <v>C</v>
      </c>
      <c r="S227" s="51" t="s">
        <v>258</v>
      </c>
      <c r="T227" s="62" t="s">
        <v>73</v>
      </c>
      <c r="U227" s="48">
        <v>7</v>
      </c>
      <c r="V227" s="70">
        <v>16885.2</v>
      </c>
      <c r="W227" s="44">
        <f t="shared" si="42"/>
        <v>1.6207972091095348E-2</v>
      </c>
      <c r="X227" s="44">
        <f t="shared" si="43"/>
        <v>0.98438509731622492</v>
      </c>
      <c r="Y227" s="5" t="str">
        <f t="shared" si="44"/>
        <v>C</v>
      </c>
      <c r="AB227" s="51" t="s">
        <v>258</v>
      </c>
      <c r="AC227" s="62" t="s">
        <v>73</v>
      </c>
      <c r="AD227" s="5">
        <v>5</v>
      </c>
      <c r="AE227" s="70">
        <v>12757.5</v>
      </c>
      <c r="AF227" s="44">
        <f t="shared" si="45"/>
        <v>1.9026938337508528E-2</v>
      </c>
      <c r="AG227" s="44">
        <f t="shared" si="46"/>
        <v>0.95326405268856218</v>
      </c>
      <c r="AH227" s="5" t="str">
        <f t="shared" si="47"/>
        <v>C</v>
      </c>
    </row>
    <row r="228" spans="1:34" x14ac:dyDescent="0.3">
      <c r="A228" s="51" t="s">
        <v>258</v>
      </c>
      <c r="B228" s="21" t="s">
        <v>137</v>
      </c>
      <c r="C228" s="20">
        <v>0</v>
      </c>
      <c r="D228" s="47">
        <v>0</v>
      </c>
      <c r="E228" s="44">
        <f t="shared" si="36"/>
        <v>0</v>
      </c>
      <c r="F228" s="44">
        <f t="shared" si="37"/>
        <v>1.0000000000000002</v>
      </c>
      <c r="G228" s="5" t="str">
        <f t="shared" si="38"/>
        <v>C</v>
      </c>
      <c r="J228" s="51" t="s">
        <v>258</v>
      </c>
      <c r="K228" s="62" t="s">
        <v>137</v>
      </c>
      <c r="L228" s="5">
        <v>5</v>
      </c>
      <c r="M228" s="70">
        <v>10620</v>
      </c>
      <c r="N228" s="44">
        <f t="shared" si="39"/>
        <v>1.098494885399642E-2</v>
      </c>
      <c r="O228" s="44">
        <f t="shared" si="40"/>
        <v>0.97666625841617971</v>
      </c>
      <c r="P228" s="5" t="str">
        <f t="shared" si="41"/>
        <v>C</v>
      </c>
      <c r="S228" s="51" t="s">
        <v>258</v>
      </c>
      <c r="T228" s="62" t="s">
        <v>102</v>
      </c>
      <c r="U228" s="48">
        <v>9</v>
      </c>
      <c r="V228" s="70">
        <v>11255.1</v>
      </c>
      <c r="W228" s="44">
        <f t="shared" si="42"/>
        <v>1.0803682910625119E-2</v>
      </c>
      <c r="X228" s="44">
        <f t="shared" si="43"/>
        <v>0.99518878022685009</v>
      </c>
      <c r="Y228" s="5" t="str">
        <f t="shared" si="44"/>
        <v>C</v>
      </c>
      <c r="AB228" s="51" t="s">
        <v>258</v>
      </c>
      <c r="AC228" s="62" t="s">
        <v>102</v>
      </c>
      <c r="AD228" s="5">
        <v>8</v>
      </c>
      <c r="AE228" s="70">
        <v>12366.3</v>
      </c>
      <c r="AF228" s="44">
        <f t="shared" si="45"/>
        <v>1.8443490304772228E-2</v>
      </c>
      <c r="AG228" s="44">
        <f t="shared" si="46"/>
        <v>0.97170754299333439</v>
      </c>
      <c r="AH228" s="5" t="str">
        <f t="shared" si="47"/>
        <v>C</v>
      </c>
    </row>
    <row r="229" spans="1:34" x14ac:dyDescent="0.3">
      <c r="A229" s="51" t="s">
        <v>258</v>
      </c>
      <c r="B229" s="21" t="s">
        <v>421</v>
      </c>
      <c r="C229" s="20">
        <v>0</v>
      </c>
      <c r="D229" s="47">
        <v>0</v>
      </c>
      <c r="E229" s="44">
        <f t="shared" si="36"/>
        <v>0</v>
      </c>
      <c r="F229" s="44">
        <f t="shared" si="37"/>
        <v>1.0000000000000002</v>
      </c>
      <c r="G229" s="5" t="str">
        <f t="shared" si="38"/>
        <v>C</v>
      </c>
      <c r="J229" s="51" t="s">
        <v>258</v>
      </c>
      <c r="K229" s="62" t="s">
        <v>55</v>
      </c>
      <c r="L229" s="5">
        <v>36</v>
      </c>
      <c r="M229" s="70">
        <v>9867.3333999999995</v>
      </c>
      <c r="N229" s="44">
        <f t="shared" si="39"/>
        <v>1.0206417394004765E-2</v>
      </c>
      <c r="O229" s="44">
        <f t="shared" si="40"/>
        <v>0.98687267581018445</v>
      </c>
      <c r="P229" s="5" t="str">
        <f t="shared" si="41"/>
        <v>C</v>
      </c>
      <c r="S229" s="51" t="s">
        <v>258</v>
      </c>
      <c r="T229" s="62" t="s">
        <v>55</v>
      </c>
      <c r="U229" s="48">
        <v>15</v>
      </c>
      <c r="V229" s="70">
        <v>3250</v>
      </c>
      <c r="W229" s="44">
        <f t="shared" si="42"/>
        <v>3.1196497107561579E-3</v>
      </c>
      <c r="X229" s="44">
        <f t="shared" si="43"/>
        <v>0.99830842993760627</v>
      </c>
      <c r="Y229" s="5" t="str">
        <f t="shared" si="44"/>
        <v>C</v>
      </c>
      <c r="AB229" s="51" t="s">
        <v>258</v>
      </c>
      <c r="AC229" s="62" t="s">
        <v>55</v>
      </c>
      <c r="AD229" s="5">
        <v>29</v>
      </c>
      <c r="AE229" s="70">
        <v>8237.7000000000007</v>
      </c>
      <c r="AF229" s="44">
        <f t="shared" si="45"/>
        <v>1.2285965897934079E-2</v>
      </c>
      <c r="AG229" s="44">
        <f t="shared" si="46"/>
        <v>0.98399350889126846</v>
      </c>
      <c r="AH229" s="5" t="str">
        <f t="shared" si="47"/>
        <v>C</v>
      </c>
    </row>
    <row r="230" spans="1:34" x14ac:dyDescent="0.3">
      <c r="A230" s="51" t="s">
        <v>258</v>
      </c>
      <c r="B230" s="21" t="s">
        <v>58</v>
      </c>
      <c r="C230" s="20">
        <v>0</v>
      </c>
      <c r="D230" s="47">
        <v>0</v>
      </c>
      <c r="E230" s="44">
        <f t="shared" si="36"/>
        <v>0</v>
      </c>
      <c r="F230" s="44">
        <f t="shared" si="37"/>
        <v>1.0000000000000002</v>
      </c>
      <c r="G230" s="5" t="str">
        <f t="shared" si="38"/>
        <v>C</v>
      </c>
      <c r="J230" s="51" t="s">
        <v>258</v>
      </c>
      <c r="K230" s="62" t="s">
        <v>102</v>
      </c>
      <c r="L230" s="5">
        <v>12</v>
      </c>
      <c r="M230" s="70">
        <v>7574.4</v>
      </c>
      <c r="N230" s="44">
        <f t="shared" si="39"/>
        <v>7.8346889453588028E-3</v>
      </c>
      <c r="O230" s="44">
        <f t="shared" si="40"/>
        <v>0.99470736475554322</v>
      </c>
      <c r="P230" s="5" t="str">
        <f t="shared" si="41"/>
        <v>C</v>
      </c>
      <c r="S230" s="51" t="s">
        <v>258</v>
      </c>
      <c r="T230" s="62" t="s">
        <v>58</v>
      </c>
      <c r="U230" s="48">
        <v>1</v>
      </c>
      <c r="V230" s="70">
        <v>1762.25</v>
      </c>
      <c r="W230" s="44">
        <f t="shared" si="42"/>
        <v>1.6915700623938584E-3</v>
      </c>
      <c r="X230" s="44">
        <f t="shared" si="43"/>
        <v>1.0000000000000002</v>
      </c>
      <c r="Y230" s="5" t="str">
        <f t="shared" si="44"/>
        <v>C</v>
      </c>
      <c r="AB230" s="51" t="s">
        <v>258</v>
      </c>
      <c r="AC230" s="62" t="s">
        <v>21</v>
      </c>
      <c r="AD230" s="5">
        <v>2</v>
      </c>
      <c r="AE230" s="70">
        <v>5372.8</v>
      </c>
      <c r="AF230" s="44">
        <f t="shared" si="45"/>
        <v>8.0131635743496618E-3</v>
      </c>
      <c r="AG230" s="44">
        <f t="shared" si="46"/>
        <v>0.99200667246561813</v>
      </c>
      <c r="AH230" s="5" t="str">
        <f t="shared" si="47"/>
        <v>C</v>
      </c>
    </row>
    <row r="231" spans="1:34" x14ac:dyDescent="0.3">
      <c r="A231" s="51" t="s">
        <v>258</v>
      </c>
      <c r="B231" s="21" t="s">
        <v>73</v>
      </c>
      <c r="C231" s="20">
        <v>0</v>
      </c>
      <c r="D231" s="47">
        <v>0</v>
      </c>
      <c r="E231" s="44">
        <f t="shared" si="36"/>
        <v>0</v>
      </c>
      <c r="F231" s="44">
        <f t="shared" si="37"/>
        <v>1.0000000000000002</v>
      </c>
      <c r="G231" s="5" t="str">
        <f t="shared" si="38"/>
        <v>C</v>
      </c>
      <c r="J231" s="51" t="s">
        <v>258</v>
      </c>
      <c r="K231" s="62" t="s">
        <v>73</v>
      </c>
      <c r="L231" s="5">
        <v>2</v>
      </c>
      <c r="M231" s="70">
        <v>5116.8</v>
      </c>
      <c r="N231" s="44">
        <f t="shared" si="39"/>
        <v>5.2926352444565804E-3</v>
      </c>
      <c r="O231" s="44">
        <f t="shared" si="40"/>
        <v>0.99999999999999978</v>
      </c>
      <c r="P231" s="5" t="str">
        <f t="shared" si="41"/>
        <v>C</v>
      </c>
      <c r="S231" s="51" t="s">
        <v>258</v>
      </c>
      <c r="T231" s="62" t="s">
        <v>21</v>
      </c>
      <c r="U231" s="48">
        <v>0</v>
      </c>
      <c r="V231" s="70">
        <v>0</v>
      </c>
      <c r="W231" s="44">
        <f t="shared" si="42"/>
        <v>0</v>
      </c>
      <c r="X231" s="44">
        <f t="shared" si="43"/>
        <v>1.0000000000000002</v>
      </c>
      <c r="Y231" s="5" t="str">
        <f t="shared" si="44"/>
        <v>C</v>
      </c>
      <c r="AB231" s="51" t="s">
        <v>258</v>
      </c>
      <c r="AC231" s="62" t="s">
        <v>58</v>
      </c>
      <c r="AD231" s="5">
        <v>3</v>
      </c>
      <c r="AE231" s="70">
        <v>5359.5</v>
      </c>
      <c r="AF231" s="44">
        <f t="shared" si="45"/>
        <v>7.9933275343818892E-3</v>
      </c>
      <c r="AG231" s="44">
        <f t="shared" si="46"/>
        <v>1</v>
      </c>
      <c r="AH231" s="5" t="str">
        <f t="shared" si="47"/>
        <v>C</v>
      </c>
    </row>
    <row r="232" spans="1:34" x14ac:dyDescent="0.3">
      <c r="A232" s="51" t="s">
        <v>258</v>
      </c>
      <c r="B232" s="21" t="s">
        <v>231</v>
      </c>
      <c r="C232" s="20">
        <v>0</v>
      </c>
      <c r="D232" s="47">
        <v>0</v>
      </c>
      <c r="E232" s="44">
        <f t="shared" si="36"/>
        <v>0</v>
      </c>
      <c r="F232" s="44">
        <f t="shared" si="37"/>
        <v>1.0000000000000002</v>
      </c>
      <c r="G232" s="5" t="str">
        <f t="shared" si="38"/>
        <v>C</v>
      </c>
      <c r="J232" s="51" t="s">
        <v>258</v>
      </c>
      <c r="K232" s="62" t="s">
        <v>421</v>
      </c>
      <c r="L232" s="5">
        <v>0</v>
      </c>
      <c r="M232" s="70">
        <v>0</v>
      </c>
      <c r="N232" s="44">
        <f t="shared" si="39"/>
        <v>0</v>
      </c>
      <c r="O232" s="44">
        <f t="shared" si="40"/>
        <v>0.99999999999999978</v>
      </c>
      <c r="P232" s="5" t="str">
        <f t="shared" si="41"/>
        <v>C</v>
      </c>
      <c r="S232" s="51" t="s">
        <v>258</v>
      </c>
      <c r="T232" s="62" t="s">
        <v>421</v>
      </c>
      <c r="U232" s="48">
        <v>0</v>
      </c>
      <c r="V232" s="70">
        <v>0</v>
      </c>
      <c r="W232" s="44">
        <f t="shared" si="42"/>
        <v>0</v>
      </c>
      <c r="X232" s="44">
        <f t="shared" si="43"/>
        <v>1.0000000000000002</v>
      </c>
      <c r="Y232" s="5" t="str">
        <f t="shared" si="44"/>
        <v>C</v>
      </c>
      <c r="AB232" s="51" t="s">
        <v>258</v>
      </c>
      <c r="AC232" s="62" t="s">
        <v>137</v>
      </c>
      <c r="AD232" s="5">
        <v>0</v>
      </c>
      <c r="AE232" s="70">
        <v>0</v>
      </c>
      <c r="AF232" s="44">
        <f t="shared" si="45"/>
        <v>0</v>
      </c>
      <c r="AG232" s="44">
        <f t="shared" si="46"/>
        <v>1</v>
      </c>
      <c r="AH232" s="5" t="str">
        <f t="shared" si="47"/>
        <v>C</v>
      </c>
    </row>
    <row r="233" spans="1:34" x14ac:dyDescent="0.3">
      <c r="A233" s="51" t="s">
        <v>258</v>
      </c>
      <c r="B233" s="21" t="s">
        <v>358</v>
      </c>
      <c r="C233" s="20">
        <v>0</v>
      </c>
      <c r="D233" s="47">
        <v>0</v>
      </c>
      <c r="E233" s="44">
        <f t="shared" si="36"/>
        <v>0</v>
      </c>
      <c r="F233" s="44">
        <f t="shared" si="37"/>
        <v>1.0000000000000002</v>
      </c>
      <c r="G233" s="5" t="str">
        <f t="shared" si="38"/>
        <v>C</v>
      </c>
      <c r="J233" s="51" t="s">
        <v>258</v>
      </c>
      <c r="K233" s="62" t="s">
        <v>358</v>
      </c>
      <c r="L233" s="5">
        <v>0</v>
      </c>
      <c r="M233" s="70">
        <v>0</v>
      </c>
      <c r="N233" s="44">
        <f t="shared" si="39"/>
        <v>0</v>
      </c>
      <c r="O233" s="44">
        <f t="shared" si="40"/>
        <v>0.99999999999999978</v>
      </c>
      <c r="P233" s="5" t="str">
        <f t="shared" si="41"/>
        <v>C</v>
      </c>
      <c r="S233" s="51" t="s">
        <v>258</v>
      </c>
      <c r="T233" s="62" t="s">
        <v>358</v>
      </c>
      <c r="U233" s="48">
        <v>0</v>
      </c>
      <c r="V233" s="70">
        <v>0</v>
      </c>
      <c r="W233" s="44">
        <f t="shared" si="42"/>
        <v>0</v>
      </c>
      <c r="X233" s="44">
        <f t="shared" si="43"/>
        <v>1.0000000000000002</v>
      </c>
      <c r="Y233" s="5" t="str">
        <f t="shared" si="44"/>
        <v>C</v>
      </c>
      <c r="AB233" s="51" t="s">
        <v>258</v>
      </c>
      <c r="AC233" s="62" t="s">
        <v>313</v>
      </c>
      <c r="AD233" s="5">
        <v>0</v>
      </c>
      <c r="AE233" s="70">
        <v>0</v>
      </c>
      <c r="AF233" s="44">
        <f t="shared" si="45"/>
        <v>0</v>
      </c>
      <c r="AG233" s="44">
        <f t="shared" si="46"/>
        <v>1</v>
      </c>
      <c r="AH233" s="5" t="str">
        <f t="shared" si="47"/>
        <v>C</v>
      </c>
    </row>
    <row r="234" spans="1:34" x14ac:dyDescent="0.3">
      <c r="A234" s="51" t="s">
        <v>259</v>
      </c>
      <c r="B234" s="21" t="s">
        <v>51</v>
      </c>
      <c r="C234" s="20">
        <v>58314</v>
      </c>
      <c r="D234" s="47">
        <v>33211394.578999996</v>
      </c>
      <c r="E234" s="44">
        <f t="shared" si="36"/>
        <v>0.8963303688375881</v>
      </c>
      <c r="F234" s="44">
        <f t="shared" si="37"/>
        <v>0.8963303688375881</v>
      </c>
      <c r="G234" s="5" t="str">
        <f t="shared" si="38"/>
        <v>A</v>
      </c>
      <c r="J234" s="51" t="s">
        <v>259</v>
      </c>
      <c r="K234" s="62" t="s">
        <v>51</v>
      </c>
      <c r="L234" s="5">
        <v>16128</v>
      </c>
      <c r="M234" s="70">
        <v>11415961.578</v>
      </c>
      <c r="N234" s="44">
        <f t="shared" si="39"/>
        <v>0.43724570776865546</v>
      </c>
      <c r="O234" s="44">
        <f t="shared" si="40"/>
        <v>0.43724570776865546</v>
      </c>
      <c r="P234" s="5" t="str">
        <f t="shared" si="41"/>
        <v>A</v>
      </c>
      <c r="S234" s="51" t="s">
        <v>259</v>
      </c>
      <c r="T234" s="62" t="s">
        <v>51</v>
      </c>
      <c r="U234" s="48">
        <v>26424</v>
      </c>
      <c r="V234" s="70">
        <v>18664231.252000004</v>
      </c>
      <c r="W234" s="44">
        <f t="shared" si="42"/>
        <v>0.53363044882628174</v>
      </c>
      <c r="X234" s="44">
        <f t="shared" si="43"/>
        <v>0.53363044882628174</v>
      </c>
      <c r="Y234" s="5" t="str">
        <f t="shared" si="44"/>
        <v>A</v>
      </c>
      <c r="AB234" s="51" t="s">
        <v>259</v>
      </c>
      <c r="AC234" s="62" t="s">
        <v>51</v>
      </c>
      <c r="AD234" s="5">
        <v>23552</v>
      </c>
      <c r="AE234" s="70">
        <v>17523160.2936</v>
      </c>
      <c r="AF234" s="44">
        <f t="shared" si="45"/>
        <v>0.48380968371914485</v>
      </c>
      <c r="AG234" s="44">
        <f t="shared" si="46"/>
        <v>0.48380968371914485</v>
      </c>
      <c r="AH234" s="5" t="str">
        <f t="shared" si="47"/>
        <v>A</v>
      </c>
    </row>
    <row r="235" spans="1:34" x14ac:dyDescent="0.3">
      <c r="A235" s="51" t="s">
        <v>259</v>
      </c>
      <c r="B235" s="21" t="s">
        <v>81</v>
      </c>
      <c r="C235" s="20">
        <v>785</v>
      </c>
      <c r="D235" s="47">
        <v>1160120.8865999999</v>
      </c>
      <c r="E235" s="44">
        <f t="shared" si="36"/>
        <v>3.1310084847803399E-2</v>
      </c>
      <c r="F235" s="44">
        <f t="shared" si="37"/>
        <v>0.9276404536853915</v>
      </c>
      <c r="G235" s="5" t="str">
        <f t="shared" si="38"/>
        <v>B</v>
      </c>
      <c r="J235" s="51" t="s">
        <v>259</v>
      </c>
      <c r="K235" s="62" t="s">
        <v>81</v>
      </c>
      <c r="L235" s="5">
        <v>2213</v>
      </c>
      <c r="M235" s="70">
        <v>4340297.2</v>
      </c>
      <c r="N235" s="44">
        <f t="shared" si="39"/>
        <v>0.166238849717011</v>
      </c>
      <c r="O235" s="44">
        <f t="shared" si="40"/>
        <v>0.60348455748566643</v>
      </c>
      <c r="P235" s="5" t="str">
        <f t="shared" si="41"/>
        <v>A</v>
      </c>
      <c r="S235" s="51" t="s">
        <v>259</v>
      </c>
      <c r="T235" s="62" t="s">
        <v>99</v>
      </c>
      <c r="U235" s="48">
        <v>5569</v>
      </c>
      <c r="V235" s="70">
        <v>3557262.6400000006</v>
      </c>
      <c r="W235" s="44">
        <f t="shared" si="42"/>
        <v>0.10170596546657938</v>
      </c>
      <c r="X235" s="44">
        <f t="shared" si="43"/>
        <v>0.63533641429286114</v>
      </c>
      <c r="Y235" s="5" t="str">
        <f t="shared" si="44"/>
        <v>A</v>
      </c>
      <c r="AB235" s="51" t="s">
        <v>259</v>
      </c>
      <c r="AC235" s="62" t="s">
        <v>81</v>
      </c>
      <c r="AD235" s="5">
        <v>2800</v>
      </c>
      <c r="AE235" s="70">
        <v>5565556.7999999989</v>
      </c>
      <c r="AF235" s="44">
        <f t="shared" si="45"/>
        <v>0.15366350761011882</v>
      </c>
      <c r="AG235" s="44">
        <f t="shared" si="46"/>
        <v>0.63747319132926372</v>
      </c>
      <c r="AH235" s="5" t="str">
        <f t="shared" si="47"/>
        <v>A</v>
      </c>
    </row>
    <row r="236" spans="1:34" x14ac:dyDescent="0.3">
      <c r="A236" s="51" t="s">
        <v>259</v>
      </c>
      <c r="B236" s="21" t="s">
        <v>91</v>
      </c>
      <c r="C236" s="20">
        <v>359</v>
      </c>
      <c r="D236" s="47">
        <v>603712.92960000003</v>
      </c>
      <c r="E236" s="44">
        <f t="shared" si="36"/>
        <v>1.6293390859369396E-2</v>
      </c>
      <c r="F236" s="44">
        <f t="shared" si="37"/>
        <v>0.94393384454476092</v>
      </c>
      <c r="G236" s="5" t="str">
        <f t="shared" si="38"/>
        <v>B</v>
      </c>
      <c r="J236" s="51" t="s">
        <v>259</v>
      </c>
      <c r="K236" s="62" t="s">
        <v>99</v>
      </c>
      <c r="L236" s="5">
        <v>4694</v>
      </c>
      <c r="M236" s="70">
        <v>3162364.3000000003</v>
      </c>
      <c r="N236" s="44">
        <f t="shared" si="39"/>
        <v>0.12112253594480597</v>
      </c>
      <c r="O236" s="44">
        <f t="shared" si="40"/>
        <v>0.72460709343047236</v>
      </c>
      <c r="P236" s="5" t="str">
        <f t="shared" si="41"/>
        <v>A</v>
      </c>
      <c r="S236" s="51" t="s">
        <v>259</v>
      </c>
      <c r="T236" s="62" t="s">
        <v>81</v>
      </c>
      <c r="U236" s="48">
        <v>1850</v>
      </c>
      <c r="V236" s="70">
        <v>3479076.149999999</v>
      </c>
      <c r="W236" s="44">
        <f t="shared" si="42"/>
        <v>9.9470529611358632E-2</v>
      </c>
      <c r="X236" s="44">
        <f t="shared" si="43"/>
        <v>0.73480694390421974</v>
      </c>
      <c r="Y236" s="5" t="str">
        <f t="shared" si="44"/>
        <v>A</v>
      </c>
      <c r="AB236" s="51" t="s">
        <v>259</v>
      </c>
      <c r="AC236" s="62" t="s">
        <v>99</v>
      </c>
      <c r="AD236" s="5">
        <v>4245</v>
      </c>
      <c r="AE236" s="70">
        <v>2859336.35</v>
      </c>
      <c r="AF236" s="44">
        <f t="shared" si="45"/>
        <v>7.8945497955948352E-2</v>
      </c>
      <c r="AG236" s="44">
        <f t="shared" si="46"/>
        <v>0.71641868928521202</v>
      </c>
      <c r="AH236" s="5" t="str">
        <f t="shared" si="47"/>
        <v>A</v>
      </c>
    </row>
    <row r="237" spans="1:34" x14ac:dyDescent="0.3">
      <c r="A237" s="51" t="s">
        <v>259</v>
      </c>
      <c r="B237" s="21" t="s">
        <v>279</v>
      </c>
      <c r="C237" s="20">
        <v>804</v>
      </c>
      <c r="D237" s="47">
        <v>441726.86259999999</v>
      </c>
      <c r="E237" s="44">
        <f t="shared" si="36"/>
        <v>1.1921607228444493E-2</v>
      </c>
      <c r="F237" s="44">
        <f t="shared" si="37"/>
        <v>0.95585545177320541</v>
      </c>
      <c r="G237" s="5" t="str">
        <f t="shared" si="38"/>
        <v>C</v>
      </c>
      <c r="J237" s="51" t="s">
        <v>259</v>
      </c>
      <c r="K237" s="62" t="s">
        <v>32</v>
      </c>
      <c r="L237" s="5">
        <v>2069</v>
      </c>
      <c r="M237" s="70">
        <v>1826940.35</v>
      </c>
      <c r="N237" s="44">
        <f t="shared" si="39"/>
        <v>6.9974116584825913E-2</v>
      </c>
      <c r="O237" s="44">
        <f t="shared" si="40"/>
        <v>0.79458121001529824</v>
      </c>
      <c r="P237" s="5" t="str">
        <f t="shared" si="41"/>
        <v>A</v>
      </c>
      <c r="S237" s="51" t="s">
        <v>259</v>
      </c>
      <c r="T237" s="62" t="s">
        <v>269</v>
      </c>
      <c r="U237" s="48">
        <v>398</v>
      </c>
      <c r="V237" s="70">
        <v>2071137.28</v>
      </c>
      <c r="W237" s="44">
        <f t="shared" si="42"/>
        <v>5.9216042781768043E-2</v>
      </c>
      <c r="X237" s="44">
        <f t="shared" si="43"/>
        <v>0.79402298668598781</v>
      </c>
      <c r="Y237" s="5" t="str">
        <f t="shared" si="44"/>
        <v>A</v>
      </c>
      <c r="AB237" s="51" t="s">
        <v>259</v>
      </c>
      <c r="AC237" s="62" t="s">
        <v>32</v>
      </c>
      <c r="AD237" s="5">
        <v>3105</v>
      </c>
      <c r="AE237" s="70">
        <v>2568570.75</v>
      </c>
      <c r="AF237" s="44">
        <f t="shared" si="45"/>
        <v>7.0917538922566317E-2</v>
      </c>
      <c r="AG237" s="44">
        <f t="shared" si="46"/>
        <v>0.78733622820777838</v>
      </c>
      <c r="AH237" s="5" t="str">
        <f t="shared" si="47"/>
        <v>A</v>
      </c>
    </row>
    <row r="238" spans="1:34" x14ac:dyDescent="0.3">
      <c r="A238" s="51" t="s">
        <v>259</v>
      </c>
      <c r="B238" s="21" t="s">
        <v>10</v>
      </c>
      <c r="C238" s="20">
        <v>641</v>
      </c>
      <c r="D238" s="47">
        <v>365196.63</v>
      </c>
      <c r="E238" s="44">
        <f t="shared" si="36"/>
        <v>9.8561603394132571E-3</v>
      </c>
      <c r="F238" s="44">
        <f t="shared" si="37"/>
        <v>0.96571161211261869</v>
      </c>
      <c r="G238" s="5" t="str">
        <f t="shared" si="38"/>
        <v>C</v>
      </c>
      <c r="J238" s="51" t="s">
        <v>259</v>
      </c>
      <c r="K238" s="62" t="s">
        <v>89</v>
      </c>
      <c r="L238" s="5">
        <v>1395</v>
      </c>
      <c r="M238" s="70">
        <v>1584040.0100000002</v>
      </c>
      <c r="N238" s="44">
        <f t="shared" si="39"/>
        <v>6.0670727610109887E-2</v>
      </c>
      <c r="O238" s="44">
        <f t="shared" si="40"/>
        <v>0.85525193762540819</v>
      </c>
      <c r="P238" s="5" t="str">
        <f t="shared" si="41"/>
        <v>B</v>
      </c>
      <c r="S238" s="51" t="s">
        <v>259</v>
      </c>
      <c r="T238" s="62" t="s">
        <v>32</v>
      </c>
      <c r="U238" s="48">
        <v>2112</v>
      </c>
      <c r="V238" s="70">
        <v>2027871.56</v>
      </c>
      <c r="W238" s="44">
        <f t="shared" si="42"/>
        <v>5.7979029305527591E-2</v>
      </c>
      <c r="X238" s="44">
        <f t="shared" si="43"/>
        <v>0.85200201599151537</v>
      </c>
      <c r="Y238" s="5" t="str">
        <f t="shared" si="44"/>
        <v>B</v>
      </c>
      <c r="AB238" s="51" t="s">
        <v>259</v>
      </c>
      <c r="AC238" s="62" t="s">
        <v>89</v>
      </c>
      <c r="AD238" s="5">
        <v>2082</v>
      </c>
      <c r="AE238" s="70">
        <v>2351483.9733000007</v>
      </c>
      <c r="AF238" s="44">
        <f t="shared" si="45"/>
        <v>6.4923832135943188E-2</v>
      </c>
      <c r="AG238" s="44">
        <f t="shared" si="46"/>
        <v>0.85226006034372159</v>
      </c>
      <c r="AH238" s="5" t="str">
        <f t="shared" si="47"/>
        <v>B</v>
      </c>
    </row>
    <row r="239" spans="1:34" x14ac:dyDescent="0.3">
      <c r="A239" s="51" t="s">
        <v>259</v>
      </c>
      <c r="B239" s="21" t="s">
        <v>83</v>
      </c>
      <c r="C239" s="20">
        <v>670</v>
      </c>
      <c r="D239" s="47">
        <v>362662.18589999998</v>
      </c>
      <c r="E239" s="44">
        <f t="shared" si="36"/>
        <v>9.7877591402541087E-3</v>
      </c>
      <c r="F239" s="44">
        <f t="shared" si="37"/>
        <v>0.97549937125287278</v>
      </c>
      <c r="G239" s="5" t="str">
        <f t="shared" si="38"/>
        <v>C</v>
      </c>
      <c r="J239" s="51" t="s">
        <v>259</v>
      </c>
      <c r="K239" s="62" t="s">
        <v>91</v>
      </c>
      <c r="L239" s="5">
        <v>662</v>
      </c>
      <c r="M239" s="70">
        <v>1439290.2500000002</v>
      </c>
      <c r="N239" s="44">
        <f t="shared" si="39"/>
        <v>5.5126629478024963E-2</v>
      </c>
      <c r="O239" s="44">
        <f t="shared" si="40"/>
        <v>0.91037856710343312</v>
      </c>
      <c r="P239" s="5" t="str">
        <f t="shared" si="41"/>
        <v>B</v>
      </c>
      <c r="S239" s="51" t="s">
        <v>259</v>
      </c>
      <c r="T239" s="62" t="s">
        <v>89</v>
      </c>
      <c r="U239" s="48">
        <v>1361</v>
      </c>
      <c r="V239" s="70">
        <v>1590186.1500000001</v>
      </c>
      <c r="W239" s="44">
        <f t="shared" si="42"/>
        <v>4.5465132610318822E-2</v>
      </c>
      <c r="X239" s="44">
        <f t="shared" si="43"/>
        <v>0.89746714860183419</v>
      </c>
      <c r="Y239" s="5" t="str">
        <f t="shared" si="44"/>
        <v>B</v>
      </c>
      <c r="AB239" s="51" t="s">
        <v>259</v>
      </c>
      <c r="AC239" s="62" t="s">
        <v>91</v>
      </c>
      <c r="AD239" s="5">
        <v>583</v>
      </c>
      <c r="AE239" s="70">
        <v>1355705.1400000001</v>
      </c>
      <c r="AF239" s="44">
        <f t="shared" si="45"/>
        <v>3.7430649723576133E-2</v>
      </c>
      <c r="AG239" s="44">
        <f t="shared" si="46"/>
        <v>0.88969071006729772</v>
      </c>
      <c r="AH239" s="5" t="str">
        <f t="shared" si="47"/>
        <v>B</v>
      </c>
    </row>
    <row r="240" spans="1:34" x14ac:dyDescent="0.3">
      <c r="A240" s="51" t="s">
        <v>259</v>
      </c>
      <c r="B240" s="21" t="s">
        <v>50</v>
      </c>
      <c r="C240" s="20">
        <v>369</v>
      </c>
      <c r="D240" s="47">
        <v>353411.92629999999</v>
      </c>
      <c r="E240" s="44">
        <f t="shared" si="36"/>
        <v>9.5381072149370617E-3</v>
      </c>
      <c r="F240" s="44">
        <f t="shared" si="37"/>
        <v>0.98503747846780987</v>
      </c>
      <c r="G240" s="5" t="str">
        <f t="shared" si="38"/>
        <v>C</v>
      </c>
      <c r="J240" s="51" t="s">
        <v>259</v>
      </c>
      <c r="K240" s="62" t="s">
        <v>83</v>
      </c>
      <c r="L240" s="5">
        <v>890</v>
      </c>
      <c r="M240" s="70">
        <v>575228.6</v>
      </c>
      <c r="N240" s="44">
        <f t="shared" si="39"/>
        <v>2.2031979927164116E-2</v>
      </c>
      <c r="O240" s="44">
        <f t="shared" si="40"/>
        <v>0.93241054703059723</v>
      </c>
      <c r="P240" s="5" t="str">
        <f t="shared" si="41"/>
        <v>B</v>
      </c>
      <c r="S240" s="51" t="s">
        <v>259</v>
      </c>
      <c r="T240" s="62" t="s">
        <v>50</v>
      </c>
      <c r="U240" s="48">
        <v>896</v>
      </c>
      <c r="V240" s="70">
        <v>890973.07</v>
      </c>
      <c r="W240" s="44">
        <f t="shared" si="42"/>
        <v>2.5473878501440141E-2</v>
      </c>
      <c r="X240" s="44">
        <f t="shared" si="43"/>
        <v>0.9229410271032743</v>
      </c>
      <c r="Y240" s="5" t="str">
        <f t="shared" si="44"/>
        <v>B</v>
      </c>
      <c r="AB240" s="51" t="s">
        <v>259</v>
      </c>
      <c r="AC240" s="62" t="s">
        <v>279</v>
      </c>
      <c r="AD240" s="5">
        <v>1848</v>
      </c>
      <c r="AE240" s="70">
        <v>1294956.3</v>
      </c>
      <c r="AF240" s="44">
        <f t="shared" si="45"/>
        <v>3.5753390794578066E-2</v>
      </c>
      <c r="AG240" s="44">
        <f t="shared" si="46"/>
        <v>0.92544410086187578</v>
      </c>
      <c r="AH240" s="5" t="str">
        <f t="shared" si="47"/>
        <v>B</v>
      </c>
    </row>
    <row r="241" spans="1:34" x14ac:dyDescent="0.3">
      <c r="A241" s="51" t="s">
        <v>259</v>
      </c>
      <c r="B241" s="21" t="s">
        <v>89</v>
      </c>
      <c r="C241" s="20">
        <v>294</v>
      </c>
      <c r="D241" s="47">
        <v>310236.70990000002</v>
      </c>
      <c r="E241" s="44">
        <f t="shared" si="36"/>
        <v>8.3728668469542997E-3</v>
      </c>
      <c r="F241" s="44">
        <f t="shared" si="37"/>
        <v>0.99341034531476413</v>
      </c>
      <c r="G241" s="5" t="str">
        <f t="shared" si="38"/>
        <v>C</v>
      </c>
      <c r="J241" s="51" t="s">
        <v>259</v>
      </c>
      <c r="K241" s="62" t="s">
        <v>10</v>
      </c>
      <c r="L241" s="5">
        <v>782</v>
      </c>
      <c r="M241" s="70">
        <v>477823.7</v>
      </c>
      <c r="N241" s="44">
        <f t="shared" si="39"/>
        <v>1.830124956777756E-2</v>
      </c>
      <c r="O241" s="44">
        <f t="shared" si="40"/>
        <v>0.95071179659837479</v>
      </c>
      <c r="P241" s="5" t="str">
        <f t="shared" si="41"/>
        <v>C</v>
      </c>
      <c r="S241" s="51" t="s">
        <v>259</v>
      </c>
      <c r="T241" s="62" t="s">
        <v>91</v>
      </c>
      <c r="U241" s="48">
        <v>346</v>
      </c>
      <c r="V241" s="70">
        <v>781166.04999999993</v>
      </c>
      <c r="W241" s="44">
        <f t="shared" si="42"/>
        <v>2.2334377678945912E-2</v>
      </c>
      <c r="X241" s="44">
        <f t="shared" si="43"/>
        <v>0.94527540478222016</v>
      </c>
      <c r="Y241" s="5" t="str">
        <f t="shared" si="44"/>
        <v>B</v>
      </c>
      <c r="AB241" s="51" t="s">
        <v>259</v>
      </c>
      <c r="AC241" s="62" t="s">
        <v>83</v>
      </c>
      <c r="AD241" s="5">
        <v>1373</v>
      </c>
      <c r="AE241" s="70">
        <v>869469.8</v>
      </c>
      <c r="AF241" s="44">
        <f t="shared" si="45"/>
        <v>2.4005824400007654E-2</v>
      </c>
      <c r="AG241" s="44">
        <f t="shared" si="46"/>
        <v>0.94944992526188343</v>
      </c>
      <c r="AH241" s="5" t="str">
        <f t="shared" si="47"/>
        <v>B</v>
      </c>
    </row>
    <row r="242" spans="1:34" x14ac:dyDescent="0.3">
      <c r="A242" s="51" t="s">
        <v>259</v>
      </c>
      <c r="B242" s="21" t="s">
        <v>32</v>
      </c>
      <c r="C242" s="20">
        <v>205</v>
      </c>
      <c r="D242" s="47">
        <v>119001.0414</v>
      </c>
      <c r="E242" s="44">
        <f t="shared" si="36"/>
        <v>3.2116762539554514E-3</v>
      </c>
      <c r="F242" s="44">
        <f t="shared" si="37"/>
        <v>0.9966220215687196</v>
      </c>
      <c r="G242" s="5" t="str">
        <f t="shared" si="38"/>
        <v>C</v>
      </c>
      <c r="J242" s="51" t="s">
        <v>259</v>
      </c>
      <c r="K242" s="62" t="s">
        <v>30</v>
      </c>
      <c r="L242" s="5">
        <v>210</v>
      </c>
      <c r="M242" s="70">
        <v>428124</v>
      </c>
      <c r="N242" s="44">
        <f t="shared" si="39"/>
        <v>1.6397688456966868E-2</v>
      </c>
      <c r="O242" s="44">
        <f t="shared" si="40"/>
        <v>0.96710948505534167</v>
      </c>
      <c r="P242" s="5" t="str">
        <f t="shared" si="41"/>
        <v>C</v>
      </c>
      <c r="S242" s="51" t="s">
        <v>259</v>
      </c>
      <c r="T242" s="62" t="s">
        <v>10</v>
      </c>
      <c r="U242" s="48">
        <v>1273</v>
      </c>
      <c r="V242" s="70">
        <v>735323.79</v>
      </c>
      <c r="W242" s="44">
        <f t="shared" si="42"/>
        <v>2.1023698152491284E-2</v>
      </c>
      <c r="X242" s="44">
        <f t="shared" si="43"/>
        <v>0.96629910293471144</v>
      </c>
      <c r="Y242" s="5" t="str">
        <f t="shared" si="44"/>
        <v>C</v>
      </c>
      <c r="AB242" s="51" t="s">
        <v>259</v>
      </c>
      <c r="AC242" s="62" t="s">
        <v>10</v>
      </c>
      <c r="AD242" s="5">
        <v>1288</v>
      </c>
      <c r="AE242" s="70">
        <v>773543.25</v>
      </c>
      <c r="AF242" s="44">
        <f t="shared" si="45"/>
        <v>2.1357318477664457E-2</v>
      </c>
      <c r="AG242" s="44">
        <f t="shared" si="46"/>
        <v>0.97080724373954785</v>
      </c>
      <c r="AH242" s="5" t="str">
        <f t="shared" si="47"/>
        <v>C</v>
      </c>
    </row>
    <row r="243" spans="1:34" x14ac:dyDescent="0.3">
      <c r="A243" s="51" t="s">
        <v>259</v>
      </c>
      <c r="B243" s="21" t="s">
        <v>161</v>
      </c>
      <c r="C243" s="20">
        <v>110</v>
      </c>
      <c r="D243" s="47">
        <v>89285.367700000003</v>
      </c>
      <c r="E243" s="44">
        <f t="shared" si="36"/>
        <v>2.4096906371087528E-3</v>
      </c>
      <c r="F243" s="44">
        <f t="shared" si="37"/>
        <v>0.99903171220582832</v>
      </c>
      <c r="G243" s="5" t="str">
        <f t="shared" si="38"/>
        <v>C</v>
      </c>
      <c r="J243" s="51" t="s">
        <v>259</v>
      </c>
      <c r="K243" s="62" t="s">
        <v>279</v>
      </c>
      <c r="L243" s="5">
        <v>515</v>
      </c>
      <c r="M243" s="70">
        <v>384141.80000000005</v>
      </c>
      <c r="N243" s="44">
        <f t="shared" si="39"/>
        <v>1.4713114797812026E-2</v>
      </c>
      <c r="O243" s="44">
        <f t="shared" si="40"/>
        <v>0.98182259985315368</v>
      </c>
      <c r="P243" s="5" t="str">
        <f t="shared" si="41"/>
        <v>C</v>
      </c>
      <c r="S243" s="51" t="s">
        <v>259</v>
      </c>
      <c r="T243" s="62" t="s">
        <v>83</v>
      </c>
      <c r="U243" s="48">
        <v>1196</v>
      </c>
      <c r="V243" s="70">
        <v>704493.2999999997</v>
      </c>
      <c r="W243" s="44">
        <f t="shared" si="42"/>
        <v>2.0142221278673007E-2</v>
      </c>
      <c r="X243" s="44">
        <f t="shared" si="43"/>
        <v>0.98644132421338449</v>
      </c>
      <c r="Y243" s="5" t="str">
        <f t="shared" si="44"/>
        <v>C</v>
      </c>
      <c r="AB243" s="51" t="s">
        <v>259</v>
      </c>
      <c r="AC243" s="62" t="s">
        <v>50</v>
      </c>
      <c r="AD243" s="5">
        <v>697</v>
      </c>
      <c r="AE243" s="70">
        <v>648506.6</v>
      </c>
      <c r="AF243" s="44">
        <f t="shared" si="45"/>
        <v>1.7905090621716822E-2</v>
      </c>
      <c r="AG243" s="44">
        <f t="shared" si="46"/>
        <v>0.98871233436126471</v>
      </c>
      <c r="AH243" s="5" t="str">
        <f t="shared" si="47"/>
        <v>C</v>
      </c>
    </row>
    <row r="244" spans="1:34" x14ac:dyDescent="0.3">
      <c r="A244" s="51" t="s">
        <v>259</v>
      </c>
      <c r="B244" s="21" t="s">
        <v>99</v>
      </c>
      <c r="C244" s="20">
        <v>34</v>
      </c>
      <c r="D244" s="47">
        <v>17950.150199999996</v>
      </c>
      <c r="E244" s="44">
        <f t="shared" si="36"/>
        <v>4.8445013988149591E-4</v>
      </c>
      <c r="F244" s="44">
        <f t="shared" si="37"/>
        <v>0.99951616234570984</v>
      </c>
      <c r="G244" s="5" t="str">
        <f t="shared" si="38"/>
        <v>C</v>
      </c>
      <c r="J244" s="51" t="s">
        <v>259</v>
      </c>
      <c r="K244" s="62" t="s">
        <v>50</v>
      </c>
      <c r="L244" s="5">
        <v>364</v>
      </c>
      <c r="M244" s="70">
        <v>320217.5</v>
      </c>
      <c r="N244" s="44">
        <f t="shared" si="39"/>
        <v>1.2264733589961758E-2</v>
      </c>
      <c r="O244" s="44">
        <f t="shared" si="40"/>
        <v>0.9940873334431154</v>
      </c>
      <c r="P244" s="5" t="str">
        <f t="shared" si="41"/>
        <v>C</v>
      </c>
      <c r="S244" s="51" t="s">
        <v>259</v>
      </c>
      <c r="T244" s="62" t="s">
        <v>279</v>
      </c>
      <c r="U244" s="48">
        <v>459</v>
      </c>
      <c r="V244" s="70">
        <v>338740.9</v>
      </c>
      <c r="W244" s="44">
        <f t="shared" si="42"/>
        <v>9.6849667185434519E-3</v>
      </c>
      <c r="X244" s="44">
        <f t="shared" si="43"/>
        <v>0.99612629093192795</v>
      </c>
      <c r="Y244" s="5" t="str">
        <f t="shared" si="44"/>
        <v>C</v>
      </c>
      <c r="AB244" s="51" t="s">
        <v>259</v>
      </c>
      <c r="AC244" s="62" t="s">
        <v>204</v>
      </c>
      <c r="AD244" s="5">
        <v>24</v>
      </c>
      <c r="AE244" s="70">
        <v>204420</v>
      </c>
      <c r="AF244" s="44">
        <f t="shared" si="45"/>
        <v>5.6439805314107104E-3</v>
      </c>
      <c r="AG244" s="44">
        <f t="shared" si="46"/>
        <v>0.9943563148926754</v>
      </c>
      <c r="AH244" s="5" t="str">
        <f t="shared" si="47"/>
        <v>C</v>
      </c>
    </row>
    <row r="245" spans="1:34" x14ac:dyDescent="0.3">
      <c r="A245" s="51" t="s">
        <v>259</v>
      </c>
      <c r="B245" s="21" t="s">
        <v>30</v>
      </c>
      <c r="C245" s="20">
        <v>7</v>
      </c>
      <c r="D245" s="47">
        <v>17927.455999999998</v>
      </c>
      <c r="E245" s="44">
        <f t="shared" si="36"/>
        <v>4.8383765428989915E-4</v>
      </c>
      <c r="F245" s="44">
        <f t="shared" si="37"/>
        <v>0.99999999999999978</v>
      </c>
      <c r="G245" s="5" t="str">
        <f t="shared" si="38"/>
        <v>C</v>
      </c>
      <c r="J245" s="51" t="s">
        <v>259</v>
      </c>
      <c r="K245" s="62" t="s">
        <v>161</v>
      </c>
      <c r="L245" s="5">
        <v>100</v>
      </c>
      <c r="M245" s="70">
        <v>133850.03999999998</v>
      </c>
      <c r="N245" s="44">
        <f t="shared" si="39"/>
        <v>5.1266251270018805E-3</v>
      </c>
      <c r="O245" s="44">
        <f t="shared" si="40"/>
        <v>0.9992139585701173</v>
      </c>
      <c r="P245" s="5" t="str">
        <f t="shared" si="41"/>
        <v>C</v>
      </c>
      <c r="S245" s="51" t="s">
        <v>259</v>
      </c>
      <c r="T245" s="62" t="s">
        <v>161</v>
      </c>
      <c r="U245" s="48">
        <v>70</v>
      </c>
      <c r="V245" s="70">
        <v>76343.649999999994</v>
      </c>
      <c r="W245" s="44">
        <f t="shared" si="42"/>
        <v>2.1827470772561855E-3</v>
      </c>
      <c r="X245" s="44">
        <f t="shared" si="43"/>
        <v>0.99830903800918414</v>
      </c>
      <c r="Y245" s="5" t="str">
        <f t="shared" si="44"/>
        <v>C</v>
      </c>
      <c r="AB245" s="51" t="s">
        <v>259</v>
      </c>
      <c r="AC245" s="62" t="s">
        <v>30</v>
      </c>
      <c r="AD245" s="5">
        <v>56</v>
      </c>
      <c r="AE245" s="70">
        <v>146430</v>
      </c>
      <c r="AF245" s="44">
        <f t="shared" si="45"/>
        <v>4.0428924235127207E-3</v>
      </c>
      <c r="AG245" s="44">
        <f t="shared" si="46"/>
        <v>0.99839920731618814</v>
      </c>
      <c r="AH245" s="5" t="str">
        <f t="shared" si="47"/>
        <v>C</v>
      </c>
    </row>
    <row r="246" spans="1:34" x14ac:dyDescent="0.3">
      <c r="A246" s="51" t="s">
        <v>259</v>
      </c>
      <c r="B246" s="21" t="s">
        <v>420</v>
      </c>
      <c r="C246" s="20">
        <v>0</v>
      </c>
      <c r="D246" s="47">
        <v>0</v>
      </c>
      <c r="E246" s="44">
        <f t="shared" si="36"/>
        <v>0</v>
      </c>
      <c r="F246" s="44">
        <f t="shared" si="37"/>
        <v>0.99999999999999978</v>
      </c>
      <c r="G246" s="5" t="str">
        <f t="shared" si="38"/>
        <v>C</v>
      </c>
      <c r="J246" s="51" t="s">
        <v>259</v>
      </c>
      <c r="K246" s="62" t="s">
        <v>269</v>
      </c>
      <c r="L246" s="5">
        <v>4</v>
      </c>
      <c r="M246" s="70">
        <v>20522.599999999999</v>
      </c>
      <c r="N246" s="44">
        <f t="shared" si="39"/>
        <v>7.8604142988234296E-4</v>
      </c>
      <c r="O246" s="44">
        <f t="shared" si="40"/>
        <v>0.99999999999999967</v>
      </c>
      <c r="P246" s="5" t="str">
        <f t="shared" si="41"/>
        <v>C</v>
      </c>
      <c r="S246" s="51" t="s">
        <v>259</v>
      </c>
      <c r="T246" s="62" t="s">
        <v>30</v>
      </c>
      <c r="U246" s="48">
        <v>23</v>
      </c>
      <c r="V246" s="70">
        <v>59143</v>
      </c>
      <c r="W246" s="44">
        <f t="shared" si="42"/>
        <v>1.6909619908160348E-3</v>
      </c>
      <c r="X246" s="44">
        <f t="shared" si="43"/>
        <v>1.0000000000000002</v>
      </c>
      <c r="Y246" s="5" t="str">
        <f t="shared" si="44"/>
        <v>C</v>
      </c>
      <c r="AB246" s="51" t="s">
        <v>259</v>
      </c>
      <c r="AC246" s="62" t="s">
        <v>161</v>
      </c>
      <c r="AD246" s="5">
        <v>41</v>
      </c>
      <c r="AE246" s="70">
        <v>42209.3</v>
      </c>
      <c r="AF246" s="44">
        <f t="shared" si="45"/>
        <v>1.1653872783703851E-3</v>
      </c>
      <c r="AG246" s="44">
        <f t="shared" si="46"/>
        <v>0.99956459459455849</v>
      </c>
      <c r="AH246" s="5" t="str">
        <f t="shared" si="47"/>
        <v>C</v>
      </c>
    </row>
    <row r="247" spans="1:34" x14ac:dyDescent="0.3">
      <c r="A247" s="51" t="s">
        <v>259</v>
      </c>
      <c r="B247" s="21" t="s">
        <v>269</v>
      </c>
      <c r="C247" s="20">
        <v>0</v>
      </c>
      <c r="D247" s="47">
        <v>0</v>
      </c>
      <c r="E247" s="44">
        <f t="shared" si="36"/>
        <v>0</v>
      </c>
      <c r="F247" s="44">
        <f t="shared" si="37"/>
        <v>0.99999999999999978</v>
      </c>
      <c r="G247" s="5" t="str">
        <f t="shared" si="38"/>
        <v>C</v>
      </c>
      <c r="J247" s="51" t="s">
        <v>259</v>
      </c>
      <c r="K247" s="62" t="s">
        <v>420</v>
      </c>
      <c r="L247" s="5">
        <v>0</v>
      </c>
      <c r="M247" s="70">
        <v>0</v>
      </c>
      <c r="N247" s="44">
        <f t="shared" si="39"/>
        <v>0</v>
      </c>
      <c r="O247" s="44">
        <f t="shared" si="40"/>
        <v>0.99999999999999967</v>
      </c>
      <c r="P247" s="5" t="str">
        <f t="shared" si="41"/>
        <v>C</v>
      </c>
      <c r="S247" s="51" t="s">
        <v>259</v>
      </c>
      <c r="T247" s="62" t="s">
        <v>420</v>
      </c>
      <c r="U247" s="48">
        <v>0</v>
      </c>
      <c r="V247" s="70">
        <v>0</v>
      </c>
      <c r="W247" s="44">
        <f t="shared" si="42"/>
        <v>0</v>
      </c>
      <c r="X247" s="44">
        <f t="shared" si="43"/>
        <v>1.0000000000000002</v>
      </c>
      <c r="Y247" s="5" t="str">
        <f t="shared" si="44"/>
        <v>C</v>
      </c>
      <c r="AB247" s="51" t="s">
        <v>259</v>
      </c>
      <c r="AC247" s="62" t="s">
        <v>269</v>
      </c>
      <c r="AD247" s="5">
        <v>2</v>
      </c>
      <c r="AE247" s="70">
        <v>15770</v>
      </c>
      <c r="AF247" s="44">
        <f t="shared" si="45"/>
        <v>4.3540540544147785E-4</v>
      </c>
      <c r="AG247" s="44">
        <f t="shared" si="46"/>
        <v>1</v>
      </c>
      <c r="AH247" s="5" t="str">
        <f t="shared" si="47"/>
        <v>C</v>
      </c>
    </row>
    <row r="248" spans="1:34" x14ac:dyDescent="0.3">
      <c r="A248" s="51" t="s">
        <v>259</v>
      </c>
      <c r="B248" s="21" t="s">
        <v>204</v>
      </c>
      <c r="C248" s="20">
        <v>0</v>
      </c>
      <c r="D248" s="47">
        <v>0</v>
      </c>
      <c r="E248" s="44">
        <f t="shared" si="36"/>
        <v>0</v>
      </c>
      <c r="F248" s="44">
        <f t="shared" si="37"/>
        <v>0.99999999999999978</v>
      </c>
      <c r="G248" s="5" t="str">
        <f t="shared" si="38"/>
        <v>C</v>
      </c>
      <c r="J248" s="51" t="s">
        <v>259</v>
      </c>
      <c r="K248" s="62" t="s">
        <v>204</v>
      </c>
      <c r="L248" s="5">
        <v>0</v>
      </c>
      <c r="M248" s="70">
        <v>0</v>
      </c>
      <c r="N248" s="44">
        <f t="shared" si="39"/>
        <v>0</v>
      </c>
      <c r="O248" s="44">
        <f t="shared" si="40"/>
        <v>0.99999999999999967</v>
      </c>
      <c r="P248" s="5" t="str">
        <f t="shared" si="41"/>
        <v>C</v>
      </c>
      <c r="S248" s="51" t="s">
        <v>259</v>
      </c>
      <c r="T248" s="62" t="s">
        <v>204</v>
      </c>
      <c r="U248" s="48">
        <v>0</v>
      </c>
      <c r="V248" s="70">
        <v>0</v>
      </c>
      <c r="W248" s="44">
        <f t="shared" si="42"/>
        <v>0</v>
      </c>
      <c r="X248" s="44">
        <f t="shared" si="43"/>
        <v>1.0000000000000002</v>
      </c>
      <c r="Y248" s="5" t="str">
        <f t="shared" si="44"/>
        <v>C</v>
      </c>
      <c r="AB248" s="51" t="s">
        <v>259</v>
      </c>
      <c r="AC248" s="62" t="s">
        <v>420</v>
      </c>
      <c r="AD248" s="5">
        <v>0</v>
      </c>
      <c r="AE248" s="70">
        <v>0</v>
      </c>
      <c r="AF248" s="44">
        <f t="shared" si="45"/>
        <v>0</v>
      </c>
      <c r="AG248" s="44">
        <f t="shared" si="46"/>
        <v>1</v>
      </c>
      <c r="AH248" s="5" t="str">
        <f t="shared" si="47"/>
        <v>C</v>
      </c>
    </row>
    <row r="249" spans="1:34" x14ac:dyDescent="0.3">
      <c r="A249" s="51" t="s">
        <v>260</v>
      </c>
      <c r="B249" s="21" t="s">
        <v>222</v>
      </c>
      <c r="C249" s="20">
        <v>1660</v>
      </c>
      <c r="D249" s="47">
        <v>1138792.8881999999</v>
      </c>
      <c r="E249" s="44">
        <f t="shared" si="36"/>
        <v>0.85980650462736308</v>
      </c>
      <c r="F249" s="44">
        <f t="shared" si="37"/>
        <v>0.85980650462736308</v>
      </c>
      <c r="G249" s="5" t="str">
        <f t="shared" si="38"/>
        <v>A</v>
      </c>
      <c r="J249" s="51" t="s">
        <v>260</v>
      </c>
      <c r="K249" s="62" t="s">
        <v>221</v>
      </c>
      <c r="L249" s="5">
        <v>872</v>
      </c>
      <c r="M249" s="70">
        <v>564718.4</v>
      </c>
      <c r="N249" s="44">
        <f t="shared" si="39"/>
        <v>0.74165358275826521</v>
      </c>
      <c r="O249" s="44">
        <f t="shared" si="40"/>
        <v>0.74165358275826521</v>
      </c>
      <c r="P249" s="5" t="str">
        <f t="shared" si="41"/>
        <v>A</v>
      </c>
      <c r="S249" s="51" t="s">
        <v>260</v>
      </c>
      <c r="T249" s="62" t="s">
        <v>223</v>
      </c>
      <c r="U249" s="48">
        <v>320</v>
      </c>
      <c r="V249" s="70">
        <v>235868</v>
      </c>
      <c r="W249" s="44">
        <f t="shared" si="42"/>
        <v>0.23353476814356375</v>
      </c>
      <c r="X249" s="44">
        <f t="shared" si="43"/>
        <v>0.23353476814356375</v>
      </c>
      <c r="Y249" s="5" t="str">
        <f t="shared" si="44"/>
        <v>A</v>
      </c>
      <c r="AB249" s="51" t="s">
        <v>260</v>
      </c>
      <c r="AC249" s="62" t="s">
        <v>225</v>
      </c>
      <c r="AD249" s="5">
        <v>293</v>
      </c>
      <c r="AE249" s="70">
        <v>310000.8</v>
      </c>
      <c r="AF249" s="44">
        <f t="shared" si="45"/>
        <v>0.53348835432346453</v>
      </c>
      <c r="AG249" s="44">
        <f t="shared" si="46"/>
        <v>0.53348835432346453</v>
      </c>
      <c r="AH249" s="5" t="str">
        <f t="shared" si="47"/>
        <v>A</v>
      </c>
    </row>
    <row r="250" spans="1:34" x14ac:dyDescent="0.3">
      <c r="A250" s="51" t="s">
        <v>260</v>
      </c>
      <c r="B250" s="21" t="s">
        <v>225</v>
      </c>
      <c r="C250" s="20">
        <v>192</v>
      </c>
      <c r="D250" s="47">
        <v>130327.7414</v>
      </c>
      <c r="E250" s="44">
        <f t="shared" si="36"/>
        <v>9.8399490328949957E-2</v>
      </c>
      <c r="F250" s="44">
        <f t="shared" si="37"/>
        <v>0.95820599495631309</v>
      </c>
      <c r="G250" s="5" t="str">
        <f t="shared" si="38"/>
        <v>C</v>
      </c>
      <c r="J250" s="51" t="s">
        <v>260</v>
      </c>
      <c r="K250" s="62" t="s">
        <v>293</v>
      </c>
      <c r="L250" s="5">
        <v>80</v>
      </c>
      <c r="M250" s="70">
        <v>67680</v>
      </c>
      <c r="N250" s="44">
        <f t="shared" si="39"/>
        <v>8.8885211604720848E-2</v>
      </c>
      <c r="O250" s="44">
        <f t="shared" si="40"/>
        <v>0.83053879436298605</v>
      </c>
      <c r="P250" s="5" t="str">
        <f t="shared" si="41"/>
        <v>B</v>
      </c>
      <c r="S250" s="51" t="s">
        <v>260</v>
      </c>
      <c r="T250" s="62" t="s">
        <v>225</v>
      </c>
      <c r="U250" s="48">
        <v>271</v>
      </c>
      <c r="V250" s="70">
        <v>204109.5</v>
      </c>
      <c r="W250" s="44">
        <f t="shared" si="42"/>
        <v>0.20209042667254026</v>
      </c>
      <c r="X250" s="44">
        <f t="shared" si="43"/>
        <v>0.43562519481610401</v>
      </c>
      <c r="Y250" s="5" t="str">
        <f t="shared" si="44"/>
        <v>A</v>
      </c>
      <c r="AB250" s="51" t="s">
        <v>260</v>
      </c>
      <c r="AC250" s="62" t="s">
        <v>223</v>
      </c>
      <c r="AD250" s="5">
        <v>114</v>
      </c>
      <c r="AE250" s="70">
        <v>79458</v>
      </c>
      <c r="AF250" s="44">
        <f t="shared" si="45"/>
        <v>0.13674131698316214</v>
      </c>
      <c r="AG250" s="44">
        <f t="shared" si="46"/>
        <v>0.6702296713066267</v>
      </c>
      <c r="AH250" s="5" t="str">
        <f t="shared" si="47"/>
        <v>A</v>
      </c>
    </row>
    <row r="251" spans="1:34" x14ac:dyDescent="0.3">
      <c r="A251" s="51" t="s">
        <v>260</v>
      </c>
      <c r="B251" s="21" t="s">
        <v>224</v>
      </c>
      <c r="C251" s="20">
        <v>42</v>
      </c>
      <c r="D251" s="47">
        <v>37774.6005</v>
      </c>
      <c r="E251" s="44">
        <f t="shared" si="36"/>
        <v>2.8520416272476722E-2</v>
      </c>
      <c r="F251" s="44">
        <f t="shared" si="37"/>
        <v>0.98672641122878979</v>
      </c>
      <c r="G251" s="5" t="str">
        <f t="shared" si="38"/>
        <v>C</v>
      </c>
      <c r="J251" s="51" t="s">
        <v>260</v>
      </c>
      <c r="K251" s="62" t="s">
        <v>222</v>
      </c>
      <c r="L251" s="5">
        <v>90</v>
      </c>
      <c r="M251" s="70">
        <v>61761</v>
      </c>
      <c r="N251" s="44">
        <f t="shared" si="39"/>
        <v>8.1111695536630682E-2</v>
      </c>
      <c r="O251" s="44">
        <f t="shared" si="40"/>
        <v>0.91165048989961672</v>
      </c>
      <c r="P251" s="5" t="str">
        <f t="shared" si="41"/>
        <v>B</v>
      </c>
      <c r="S251" s="51" t="s">
        <v>260</v>
      </c>
      <c r="T251" s="62" t="s">
        <v>222</v>
      </c>
      <c r="U251" s="48">
        <v>178</v>
      </c>
      <c r="V251" s="70">
        <v>154706.20000000001</v>
      </c>
      <c r="W251" s="44">
        <f t="shared" si="42"/>
        <v>0.15317582947823277</v>
      </c>
      <c r="X251" s="44">
        <f t="shared" si="43"/>
        <v>0.58880102429433678</v>
      </c>
      <c r="Y251" s="5" t="str">
        <f t="shared" si="44"/>
        <v>A</v>
      </c>
      <c r="AB251" s="51" t="s">
        <v>260</v>
      </c>
      <c r="AC251" s="62" t="s">
        <v>222</v>
      </c>
      <c r="AD251" s="5">
        <v>93</v>
      </c>
      <c r="AE251" s="70">
        <v>74180.5</v>
      </c>
      <c r="AF251" s="44">
        <f t="shared" si="45"/>
        <v>0.12765913142124719</v>
      </c>
      <c r="AG251" s="44">
        <f t="shared" si="46"/>
        <v>0.79788880272787388</v>
      </c>
      <c r="AH251" s="5" t="str">
        <f t="shared" si="47"/>
        <v>A</v>
      </c>
    </row>
    <row r="252" spans="1:34" x14ac:dyDescent="0.3">
      <c r="A252" s="51" t="s">
        <v>260</v>
      </c>
      <c r="B252" s="21" t="s">
        <v>223</v>
      </c>
      <c r="C252" s="20">
        <v>22</v>
      </c>
      <c r="D252" s="47">
        <v>17580.5468</v>
      </c>
      <c r="E252" s="44">
        <f t="shared" si="36"/>
        <v>1.3273588771210395E-2</v>
      </c>
      <c r="F252" s="44">
        <f t="shared" si="37"/>
        <v>1.0000000000000002</v>
      </c>
      <c r="G252" s="5" t="str">
        <f t="shared" si="38"/>
        <v>C</v>
      </c>
      <c r="J252" s="51" t="s">
        <v>260</v>
      </c>
      <c r="K252" s="62" t="s">
        <v>224</v>
      </c>
      <c r="L252" s="5">
        <v>26</v>
      </c>
      <c r="M252" s="70">
        <v>29593.599999999999</v>
      </c>
      <c r="N252" s="44">
        <f t="shared" si="39"/>
        <v>3.8865741698366825E-2</v>
      </c>
      <c r="O252" s="44">
        <f t="shared" si="40"/>
        <v>0.9505162315979836</v>
      </c>
      <c r="P252" s="5" t="str">
        <f t="shared" si="41"/>
        <v>C</v>
      </c>
      <c r="S252" s="51" t="s">
        <v>260</v>
      </c>
      <c r="T252" s="62" t="s">
        <v>293</v>
      </c>
      <c r="U252" s="48">
        <v>143</v>
      </c>
      <c r="V252" s="70">
        <v>114901.5</v>
      </c>
      <c r="W252" s="44">
        <f t="shared" si="42"/>
        <v>0.11376488189092072</v>
      </c>
      <c r="X252" s="44">
        <f t="shared" si="43"/>
        <v>0.70256590618525749</v>
      </c>
      <c r="Y252" s="5" t="str">
        <f t="shared" si="44"/>
        <v>A</v>
      </c>
      <c r="AB252" s="51" t="s">
        <v>260</v>
      </c>
      <c r="AC252" s="62" t="s">
        <v>224</v>
      </c>
      <c r="AD252" s="5">
        <v>55</v>
      </c>
      <c r="AE252" s="70">
        <v>65169.9</v>
      </c>
      <c r="AF252" s="44">
        <f t="shared" si="45"/>
        <v>0.11215255800122048</v>
      </c>
      <c r="AG252" s="44">
        <f t="shared" si="46"/>
        <v>0.91004136072909436</v>
      </c>
      <c r="AH252" s="5" t="str">
        <f t="shared" si="47"/>
        <v>B</v>
      </c>
    </row>
    <row r="253" spans="1:34" x14ac:dyDescent="0.3">
      <c r="A253" s="51" t="s">
        <v>260</v>
      </c>
      <c r="B253" s="21" t="s">
        <v>273</v>
      </c>
      <c r="C253" s="20">
        <v>0</v>
      </c>
      <c r="D253" s="47">
        <v>0</v>
      </c>
      <c r="E253" s="44">
        <f t="shared" si="36"/>
        <v>0</v>
      </c>
      <c r="F253" s="44">
        <f t="shared" si="37"/>
        <v>1.0000000000000002</v>
      </c>
      <c r="G253" s="5" t="str">
        <f t="shared" si="38"/>
        <v>C</v>
      </c>
      <c r="J253" s="51" t="s">
        <v>260</v>
      </c>
      <c r="K253" s="62" t="s">
        <v>223</v>
      </c>
      <c r="L253" s="5">
        <v>28</v>
      </c>
      <c r="M253" s="70">
        <v>28728</v>
      </c>
      <c r="N253" s="44">
        <f t="shared" si="39"/>
        <v>3.7728935564131511E-2</v>
      </c>
      <c r="O253" s="44">
        <f t="shared" si="40"/>
        <v>0.98824516716211508</v>
      </c>
      <c r="P253" s="5" t="str">
        <f t="shared" si="41"/>
        <v>C</v>
      </c>
      <c r="S253" s="51" t="s">
        <v>260</v>
      </c>
      <c r="T253" s="62" t="s">
        <v>221</v>
      </c>
      <c r="U253" s="48">
        <v>120</v>
      </c>
      <c r="V253" s="70">
        <v>106362.3</v>
      </c>
      <c r="W253" s="44">
        <f t="shared" si="42"/>
        <v>0.10531015258414102</v>
      </c>
      <c r="X253" s="44">
        <f t="shared" si="43"/>
        <v>0.8078760587693985</v>
      </c>
      <c r="Y253" s="5" t="str">
        <f t="shared" si="44"/>
        <v>B</v>
      </c>
      <c r="AB253" s="51" t="s">
        <v>260</v>
      </c>
      <c r="AC253" s="62" t="s">
        <v>221</v>
      </c>
      <c r="AD253" s="5">
        <v>30</v>
      </c>
      <c r="AE253" s="70">
        <v>24165</v>
      </c>
      <c r="AF253" s="44">
        <f t="shared" si="45"/>
        <v>4.1586170365452348E-2</v>
      </c>
      <c r="AG253" s="44">
        <f t="shared" si="46"/>
        <v>0.95162753109454667</v>
      </c>
      <c r="AH253" s="5" t="str">
        <f t="shared" si="47"/>
        <v>C</v>
      </c>
    </row>
    <row r="254" spans="1:34" x14ac:dyDescent="0.3">
      <c r="A254" s="51" t="s">
        <v>260</v>
      </c>
      <c r="B254" s="21" t="s">
        <v>221</v>
      </c>
      <c r="C254" s="20">
        <v>0</v>
      </c>
      <c r="D254" s="47">
        <v>0</v>
      </c>
      <c r="E254" s="44">
        <f t="shared" si="36"/>
        <v>0</v>
      </c>
      <c r="F254" s="44">
        <f t="shared" si="37"/>
        <v>1.0000000000000002</v>
      </c>
      <c r="G254" s="5" t="str">
        <f t="shared" si="38"/>
        <v>C</v>
      </c>
      <c r="J254" s="51" t="s">
        <v>260</v>
      </c>
      <c r="K254" s="62" t="s">
        <v>273</v>
      </c>
      <c r="L254" s="5">
        <v>5</v>
      </c>
      <c r="M254" s="70">
        <v>4972.5</v>
      </c>
      <c r="N254" s="44">
        <f t="shared" si="39"/>
        <v>6.5304626877138649E-3</v>
      </c>
      <c r="O254" s="44">
        <f t="shared" si="40"/>
        <v>0.99477562984982892</v>
      </c>
      <c r="P254" s="5" t="str">
        <f t="shared" si="41"/>
        <v>C</v>
      </c>
      <c r="S254" s="51" t="s">
        <v>260</v>
      </c>
      <c r="T254" s="62" t="s">
        <v>238</v>
      </c>
      <c r="U254" s="48">
        <v>47</v>
      </c>
      <c r="V254" s="70">
        <v>65410.239999999998</v>
      </c>
      <c r="W254" s="44">
        <f t="shared" si="42"/>
        <v>6.4763194806480143E-2</v>
      </c>
      <c r="X254" s="44">
        <f t="shared" si="43"/>
        <v>0.87263925357587868</v>
      </c>
      <c r="Y254" s="5" t="str">
        <f t="shared" si="44"/>
        <v>B</v>
      </c>
      <c r="AB254" s="51" t="s">
        <v>260</v>
      </c>
      <c r="AC254" s="62" t="s">
        <v>273</v>
      </c>
      <c r="AD254" s="5">
        <v>19</v>
      </c>
      <c r="AE254" s="70">
        <v>21009</v>
      </c>
      <c r="AF254" s="44">
        <f t="shared" si="45"/>
        <v>3.6154928748511832E-2</v>
      </c>
      <c r="AG254" s="44">
        <f t="shared" si="46"/>
        <v>0.98778245984305846</v>
      </c>
      <c r="AH254" s="5" t="str">
        <f t="shared" si="47"/>
        <v>C</v>
      </c>
    </row>
    <row r="255" spans="1:34" x14ac:dyDescent="0.3">
      <c r="A255" s="51" t="s">
        <v>260</v>
      </c>
      <c r="B255" s="21" t="s">
        <v>294</v>
      </c>
      <c r="C255" s="20">
        <v>0</v>
      </c>
      <c r="D255" s="47">
        <v>0</v>
      </c>
      <c r="E255" s="44">
        <f t="shared" si="36"/>
        <v>0</v>
      </c>
      <c r="F255" s="44">
        <f t="shared" si="37"/>
        <v>1.0000000000000002</v>
      </c>
      <c r="G255" s="5" t="str">
        <f t="shared" si="38"/>
        <v>C</v>
      </c>
      <c r="J255" s="51" t="s">
        <v>260</v>
      </c>
      <c r="K255" s="62" t="s">
        <v>225</v>
      </c>
      <c r="L255" s="5">
        <v>4</v>
      </c>
      <c r="M255" s="70">
        <v>3978</v>
      </c>
      <c r="N255" s="44">
        <f t="shared" si="39"/>
        <v>5.2243701501710925E-3</v>
      </c>
      <c r="O255" s="44">
        <f t="shared" si="40"/>
        <v>1</v>
      </c>
      <c r="P255" s="5" t="str">
        <f t="shared" si="41"/>
        <v>C</v>
      </c>
      <c r="S255" s="51" t="s">
        <v>260</v>
      </c>
      <c r="T255" s="62" t="s">
        <v>273</v>
      </c>
      <c r="U255" s="48">
        <v>36</v>
      </c>
      <c r="V255" s="70">
        <v>46620</v>
      </c>
      <c r="W255" s="44">
        <f t="shared" si="42"/>
        <v>4.6158829899998907E-2</v>
      </c>
      <c r="X255" s="44">
        <f t="shared" si="43"/>
        <v>0.91879808347587755</v>
      </c>
      <c r="Y255" s="5" t="str">
        <f t="shared" si="44"/>
        <v>B</v>
      </c>
      <c r="AB255" s="51" t="s">
        <v>260</v>
      </c>
      <c r="AC255" s="62" t="s">
        <v>293</v>
      </c>
      <c r="AD255" s="5">
        <v>6</v>
      </c>
      <c r="AE255" s="70">
        <v>6044.4</v>
      </c>
      <c r="AF255" s="44">
        <f t="shared" si="45"/>
        <v>1.0401963507425623E-2</v>
      </c>
      <c r="AG255" s="44">
        <f t="shared" si="46"/>
        <v>0.99818442335048407</v>
      </c>
      <c r="AH255" s="5" t="str">
        <f t="shared" si="47"/>
        <v>C</v>
      </c>
    </row>
    <row r="256" spans="1:34" x14ac:dyDescent="0.3">
      <c r="A256" s="51" t="s">
        <v>260</v>
      </c>
      <c r="B256" s="21" t="s">
        <v>295</v>
      </c>
      <c r="C256" s="20">
        <v>0</v>
      </c>
      <c r="D256" s="47">
        <v>0</v>
      </c>
      <c r="E256" s="44">
        <f t="shared" si="36"/>
        <v>0</v>
      </c>
      <c r="F256" s="44">
        <f t="shared" si="37"/>
        <v>1.0000000000000002</v>
      </c>
      <c r="G256" s="5" t="str">
        <f t="shared" si="38"/>
        <v>C</v>
      </c>
      <c r="J256" s="51" t="s">
        <v>260</v>
      </c>
      <c r="K256" s="62" t="s">
        <v>275</v>
      </c>
      <c r="L256" s="5">
        <v>0</v>
      </c>
      <c r="M256" s="70">
        <v>0</v>
      </c>
      <c r="N256" s="44">
        <f t="shared" si="39"/>
        <v>0</v>
      </c>
      <c r="O256" s="44">
        <f t="shared" si="40"/>
        <v>1</v>
      </c>
      <c r="P256" s="5" t="str">
        <f t="shared" si="41"/>
        <v>C</v>
      </c>
      <c r="S256" s="51" t="s">
        <v>260</v>
      </c>
      <c r="T256" s="62" t="s">
        <v>224</v>
      </c>
      <c r="U256" s="48">
        <v>35</v>
      </c>
      <c r="V256" s="70">
        <v>39857.199999999997</v>
      </c>
      <c r="W256" s="44">
        <f t="shared" si="42"/>
        <v>3.9462928251613821E-2</v>
      </c>
      <c r="X256" s="44">
        <f t="shared" si="43"/>
        <v>0.95826101172749134</v>
      </c>
      <c r="Y256" s="5" t="str">
        <f t="shared" si="44"/>
        <v>C</v>
      </c>
      <c r="AB256" s="51" t="s">
        <v>260</v>
      </c>
      <c r="AC256" s="62" t="s">
        <v>275</v>
      </c>
      <c r="AD256" s="5">
        <v>1</v>
      </c>
      <c r="AE256" s="70">
        <v>1055</v>
      </c>
      <c r="AF256" s="44">
        <f t="shared" si="45"/>
        <v>1.8155766495159208E-3</v>
      </c>
      <c r="AG256" s="44">
        <f t="shared" si="46"/>
        <v>1</v>
      </c>
      <c r="AH256" s="5" t="str">
        <f t="shared" si="47"/>
        <v>C</v>
      </c>
    </row>
    <row r="257" spans="1:34" x14ac:dyDescent="0.3">
      <c r="A257" s="51" t="s">
        <v>260</v>
      </c>
      <c r="B257" s="21" t="s">
        <v>283</v>
      </c>
      <c r="C257" s="20">
        <v>0</v>
      </c>
      <c r="D257" s="47">
        <v>0</v>
      </c>
      <c r="E257" s="44">
        <f t="shared" si="36"/>
        <v>0</v>
      </c>
      <c r="F257" s="44">
        <f t="shared" si="37"/>
        <v>1.0000000000000002</v>
      </c>
      <c r="G257" s="5" t="str">
        <f t="shared" si="38"/>
        <v>C</v>
      </c>
      <c r="J257" s="51" t="s">
        <v>260</v>
      </c>
      <c r="K257" s="62" t="s">
        <v>295</v>
      </c>
      <c r="L257" s="5">
        <v>0</v>
      </c>
      <c r="M257" s="70">
        <v>0</v>
      </c>
      <c r="N257" s="44">
        <f t="shared" si="39"/>
        <v>0</v>
      </c>
      <c r="O257" s="44">
        <f t="shared" si="40"/>
        <v>1</v>
      </c>
      <c r="P257" s="5" t="str">
        <f t="shared" si="41"/>
        <v>C</v>
      </c>
      <c r="S257" s="51" t="s">
        <v>260</v>
      </c>
      <c r="T257" s="62" t="s">
        <v>295</v>
      </c>
      <c r="U257" s="48">
        <v>32</v>
      </c>
      <c r="V257" s="70">
        <v>33600</v>
      </c>
      <c r="W257" s="44">
        <f t="shared" si="42"/>
        <v>3.3267625153152368E-2</v>
      </c>
      <c r="X257" s="44">
        <f t="shared" si="43"/>
        <v>0.99152863688064374</v>
      </c>
      <c r="Y257" s="5" t="str">
        <f t="shared" si="44"/>
        <v>C</v>
      </c>
      <c r="AB257" s="51" t="s">
        <v>260</v>
      </c>
      <c r="AC257" s="62" t="s">
        <v>295</v>
      </c>
      <c r="AD257" s="5">
        <v>0</v>
      </c>
      <c r="AE257" s="70">
        <v>0</v>
      </c>
      <c r="AF257" s="44">
        <f t="shared" si="45"/>
        <v>0</v>
      </c>
      <c r="AG257" s="44">
        <f t="shared" si="46"/>
        <v>1</v>
      </c>
      <c r="AH257" s="5" t="str">
        <f t="shared" si="47"/>
        <v>C</v>
      </c>
    </row>
    <row r="258" spans="1:34" x14ac:dyDescent="0.3">
      <c r="A258" s="51" t="s">
        <v>260</v>
      </c>
      <c r="B258" s="21" t="s">
        <v>238</v>
      </c>
      <c r="C258" s="20">
        <v>0</v>
      </c>
      <c r="D258" s="47">
        <v>0</v>
      </c>
      <c r="E258" s="44">
        <f t="shared" si="36"/>
        <v>0</v>
      </c>
      <c r="F258" s="44">
        <f t="shared" si="37"/>
        <v>1.0000000000000002</v>
      </c>
      <c r="G258" s="5" t="str">
        <f t="shared" si="38"/>
        <v>C</v>
      </c>
      <c r="J258" s="51" t="s">
        <v>260</v>
      </c>
      <c r="K258" s="62" t="s">
        <v>294</v>
      </c>
      <c r="L258" s="5">
        <v>0</v>
      </c>
      <c r="M258" s="70">
        <v>0</v>
      </c>
      <c r="N258" s="44">
        <f t="shared" si="39"/>
        <v>0</v>
      </c>
      <c r="O258" s="44">
        <f t="shared" si="40"/>
        <v>1</v>
      </c>
      <c r="P258" s="5" t="str">
        <f t="shared" si="41"/>
        <v>C</v>
      </c>
      <c r="S258" s="51" t="s">
        <v>260</v>
      </c>
      <c r="T258" s="62" t="s">
        <v>294</v>
      </c>
      <c r="U258" s="48">
        <v>8</v>
      </c>
      <c r="V258" s="70">
        <v>8556</v>
      </c>
      <c r="W258" s="44">
        <f t="shared" si="42"/>
        <v>8.4713631193562983E-3</v>
      </c>
      <c r="X258" s="44">
        <f t="shared" si="43"/>
        <v>1</v>
      </c>
      <c r="Y258" s="5" t="str">
        <f t="shared" si="44"/>
        <v>C</v>
      </c>
      <c r="AB258" s="51" t="s">
        <v>260</v>
      </c>
      <c r="AC258" s="62" t="s">
        <v>294</v>
      </c>
      <c r="AD258" s="5">
        <v>0</v>
      </c>
      <c r="AE258" s="70">
        <v>0</v>
      </c>
      <c r="AF258" s="44">
        <f t="shared" si="45"/>
        <v>0</v>
      </c>
      <c r="AG258" s="44">
        <f t="shared" si="46"/>
        <v>1</v>
      </c>
      <c r="AH258" s="5" t="str">
        <f t="shared" si="47"/>
        <v>C</v>
      </c>
    </row>
    <row r="259" spans="1:34" x14ac:dyDescent="0.3">
      <c r="A259" s="51" t="s">
        <v>260</v>
      </c>
      <c r="B259" s="21" t="s">
        <v>293</v>
      </c>
      <c r="C259" s="20">
        <v>0</v>
      </c>
      <c r="D259" s="47">
        <v>0</v>
      </c>
      <c r="E259" s="44">
        <f t="shared" ref="E259" si="48">IFERROR(D259/SUMIF(A:A,A259,D:D),0)</f>
        <v>0</v>
      </c>
      <c r="F259" s="44">
        <f t="shared" ref="F259" si="49">IF(A259=A258,E259+F258,E259)</f>
        <v>1.0000000000000002</v>
      </c>
      <c r="G259" s="5" t="str">
        <f t="shared" ref="G259" si="50">IF(A259&lt;&gt;A258,"A",IF(F259&lt;0.8,"A",IF(F259&lt;0.95,"B","C")))</f>
        <v>C</v>
      </c>
      <c r="J259" s="51" t="s">
        <v>260</v>
      </c>
      <c r="K259" s="62" t="s">
        <v>283</v>
      </c>
      <c r="L259" s="5">
        <v>0</v>
      </c>
      <c r="M259" s="70">
        <v>0</v>
      </c>
      <c r="N259" s="44">
        <f t="shared" ref="N259:N260" si="51">IFERROR(M259/SUMIF(J:J,J259,M:M),0)</f>
        <v>0</v>
      </c>
      <c r="O259" s="44">
        <f t="shared" ref="O259:O260" si="52">IF(J259=J258,N259+O258,N259)</f>
        <v>1</v>
      </c>
      <c r="P259" s="5" t="str">
        <f t="shared" ref="P259:P260" si="53">IF(J259&lt;&gt;J258,"A",IF(O259&lt;0.8,"A",IF(O259&lt;0.95,"B","C")))</f>
        <v>C</v>
      </c>
      <c r="S259" s="51" t="s">
        <v>260</v>
      </c>
      <c r="T259" s="62" t="s">
        <v>275</v>
      </c>
      <c r="U259" s="48">
        <v>0</v>
      </c>
      <c r="V259" s="70">
        <v>0</v>
      </c>
      <c r="W259" s="44">
        <f t="shared" ref="W259:W260" si="54">IFERROR(V259/SUMIF(S:S,S259,V:V),0)</f>
        <v>0</v>
      </c>
      <c r="X259" s="44">
        <f t="shared" ref="X259:X260" si="55">IF(S259=S258,W259+X258,W259)</f>
        <v>1</v>
      </c>
      <c r="Y259" s="5" t="str">
        <f t="shared" ref="Y259:Y260" si="56">IF(S259&lt;&gt;S258,"A",IF(X259&lt;0.8,"A",IF(X259&lt;0.95,"B","C")))</f>
        <v>C</v>
      </c>
      <c r="AB259" s="51" t="s">
        <v>260</v>
      </c>
      <c r="AC259" s="62" t="s">
        <v>283</v>
      </c>
      <c r="AD259" s="5">
        <v>0</v>
      </c>
      <c r="AE259" s="70">
        <v>0</v>
      </c>
      <c r="AF259" s="44">
        <f t="shared" ref="AF259:AF260" si="57">IFERROR(AE259/SUMIF(AB:AB,AB259,AE:AE),0)</f>
        <v>0</v>
      </c>
      <c r="AG259" s="44">
        <f t="shared" ref="AG259:AG260" si="58">IF(AB259=AB258,AF259+AG258,AF259)</f>
        <v>1</v>
      </c>
      <c r="AH259" s="5" t="str">
        <f t="shared" ref="AH259:AH260" si="59">IF(AB259&lt;&gt;AB258,"A",IF(AG259&lt;0.8,"A",IF(AG259&lt;0.95,"B","C")))</f>
        <v>C</v>
      </c>
    </row>
    <row r="260" spans="1:34" x14ac:dyDescent="0.3">
      <c r="A260" s="51" t="s">
        <v>260</v>
      </c>
      <c r="B260" s="21" t="s">
        <v>275</v>
      </c>
      <c r="C260" s="20">
        <v>0</v>
      </c>
      <c r="D260" s="47">
        <v>0</v>
      </c>
      <c r="E260" s="44">
        <f t="shared" ref="E260" si="60">IFERROR(D260/SUMIF(A:A,A260,D:D),0)</f>
        <v>0</v>
      </c>
      <c r="F260" s="44">
        <f t="shared" ref="F260" si="61">IF(A260=A259,E260+F259,E260)</f>
        <v>1.0000000000000002</v>
      </c>
      <c r="G260" s="5" t="str">
        <f t="shared" ref="G260" si="62">IF(A260&lt;&gt;A259,"A",IF(F260&lt;0.8,"A",IF(F260&lt;0.95,"B","C")))</f>
        <v>C</v>
      </c>
      <c r="J260" s="51" t="s">
        <v>260</v>
      </c>
      <c r="K260" s="62" t="s">
        <v>238</v>
      </c>
      <c r="L260" s="5">
        <v>0</v>
      </c>
      <c r="M260" s="70">
        <v>0</v>
      </c>
      <c r="N260" s="44">
        <f t="shared" si="51"/>
        <v>0</v>
      </c>
      <c r="O260" s="44">
        <f t="shared" si="52"/>
        <v>1</v>
      </c>
      <c r="P260" s="5" t="str">
        <f t="shared" si="53"/>
        <v>C</v>
      </c>
      <c r="S260" s="51" t="s">
        <v>260</v>
      </c>
      <c r="T260" s="62" t="s">
        <v>283</v>
      </c>
      <c r="U260" s="48">
        <v>0</v>
      </c>
      <c r="V260" s="70">
        <v>0</v>
      </c>
      <c r="W260" s="44">
        <f t="shared" si="54"/>
        <v>0</v>
      </c>
      <c r="X260" s="44">
        <f t="shared" si="55"/>
        <v>1</v>
      </c>
      <c r="Y260" s="5" t="str">
        <f t="shared" si="56"/>
        <v>C</v>
      </c>
      <c r="AB260" s="51" t="s">
        <v>260</v>
      </c>
      <c r="AC260" s="62" t="s">
        <v>238</v>
      </c>
      <c r="AD260" s="5">
        <v>0</v>
      </c>
      <c r="AE260" s="70">
        <v>0</v>
      </c>
      <c r="AF260" s="44">
        <f t="shared" si="57"/>
        <v>0</v>
      </c>
      <c r="AG260" s="44">
        <f t="shared" si="58"/>
        <v>1</v>
      </c>
      <c r="AH260" s="5" t="str">
        <f t="shared" si="59"/>
        <v>C</v>
      </c>
    </row>
    <row r="261" spans="1:34" x14ac:dyDescent="0.3">
      <c r="A261" s="51"/>
      <c r="B261" s="21"/>
      <c r="C261" s="20"/>
      <c r="D261" s="47"/>
      <c r="E261" s="44"/>
      <c r="F261" s="44"/>
      <c r="G261" s="5"/>
      <c r="J261" s="51"/>
      <c r="K261" s="62"/>
      <c r="L261" s="5"/>
      <c r="M261" s="70"/>
      <c r="N261" s="44"/>
      <c r="O261" s="44"/>
      <c r="P261" s="5"/>
      <c r="S261" s="51"/>
      <c r="T261" s="62"/>
      <c r="U261" s="48"/>
      <c r="V261" s="70"/>
      <c r="W261" s="44"/>
      <c r="X261" s="44"/>
      <c r="Y261" s="5"/>
      <c r="AB261" s="51"/>
      <c r="AC261" s="62"/>
      <c r="AD261" s="5"/>
      <c r="AE261" s="70"/>
      <c r="AF261" s="44"/>
      <c r="AG261" s="44"/>
      <c r="AH261" s="5"/>
    </row>
    <row r="262" spans="1:34" x14ac:dyDescent="0.3">
      <c r="A262" s="51"/>
      <c r="B262" s="21"/>
      <c r="C262" s="20"/>
      <c r="D262" s="47"/>
      <c r="E262" s="44"/>
      <c r="F262" s="44"/>
      <c r="G262" s="5"/>
      <c r="J262" s="51"/>
      <c r="K262" s="62"/>
      <c r="L262" s="5"/>
      <c r="M262" s="70"/>
      <c r="N262" s="44"/>
      <c r="O262" s="44"/>
      <c r="P262" s="5"/>
      <c r="S262" s="51"/>
      <c r="T262" s="62"/>
      <c r="U262" s="48"/>
      <c r="V262" s="70"/>
      <c r="W262" s="44"/>
      <c r="X262" s="44"/>
      <c r="Y262" s="5"/>
      <c r="AB262" s="51"/>
      <c r="AC262" s="62"/>
      <c r="AD262" s="5"/>
      <c r="AE262" s="70"/>
      <c r="AF262" s="44"/>
      <c r="AG262" s="44"/>
      <c r="AH262" s="5"/>
    </row>
    <row r="263" spans="1:34" x14ac:dyDescent="0.3">
      <c r="A263" s="51"/>
      <c r="B263" s="21"/>
      <c r="C263" s="20"/>
      <c r="D263" s="47"/>
      <c r="E263" s="44"/>
      <c r="F263" s="44"/>
      <c r="G263" s="5"/>
      <c r="J263" s="51"/>
      <c r="K263" s="62"/>
      <c r="L263" s="5"/>
      <c r="M263" s="70"/>
      <c r="N263" s="44"/>
      <c r="O263" s="44"/>
      <c r="P263" s="5"/>
      <c r="S263" s="51"/>
      <c r="T263" s="62"/>
      <c r="U263" s="48"/>
      <c r="V263" s="70"/>
      <c r="W263" s="44"/>
      <c r="X263" s="44"/>
      <c r="Y263" s="5"/>
      <c r="AB263" s="51"/>
      <c r="AC263" s="62"/>
      <c r="AD263" s="5"/>
      <c r="AE263" s="70"/>
      <c r="AF263" s="44"/>
      <c r="AG263" s="44"/>
      <c r="AH263" s="5"/>
    </row>
    <row r="264" spans="1:34" x14ac:dyDescent="0.3">
      <c r="A264" s="51"/>
      <c r="B264" s="21"/>
      <c r="C264" s="20"/>
      <c r="D264" s="47"/>
      <c r="E264" s="44"/>
      <c r="F264" s="44"/>
      <c r="G264" s="5"/>
      <c r="J264" s="51"/>
      <c r="K264" s="62"/>
      <c r="L264" s="5"/>
      <c r="M264" s="70"/>
      <c r="N264" s="44"/>
      <c r="O264" s="44"/>
      <c r="P264" s="5"/>
      <c r="S264" s="51"/>
      <c r="T264" s="62"/>
      <c r="U264" s="48"/>
      <c r="V264" s="70"/>
      <c r="W264" s="44"/>
      <c r="X264" s="44"/>
      <c r="Y264" s="5"/>
      <c r="AB264" s="51"/>
      <c r="AC264" s="62"/>
      <c r="AD264" s="5"/>
      <c r="AE264" s="70"/>
      <c r="AF264" s="44"/>
      <c r="AG264" s="44"/>
      <c r="AH264" s="5"/>
    </row>
    <row r="265" spans="1:34" x14ac:dyDescent="0.3">
      <c r="A265" s="51"/>
      <c r="B265" s="53"/>
      <c r="C265" s="20"/>
      <c r="D265" s="47"/>
      <c r="E265" s="44"/>
      <c r="F265" s="44"/>
      <c r="G265" s="5"/>
      <c r="J265" s="51"/>
      <c r="K265" s="53"/>
      <c r="L265" s="5"/>
      <c r="M265" s="70"/>
      <c r="N265" s="44"/>
      <c r="O265" s="44"/>
      <c r="P265" s="5"/>
      <c r="S265" s="51"/>
      <c r="T265" s="53"/>
      <c r="U265" s="48"/>
      <c r="V265" s="70"/>
      <c r="W265" s="44"/>
      <c r="X265" s="44"/>
      <c r="Y265" s="5"/>
      <c r="AB265" s="51"/>
      <c r="AC265" s="53"/>
      <c r="AD265" s="5"/>
      <c r="AE265" s="70"/>
      <c r="AF265" s="44"/>
      <c r="AG265" s="44"/>
      <c r="AH265" s="5"/>
    </row>
    <row r="266" spans="1:34" x14ac:dyDescent="0.3">
      <c r="A266" s="51"/>
      <c r="B266" s="21"/>
      <c r="C266" s="20"/>
      <c r="D266" s="47"/>
      <c r="E266" s="44"/>
      <c r="F266" s="44"/>
      <c r="G266" s="5"/>
      <c r="J266" s="51"/>
      <c r="K266" s="62"/>
      <c r="L266" s="5"/>
      <c r="M266" s="70"/>
      <c r="N266" s="44"/>
      <c r="O266" s="44"/>
      <c r="P266" s="5"/>
      <c r="S266" s="51"/>
      <c r="T266" s="62"/>
      <c r="U266" s="48"/>
      <c r="V266" s="70"/>
      <c r="W266" s="44"/>
      <c r="X266" s="44"/>
      <c r="Y266" s="5"/>
      <c r="AB266" s="51"/>
      <c r="AC266" s="62"/>
      <c r="AD266" s="5"/>
      <c r="AE266" s="70"/>
      <c r="AF266" s="44"/>
      <c r="AG266" s="44"/>
      <c r="AH266" s="5"/>
    </row>
    <row r="267" spans="1:34" x14ac:dyDescent="0.3">
      <c r="A267" s="51"/>
      <c r="B267" s="21"/>
      <c r="C267" s="20"/>
      <c r="D267" s="47"/>
      <c r="E267" s="44"/>
      <c r="F267" s="44"/>
      <c r="G267" s="5"/>
      <c r="J267" s="51"/>
      <c r="K267" s="62"/>
      <c r="L267" s="5"/>
      <c r="M267" s="70"/>
      <c r="N267" s="44"/>
      <c r="O267" s="44"/>
      <c r="P267" s="5"/>
      <c r="S267" s="51"/>
      <c r="T267" s="62"/>
      <c r="U267" s="48"/>
      <c r="V267" s="70"/>
      <c r="W267" s="44"/>
      <c r="X267" s="44"/>
      <c r="Y267" s="5"/>
      <c r="AB267" s="51"/>
      <c r="AC267" s="62"/>
      <c r="AD267" s="5"/>
      <c r="AE267" s="70"/>
      <c r="AF267" s="44"/>
      <c r="AG267" s="44"/>
      <c r="AH267" s="5"/>
    </row>
    <row r="268" spans="1:34" x14ac:dyDescent="0.3">
      <c r="A268" s="51"/>
      <c r="B268" s="21"/>
      <c r="C268" s="20"/>
      <c r="D268" s="47"/>
      <c r="E268" s="44"/>
      <c r="F268" s="44"/>
      <c r="G268" s="5"/>
      <c r="J268" s="51"/>
      <c r="K268" s="62"/>
      <c r="L268" s="5"/>
      <c r="M268" s="70"/>
      <c r="N268" s="44"/>
      <c r="O268" s="44"/>
      <c r="P268" s="5"/>
      <c r="S268" s="51"/>
      <c r="T268" s="62"/>
      <c r="U268" s="48"/>
      <c r="V268" s="70"/>
      <c r="W268" s="44"/>
      <c r="X268" s="44"/>
      <c r="Y268" s="5"/>
      <c r="AB268" s="51"/>
      <c r="AC268" s="62"/>
      <c r="AD268" s="5"/>
      <c r="AE268" s="70"/>
      <c r="AF268" s="44"/>
      <c r="AG268" s="44"/>
      <c r="AH268" s="5"/>
    </row>
    <row r="269" spans="1:34" x14ac:dyDescent="0.3">
      <c r="A269" s="51"/>
      <c r="B269" s="21"/>
      <c r="C269" s="20"/>
      <c r="D269" s="47"/>
      <c r="E269" s="44"/>
      <c r="F269" s="44"/>
      <c r="G269" s="5"/>
      <c r="J269" s="51"/>
      <c r="K269" s="62"/>
      <c r="L269" s="5"/>
      <c r="M269" s="70"/>
      <c r="N269" s="44"/>
      <c r="O269" s="44"/>
      <c r="P269" s="5"/>
      <c r="S269" s="51"/>
      <c r="T269" s="62"/>
      <c r="U269" s="48"/>
      <c r="V269" s="70"/>
      <c r="W269" s="44"/>
      <c r="X269" s="44"/>
      <c r="Y269" s="5"/>
      <c r="AB269" s="51"/>
      <c r="AC269" s="62"/>
      <c r="AD269" s="5"/>
      <c r="AE269" s="70"/>
      <c r="AF269" s="44"/>
      <c r="AG269" s="44"/>
      <c r="AH269" s="5"/>
    </row>
    <row r="270" spans="1:34" x14ac:dyDescent="0.3">
      <c r="A270" s="51"/>
      <c r="B270" s="21"/>
      <c r="C270" s="20"/>
      <c r="D270" s="47"/>
      <c r="E270" s="44"/>
      <c r="F270" s="44"/>
      <c r="G270" s="5"/>
      <c r="J270" s="51"/>
      <c r="K270" s="62"/>
      <c r="L270" s="5"/>
      <c r="M270" s="70"/>
      <c r="N270" s="44"/>
      <c r="O270" s="44"/>
      <c r="P270" s="5"/>
      <c r="S270" s="51"/>
      <c r="T270" s="62"/>
      <c r="U270" s="48"/>
      <c r="V270" s="70"/>
      <c r="W270" s="44"/>
      <c r="X270" s="44"/>
      <c r="Y270" s="5"/>
      <c r="AB270" s="51"/>
      <c r="AC270" s="62"/>
      <c r="AD270" s="5"/>
      <c r="AE270" s="70"/>
      <c r="AF270" s="44"/>
      <c r="AG270" s="44"/>
      <c r="AH270" s="5"/>
    </row>
    <row r="271" spans="1:34" x14ac:dyDescent="0.3">
      <c r="A271" s="51"/>
      <c r="B271" s="21"/>
      <c r="C271" s="20"/>
      <c r="D271" s="47"/>
      <c r="E271" s="44"/>
      <c r="F271" s="44"/>
      <c r="G271" s="5"/>
      <c r="J271" s="51"/>
      <c r="K271" s="62"/>
      <c r="L271" s="5"/>
      <c r="M271" s="70"/>
      <c r="N271" s="44"/>
      <c r="O271" s="44"/>
      <c r="P271" s="5"/>
      <c r="S271" s="51"/>
      <c r="T271" s="62"/>
      <c r="U271" s="48"/>
      <c r="V271" s="70"/>
      <c r="W271" s="44"/>
      <c r="X271" s="44"/>
      <c r="Y271" s="5"/>
      <c r="AB271" s="51"/>
      <c r="AC271" s="62"/>
      <c r="AD271" s="5"/>
      <c r="AE271" s="70"/>
      <c r="AF271" s="44"/>
      <c r="AG271" s="44"/>
      <c r="AH271" s="5"/>
    </row>
    <row r="272" spans="1:34" x14ac:dyDescent="0.3">
      <c r="A272" s="51"/>
      <c r="B272" s="21"/>
      <c r="C272" s="20"/>
      <c r="D272" s="47"/>
      <c r="E272" s="44"/>
      <c r="F272" s="44"/>
      <c r="G272" s="5"/>
      <c r="J272" s="51"/>
      <c r="K272" s="62"/>
      <c r="L272" s="5"/>
      <c r="M272" s="70"/>
      <c r="N272" s="44"/>
      <c r="O272" s="44"/>
      <c r="P272" s="5"/>
      <c r="S272" s="51"/>
      <c r="T272" s="62"/>
      <c r="U272" s="48"/>
      <c r="V272" s="70"/>
      <c r="W272" s="44"/>
      <c r="X272" s="44"/>
      <c r="Y272" s="5"/>
      <c r="AB272" s="51"/>
      <c r="AC272" s="62"/>
      <c r="AD272" s="5"/>
      <c r="AE272" s="70"/>
      <c r="AF272" s="44"/>
      <c r="AG272" s="44"/>
      <c r="AH272" s="5"/>
    </row>
    <row r="273" spans="1:34" x14ac:dyDescent="0.3">
      <c r="A273" s="51"/>
      <c r="B273" s="21"/>
      <c r="C273" s="20"/>
      <c r="D273" s="47"/>
      <c r="E273" s="44"/>
      <c r="F273" s="44"/>
      <c r="G273" s="5"/>
      <c r="J273" s="51"/>
      <c r="K273" s="62"/>
      <c r="L273" s="5"/>
      <c r="M273" s="70"/>
      <c r="N273" s="44"/>
      <c r="O273" s="44"/>
      <c r="P273" s="5"/>
      <c r="S273" s="51"/>
      <c r="T273" s="62"/>
      <c r="U273" s="48"/>
      <c r="V273" s="70"/>
      <c r="W273" s="44"/>
      <c r="X273" s="44"/>
      <c r="Y273" s="5"/>
      <c r="AB273" s="51"/>
      <c r="AC273" s="62"/>
      <c r="AD273" s="5"/>
      <c r="AE273" s="70"/>
      <c r="AF273" s="44"/>
      <c r="AG273" s="44"/>
      <c r="AH273" s="5"/>
    </row>
    <row r="274" spans="1:34" x14ac:dyDescent="0.3">
      <c r="A274" s="51"/>
      <c r="B274" s="21"/>
      <c r="C274" s="20"/>
      <c r="D274" s="47"/>
      <c r="E274" s="44"/>
      <c r="F274" s="44"/>
      <c r="G274" s="5"/>
      <c r="J274" s="51"/>
      <c r="K274" s="62"/>
      <c r="L274" s="5"/>
      <c r="M274" s="70"/>
      <c r="N274" s="44"/>
      <c r="O274" s="44"/>
      <c r="P274" s="5"/>
      <c r="S274" s="51"/>
      <c r="T274" s="62"/>
      <c r="U274" s="48"/>
      <c r="V274" s="70"/>
      <c r="W274" s="44"/>
      <c r="X274" s="44"/>
      <c r="Y274" s="5"/>
      <c r="AB274" s="51"/>
      <c r="AC274" s="62"/>
      <c r="AD274" s="5"/>
      <c r="AE274" s="70"/>
      <c r="AF274" s="44"/>
      <c r="AG274" s="44"/>
      <c r="AH274" s="5"/>
    </row>
    <row r="275" spans="1:34" x14ac:dyDescent="0.3">
      <c r="A275" s="51"/>
      <c r="B275" s="21"/>
      <c r="C275" s="20"/>
      <c r="D275" s="47"/>
      <c r="E275" s="44"/>
      <c r="F275" s="44"/>
      <c r="G275" s="5"/>
      <c r="J275" s="51"/>
      <c r="K275" s="62"/>
      <c r="L275" s="5"/>
      <c r="M275" s="70"/>
      <c r="N275" s="44"/>
      <c r="O275" s="44"/>
      <c r="P275" s="5"/>
      <c r="S275" s="51"/>
      <c r="T275" s="62"/>
      <c r="U275" s="48"/>
      <c r="V275" s="70"/>
      <c r="W275" s="44"/>
      <c r="X275" s="44"/>
      <c r="Y275" s="5"/>
      <c r="AB275" s="51"/>
      <c r="AC275" s="62"/>
      <c r="AD275" s="5"/>
      <c r="AE275" s="70"/>
      <c r="AF275" s="44"/>
      <c r="AG275" s="44"/>
      <c r="AH275" s="5"/>
    </row>
    <row r="276" spans="1:34" x14ac:dyDescent="0.3">
      <c r="A276" s="51"/>
      <c r="B276" s="21"/>
      <c r="C276" s="20"/>
      <c r="D276" s="47"/>
      <c r="E276" s="44"/>
      <c r="F276" s="44"/>
      <c r="G276" s="5"/>
      <c r="J276" s="51"/>
      <c r="K276" s="62"/>
      <c r="L276" s="5"/>
      <c r="M276" s="70"/>
      <c r="N276" s="44"/>
      <c r="O276" s="44"/>
      <c r="P276" s="5"/>
      <c r="S276" s="51"/>
      <c r="T276" s="62"/>
      <c r="U276" s="48"/>
      <c r="V276" s="70"/>
      <c r="W276" s="44"/>
      <c r="X276" s="44"/>
      <c r="Y276" s="5"/>
      <c r="AB276" s="51"/>
      <c r="AC276" s="62"/>
      <c r="AD276" s="5"/>
      <c r="AE276" s="70"/>
      <c r="AF276" s="44"/>
      <c r="AG276" s="44"/>
      <c r="AH276" s="5"/>
    </row>
    <row r="277" spans="1:34" x14ac:dyDescent="0.3">
      <c r="A277" s="51"/>
      <c r="B277" s="21"/>
      <c r="C277" s="20"/>
      <c r="D277" s="47"/>
      <c r="E277" s="44"/>
      <c r="F277" s="44"/>
      <c r="G277" s="5"/>
      <c r="J277" s="51"/>
      <c r="K277" s="62"/>
      <c r="L277" s="5"/>
      <c r="M277" s="70"/>
      <c r="N277" s="44"/>
      <c r="O277" s="44"/>
      <c r="P277" s="5"/>
      <c r="S277" s="51"/>
      <c r="T277" s="62"/>
      <c r="U277" s="48"/>
      <c r="V277" s="70"/>
      <c r="W277" s="44"/>
      <c r="X277" s="44"/>
      <c r="Y277" s="5"/>
      <c r="AB277" s="51"/>
      <c r="AC277" s="65"/>
      <c r="AD277" s="5"/>
      <c r="AE277" s="70"/>
      <c r="AF277" s="44"/>
      <c r="AG277" s="44"/>
      <c r="AH277" s="5"/>
    </row>
    <row r="278" spans="1:34" x14ac:dyDescent="0.3">
      <c r="A278" s="51"/>
      <c r="B278" s="21"/>
      <c r="C278" s="20"/>
      <c r="D278" s="47"/>
      <c r="E278" s="44"/>
      <c r="F278" s="44"/>
      <c r="G278" s="5"/>
      <c r="J278" s="51"/>
      <c r="K278" s="62"/>
      <c r="L278" s="5"/>
      <c r="M278" s="70"/>
      <c r="N278" s="44"/>
      <c r="O278" s="44"/>
      <c r="P278" s="5"/>
      <c r="S278" s="51"/>
      <c r="T278" s="62"/>
      <c r="U278" s="48"/>
      <c r="V278" s="70"/>
      <c r="W278" s="44"/>
      <c r="X278" s="44"/>
      <c r="Y278" s="5"/>
      <c r="AB278" s="51"/>
      <c r="AC278" s="62"/>
      <c r="AD278" s="5"/>
      <c r="AE278" s="70"/>
      <c r="AF278" s="44"/>
      <c r="AG278" s="44"/>
      <c r="AH278" s="5"/>
    </row>
    <row r="279" spans="1:34" x14ac:dyDescent="0.3">
      <c r="A279" s="51"/>
      <c r="B279" s="21"/>
      <c r="C279" s="20"/>
      <c r="D279" s="47"/>
      <c r="E279" s="44"/>
      <c r="F279" s="44"/>
      <c r="G279" s="5"/>
      <c r="J279" s="51"/>
      <c r="K279" s="65"/>
      <c r="L279" s="5"/>
      <c r="M279" s="70"/>
      <c r="N279" s="44"/>
      <c r="O279" s="44"/>
      <c r="P279" s="5"/>
      <c r="S279" s="51"/>
      <c r="T279" s="62"/>
      <c r="U279" s="48"/>
      <c r="V279" s="70"/>
      <c r="W279" s="44"/>
      <c r="X279" s="44"/>
      <c r="Y279" s="5"/>
      <c r="AB279" s="51"/>
      <c r="AC279" s="62"/>
      <c r="AD279" s="5"/>
      <c r="AE279" s="70"/>
      <c r="AF279" s="44"/>
      <c r="AG279" s="44"/>
      <c r="AH279" s="5"/>
    </row>
    <row r="280" spans="1:34" x14ac:dyDescent="0.3">
      <c r="A280" s="51"/>
      <c r="B280" s="21"/>
      <c r="C280" s="20"/>
      <c r="D280" s="47"/>
      <c r="E280" s="44"/>
      <c r="F280" s="44"/>
      <c r="G280" s="5"/>
      <c r="J280" s="51"/>
      <c r="K280" s="62"/>
      <c r="L280" s="5"/>
      <c r="M280" s="70"/>
      <c r="N280" s="44"/>
      <c r="O280" s="44"/>
      <c r="P280" s="5"/>
      <c r="S280" s="51"/>
      <c r="T280" s="62"/>
      <c r="U280" s="48"/>
      <c r="V280" s="70"/>
      <c r="W280" s="44"/>
      <c r="X280" s="44"/>
      <c r="Y280" s="5"/>
      <c r="AB280" s="51"/>
      <c r="AC280" s="62"/>
      <c r="AD280" s="5"/>
      <c r="AE280" s="70"/>
      <c r="AF280" s="44"/>
      <c r="AG280" s="44"/>
      <c r="AH280" s="5"/>
    </row>
    <row r="281" spans="1:34" x14ac:dyDescent="0.3">
      <c r="A281" s="51"/>
      <c r="B281" s="21"/>
      <c r="C281" s="20"/>
      <c r="D281" s="47"/>
      <c r="E281" s="44"/>
      <c r="F281" s="44"/>
      <c r="G281" s="5"/>
      <c r="J281" s="51"/>
      <c r="K281" s="62"/>
      <c r="L281" s="5"/>
      <c r="M281" s="70"/>
      <c r="N281" s="44"/>
      <c r="O281" s="44"/>
      <c r="P281" s="5"/>
      <c r="S281" s="51"/>
      <c r="T281" s="62"/>
      <c r="U281" s="48"/>
      <c r="V281" s="70"/>
      <c r="W281" s="44"/>
      <c r="X281" s="44"/>
      <c r="Y281" s="5"/>
      <c r="AB281" s="51"/>
      <c r="AC281" s="62"/>
      <c r="AD281" s="5"/>
      <c r="AE281" s="70"/>
      <c r="AF281" s="44"/>
      <c r="AG281" s="44"/>
      <c r="AH281" s="5"/>
    </row>
    <row r="282" spans="1:34" x14ac:dyDescent="0.3">
      <c r="A282" s="51"/>
      <c r="B282" s="21"/>
      <c r="C282" s="20"/>
      <c r="D282" s="47"/>
      <c r="E282" s="44"/>
      <c r="F282" s="44"/>
      <c r="G282" s="5"/>
      <c r="J282" s="51"/>
      <c r="K282" s="62"/>
      <c r="L282" s="5"/>
      <c r="M282" s="70"/>
      <c r="N282" s="44"/>
      <c r="O282" s="44"/>
      <c r="P282" s="5"/>
      <c r="S282" s="51"/>
      <c r="T282" s="65"/>
      <c r="U282" s="48"/>
      <c r="V282" s="70"/>
      <c r="W282" s="44"/>
      <c r="X282" s="44"/>
      <c r="Y282" s="5"/>
      <c r="AB282" s="51"/>
      <c r="AC282" s="62"/>
      <c r="AD282" s="5"/>
      <c r="AE282" s="70"/>
      <c r="AF282" s="44"/>
      <c r="AG282" s="44"/>
      <c r="AH282" s="5"/>
    </row>
    <row r="283" spans="1:34" x14ac:dyDescent="0.3">
      <c r="A283" s="51"/>
      <c r="B283" s="20"/>
      <c r="C283" s="20"/>
      <c r="D283" s="47"/>
      <c r="E283" s="44"/>
      <c r="F283" s="44"/>
      <c r="G283" s="5"/>
      <c r="J283" s="51"/>
      <c r="K283" s="62"/>
      <c r="L283" s="5"/>
      <c r="M283" s="70"/>
      <c r="N283" s="44"/>
      <c r="O283" s="44"/>
      <c r="P283" s="5"/>
      <c r="S283" s="51"/>
      <c r="T283" s="62"/>
      <c r="U283" s="48"/>
      <c r="V283" s="70"/>
      <c r="W283" s="44"/>
      <c r="X283" s="44"/>
      <c r="Y283" s="5"/>
      <c r="AB283" s="51"/>
      <c r="AC283" s="62"/>
      <c r="AD283" s="5"/>
      <c r="AE283" s="70"/>
      <c r="AF283" s="44"/>
      <c r="AG283" s="44"/>
      <c r="AH283" s="5"/>
    </row>
    <row r="284" spans="1:34" x14ac:dyDescent="0.3">
      <c r="A284" s="51"/>
      <c r="B284" s="20"/>
      <c r="C284" s="20"/>
      <c r="D284" s="47"/>
      <c r="E284" s="44"/>
      <c r="F284" s="44"/>
      <c r="G284" s="5"/>
      <c r="J284" s="51"/>
      <c r="K284" s="62"/>
      <c r="L284" s="5"/>
      <c r="M284" s="70"/>
      <c r="N284" s="44"/>
      <c r="O284" s="44"/>
      <c r="P284" s="5"/>
      <c r="S284" s="51"/>
      <c r="T284" s="62"/>
      <c r="U284" s="48"/>
      <c r="V284" s="70"/>
      <c r="W284" s="44"/>
      <c r="X284" s="44"/>
      <c r="Y284" s="5"/>
      <c r="AB284" s="51"/>
      <c r="AC284" s="62"/>
      <c r="AD284" s="5"/>
      <c r="AE284" s="70"/>
      <c r="AF284" s="44"/>
      <c r="AG284" s="44"/>
      <c r="AH284" s="5"/>
    </row>
    <row r="285" spans="1:34" x14ac:dyDescent="0.3">
      <c r="A285" s="51"/>
      <c r="B285" s="21"/>
      <c r="C285" s="20"/>
      <c r="D285" s="47"/>
      <c r="E285" s="44"/>
      <c r="F285" s="44"/>
      <c r="G285" s="5"/>
      <c r="J285" s="51"/>
      <c r="K285" s="62"/>
      <c r="L285" s="5"/>
      <c r="M285" s="70"/>
      <c r="N285" s="44"/>
      <c r="O285" s="44"/>
      <c r="P285" s="5"/>
      <c r="S285" s="51"/>
      <c r="T285" s="62"/>
      <c r="U285" s="48"/>
      <c r="V285" s="70"/>
      <c r="W285" s="44"/>
      <c r="X285" s="44"/>
      <c r="Y285" s="5"/>
      <c r="AB285" s="51"/>
      <c r="AC285" s="62"/>
      <c r="AD285" s="5"/>
      <c r="AE285" s="70"/>
      <c r="AF285" s="44"/>
      <c r="AG285" s="44"/>
      <c r="AH285" s="5"/>
    </row>
    <row r="286" spans="1:34" x14ac:dyDescent="0.3">
      <c r="A286" s="51"/>
      <c r="B286" s="21"/>
      <c r="C286" s="20"/>
      <c r="D286" s="47"/>
      <c r="E286" s="44"/>
      <c r="F286" s="44"/>
      <c r="G286" s="5"/>
      <c r="J286" s="51"/>
      <c r="K286" s="65"/>
      <c r="L286" s="5"/>
      <c r="M286" s="70"/>
      <c r="N286" s="44"/>
      <c r="O286" s="44"/>
      <c r="P286" s="5"/>
      <c r="S286" s="51"/>
      <c r="T286" s="62"/>
      <c r="U286" s="48"/>
      <c r="V286" s="70"/>
      <c r="W286" s="44"/>
      <c r="X286" s="44"/>
      <c r="Y286" s="5"/>
      <c r="AB286" s="51"/>
      <c r="AC286" s="62"/>
      <c r="AD286" s="5"/>
      <c r="AE286" s="70"/>
      <c r="AF286" s="44"/>
      <c r="AG286" s="44"/>
      <c r="AH286" s="5"/>
    </row>
    <row r="287" spans="1:34" x14ac:dyDescent="0.3">
      <c r="A287" s="51"/>
      <c r="B287" s="21"/>
      <c r="C287" s="20"/>
      <c r="D287" s="47"/>
      <c r="E287" s="44"/>
      <c r="F287" s="44"/>
      <c r="G287" s="5"/>
      <c r="J287" s="51"/>
      <c r="K287" s="62"/>
      <c r="L287" s="5"/>
      <c r="M287" s="70"/>
      <c r="N287" s="44"/>
      <c r="O287" s="44"/>
      <c r="P287" s="5"/>
      <c r="S287" s="51"/>
      <c r="T287" s="62"/>
      <c r="U287" s="48"/>
      <c r="V287" s="70"/>
      <c r="W287" s="44"/>
      <c r="X287" s="44"/>
      <c r="Y287" s="5"/>
      <c r="AB287" s="51"/>
      <c r="AC287" s="62"/>
      <c r="AD287" s="5"/>
      <c r="AE287" s="70"/>
      <c r="AF287" s="44"/>
      <c r="AG287" s="44"/>
      <c r="AH287" s="5"/>
    </row>
    <row r="288" spans="1:34" x14ac:dyDescent="0.3">
      <c r="A288" s="51"/>
      <c r="B288" s="20"/>
      <c r="C288" s="20"/>
      <c r="D288" s="47"/>
      <c r="E288" s="44"/>
      <c r="F288" s="44"/>
      <c r="G288" s="5"/>
      <c r="J288" s="51"/>
      <c r="K288" s="62"/>
      <c r="L288" s="5"/>
      <c r="M288" s="70"/>
      <c r="N288" s="44"/>
      <c r="O288" s="44"/>
      <c r="P288" s="5"/>
      <c r="S288" s="51"/>
      <c r="T288" s="62"/>
      <c r="U288" s="48"/>
      <c r="V288" s="70"/>
      <c r="W288" s="44"/>
      <c r="X288" s="44"/>
      <c r="Y288" s="5"/>
      <c r="AB288" s="51"/>
      <c r="AC288" s="62"/>
      <c r="AD288" s="5"/>
      <c r="AE288" s="70"/>
      <c r="AF288" s="44"/>
      <c r="AG288" s="44"/>
      <c r="AH288" s="5"/>
    </row>
    <row r="289" spans="1:34" x14ac:dyDescent="0.3">
      <c r="A289" s="51"/>
      <c r="B289" s="21"/>
      <c r="C289" s="20"/>
      <c r="D289" s="47"/>
      <c r="E289" s="44"/>
      <c r="F289" s="44"/>
      <c r="G289" s="5"/>
      <c r="J289" s="51"/>
      <c r="K289" s="62"/>
      <c r="L289" s="5"/>
      <c r="M289" s="70"/>
      <c r="N289" s="44"/>
      <c r="O289" s="44"/>
      <c r="P289" s="5"/>
      <c r="S289" s="51"/>
      <c r="T289" s="65"/>
      <c r="U289" s="48"/>
      <c r="V289" s="70"/>
      <c r="W289" s="44"/>
      <c r="X289" s="44"/>
      <c r="Y289" s="5"/>
      <c r="AB289" s="51"/>
      <c r="AC289" s="62"/>
      <c r="AD289" s="5"/>
      <c r="AE289" s="70"/>
      <c r="AF289" s="44"/>
      <c r="AG289" s="44"/>
      <c r="AH289" s="5"/>
    </row>
    <row r="290" spans="1:34" x14ac:dyDescent="0.3">
      <c r="A290" s="51"/>
      <c r="B290" s="21"/>
      <c r="C290" s="20"/>
      <c r="D290" s="47"/>
      <c r="E290" s="44"/>
      <c r="F290" s="44"/>
      <c r="G290" s="5"/>
      <c r="J290" s="51"/>
      <c r="K290" s="62"/>
      <c r="L290" s="5"/>
      <c r="M290" s="70"/>
      <c r="N290" s="44"/>
      <c r="O290" s="44"/>
      <c r="P290" s="5"/>
      <c r="S290" s="51"/>
      <c r="T290" s="62"/>
      <c r="U290" s="48"/>
      <c r="V290" s="70"/>
      <c r="W290" s="44"/>
      <c r="X290" s="44"/>
      <c r="Y290" s="5"/>
      <c r="AB290" s="51"/>
      <c r="AC290" s="65"/>
      <c r="AD290" s="5"/>
      <c r="AE290" s="70"/>
      <c r="AF290" s="44"/>
      <c r="AG290" s="44"/>
      <c r="AH290" s="5"/>
    </row>
    <row r="291" spans="1:34" x14ac:dyDescent="0.3">
      <c r="A291" s="51"/>
      <c r="B291" s="21"/>
      <c r="C291" s="20"/>
      <c r="D291" s="47"/>
      <c r="E291" s="44"/>
      <c r="F291" s="44"/>
      <c r="G291" s="5"/>
      <c r="J291" s="51"/>
      <c r="K291" s="62"/>
      <c r="L291" s="5"/>
      <c r="M291" s="70"/>
      <c r="N291" s="44"/>
      <c r="O291" s="44"/>
      <c r="P291" s="5"/>
      <c r="S291" s="51"/>
      <c r="T291" s="62"/>
      <c r="U291" s="48"/>
      <c r="V291" s="70"/>
      <c r="W291" s="44"/>
      <c r="X291" s="44"/>
      <c r="Y291" s="5"/>
      <c r="AB291" s="51"/>
      <c r="AC291" s="62"/>
      <c r="AD291" s="5"/>
      <c r="AE291" s="70"/>
      <c r="AF291" s="44"/>
      <c r="AG291" s="44"/>
      <c r="AH291" s="5"/>
    </row>
    <row r="292" spans="1:34" x14ac:dyDescent="0.3">
      <c r="A292" s="51"/>
      <c r="B292" s="21"/>
      <c r="C292" s="20"/>
      <c r="D292" s="47"/>
      <c r="E292" s="44"/>
      <c r="F292" s="44"/>
      <c r="G292" s="5"/>
      <c r="J292" s="51"/>
      <c r="K292" s="65"/>
      <c r="L292" s="5"/>
      <c r="M292" s="70"/>
      <c r="N292" s="44"/>
      <c r="O292" s="44"/>
      <c r="P292" s="5"/>
      <c r="S292" s="51"/>
      <c r="T292" s="62"/>
      <c r="U292" s="48"/>
      <c r="V292" s="70"/>
      <c r="W292" s="44"/>
      <c r="X292" s="44"/>
      <c r="Y292" s="5"/>
      <c r="AB292" s="51"/>
      <c r="AC292" s="62"/>
      <c r="AD292" s="5"/>
      <c r="AE292" s="70"/>
      <c r="AF292" s="44"/>
      <c r="AG292" s="44"/>
      <c r="AH292" s="5"/>
    </row>
    <row r="293" spans="1:34" x14ac:dyDescent="0.3">
      <c r="A293" s="51"/>
      <c r="B293" s="20"/>
      <c r="C293" s="20"/>
      <c r="D293" s="47"/>
      <c r="E293" s="44"/>
      <c r="F293" s="44"/>
      <c r="G293" s="5"/>
      <c r="J293" s="51"/>
      <c r="K293" s="62"/>
      <c r="L293" s="5"/>
      <c r="M293" s="70"/>
      <c r="N293" s="44"/>
      <c r="O293" s="44"/>
      <c r="P293" s="5"/>
      <c r="S293" s="51"/>
      <c r="T293" s="62"/>
      <c r="U293" s="48"/>
      <c r="V293" s="70"/>
      <c r="W293" s="44"/>
      <c r="X293" s="44"/>
      <c r="Y293" s="5"/>
      <c r="AB293" s="51"/>
      <c r="AC293" s="62"/>
      <c r="AD293" s="5"/>
      <c r="AE293" s="70"/>
      <c r="AF293" s="44"/>
      <c r="AG293" s="44"/>
      <c r="AH293" s="5"/>
    </row>
    <row r="294" spans="1:34" x14ac:dyDescent="0.3">
      <c r="A294" s="51"/>
      <c r="B294" s="21"/>
      <c r="C294" s="20"/>
      <c r="D294" s="47"/>
      <c r="E294" s="44"/>
      <c r="F294" s="44"/>
      <c r="G294" s="5"/>
      <c r="J294" s="51"/>
      <c r="K294" s="62"/>
      <c r="L294" s="5"/>
      <c r="M294" s="70"/>
      <c r="N294" s="44"/>
      <c r="O294" s="44"/>
      <c r="P294" s="5"/>
      <c r="S294" s="51"/>
      <c r="T294" s="62"/>
      <c r="U294" s="48"/>
      <c r="V294" s="70"/>
      <c r="W294" s="44"/>
      <c r="X294" s="44"/>
      <c r="Y294" s="5"/>
      <c r="AB294" s="51"/>
      <c r="AC294" s="62"/>
      <c r="AD294" s="5"/>
      <c r="AE294" s="70"/>
      <c r="AF294" s="44"/>
      <c r="AG294" s="44"/>
      <c r="AH294" s="5"/>
    </row>
    <row r="295" spans="1:34" x14ac:dyDescent="0.3">
      <c r="A295" s="51"/>
      <c r="B295" s="21"/>
      <c r="C295" s="20"/>
      <c r="D295" s="47"/>
      <c r="E295" s="44"/>
      <c r="F295" s="44"/>
      <c r="G295" s="5"/>
      <c r="J295" s="51"/>
      <c r="K295" s="62"/>
      <c r="L295" s="5"/>
      <c r="M295" s="70"/>
      <c r="N295" s="44"/>
      <c r="O295" s="44"/>
      <c r="P295" s="5"/>
      <c r="S295" s="51"/>
      <c r="T295" s="62"/>
      <c r="U295" s="48"/>
      <c r="V295" s="70"/>
      <c r="W295" s="44"/>
      <c r="X295" s="44"/>
      <c r="Y295" s="5"/>
      <c r="AB295" s="51"/>
      <c r="AC295" s="62"/>
      <c r="AD295" s="5"/>
      <c r="AE295" s="70"/>
      <c r="AF295" s="44"/>
      <c r="AG295" s="44"/>
      <c r="AH295" s="5"/>
    </row>
    <row r="296" spans="1:34" x14ac:dyDescent="0.3">
      <c r="A296" s="51"/>
      <c r="B296" s="21"/>
      <c r="C296" s="20"/>
      <c r="D296" s="47"/>
      <c r="E296" s="44"/>
      <c r="F296" s="44"/>
      <c r="G296" s="5"/>
      <c r="J296" s="51"/>
      <c r="K296" s="62"/>
      <c r="L296" s="5"/>
      <c r="M296" s="70"/>
      <c r="N296" s="44"/>
      <c r="O296" s="44"/>
      <c r="P296" s="5"/>
      <c r="S296" s="51"/>
      <c r="T296" s="65"/>
      <c r="U296" s="48"/>
      <c r="V296" s="70"/>
      <c r="W296" s="44"/>
      <c r="X296" s="44"/>
      <c r="Y296" s="5"/>
      <c r="AB296" s="51"/>
      <c r="AC296" s="62"/>
      <c r="AD296" s="5"/>
      <c r="AE296" s="70"/>
      <c r="AF296" s="44"/>
      <c r="AG296" s="44"/>
      <c r="AH296" s="5"/>
    </row>
    <row r="297" spans="1:34" x14ac:dyDescent="0.3">
      <c r="A297" s="51"/>
      <c r="B297" s="21"/>
      <c r="C297" s="20"/>
      <c r="D297" s="47"/>
      <c r="E297" s="44"/>
      <c r="F297" s="44"/>
      <c r="G297" s="5"/>
      <c r="J297" s="51"/>
      <c r="K297" s="62"/>
      <c r="L297" s="5"/>
      <c r="M297" s="70"/>
      <c r="N297" s="44"/>
      <c r="O297" s="44"/>
      <c r="P297" s="5"/>
      <c r="S297" s="51"/>
      <c r="T297" s="62"/>
      <c r="U297" s="48"/>
      <c r="V297" s="70"/>
      <c r="W297" s="44"/>
      <c r="X297" s="44"/>
      <c r="Y297" s="5"/>
      <c r="AB297" s="51"/>
      <c r="AC297" s="62"/>
      <c r="AD297" s="5"/>
      <c r="AE297" s="70"/>
      <c r="AF297" s="44"/>
      <c r="AG297" s="44"/>
      <c r="AH297" s="5"/>
    </row>
    <row r="298" spans="1:34" x14ac:dyDescent="0.3">
      <c r="A298" s="51"/>
      <c r="B298" s="21"/>
      <c r="C298" s="20"/>
      <c r="D298" s="47"/>
      <c r="E298" s="44"/>
      <c r="F298" s="44"/>
      <c r="G298" s="5"/>
      <c r="J298" s="51"/>
      <c r="K298" s="62"/>
      <c r="L298" s="5"/>
      <c r="M298" s="70"/>
      <c r="N298" s="44"/>
      <c r="O298" s="44"/>
      <c r="P298" s="5"/>
      <c r="S298" s="51"/>
      <c r="T298" s="62"/>
      <c r="U298" s="48"/>
      <c r="V298" s="70"/>
      <c r="W298" s="44"/>
      <c r="X298" s="44"/>
      <c r="Y298" s="5"/>
      <c r="AB298" s="51"/>
      <c r="AC298" s="65"/>
      <c r="AD298" s="5"/>
      <c r="AE298" s="70"/>
      <c r="AF298" s="44"/>
      <c r="AG298" s="44"/>
      <c r="AH298" s="5"/>
    </row>
    <row r="299" spans="1:34" x14ac:dyDescent="0.3">
      <c r="A299" s="51"/>
      <c r="B299" s="21"/>
      <c r="C299" s="20"/>
      <c r="D299" s="47"/>
      <c r="E299" s="44"/>
      <c r="F299" s="44"/>
      <c r="G299" s="5"/>
      <c r="J299" s="51"/>
      <c r="K299" s="65"/>
      <c r="L299" s="5"/>
      <c r="M299" s="70"/>
      <c r="N299" s="44"/>
      <c r="O299" s="44"/>
      <c r="P299" s="5"/>
      <c r="S299" s="51"/>
      <c r="T299" s="65"/>
      <c r="U299" s="48"/>
      <c r="V299" s="70"/>
      <c r="W299" s="44"/>
      <c r="X299" s="44"/>
      <c r="Y299" s="5"/>
      <c r="AB299" s="51"/>
      <c r="AC299" s="65"/>
      <c r="AD299" s="5"/>
      <c r="AE299" s="70"/>
      <c r="AF299" s="44"/>
      <c r="AG299" s="44"/>
      <c r="AH299" s="5"/>
    </row>
  </sheetData>
  <autoFilter ref="S1:Y1"/>
  <sortState ref="AB2:AE299">
    <sortCondition ref="AB2:AB299"/>
    <sortCondition descending="1" ref="AE2:AE299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370"/>
  <sheetViews>
    <sheetView zoomScale="85" zoomScaleNormal="85" workbookViewId="0">
      <selection activeCell="AA276" sqref="AA276"/>
    </sheetView>
  </sheetViews>
  <sheetFormatPr defaultRowHeight="14.4" outlineLevelRow="1" x14ac:dyDescent="0.3"/>
  <cols>
    <col min="1" max="1" width="31.88671875" customWidth="1"/>
    <col min="2" max="2" width="25.109375" customWidth="1"/>
    <col min="3" max="3" width="15" customWidth="1"/>
    <col min="4" max="4" width="21.88671875" customWidth="1"/>
    <col min="5" max="7" width="11.33203125" customWidth="1"/>
    <col min="8" max="8" width="5.33203125" customWidth="1"/>
    <col min="9" max="9" width="7" customWidth="1"/>
    <col min="10" max="10" width="33.5546875" customWidth="1"/>
    <col min="11" max="11" width="25.109375" customWidth="1"/>
    <col min="12" max="12" width="15" customWidth="1"/>
    <col min="13" max="13" width="21.88671875" customWidth="1"/>
    <col min="14" max="15" width="11.33203125" customWidth="1"/>
    <col min="16" max="17" width="8.33203125" customWidth="1"/>
    <col min="18" max="18" width="8.33203125" style="39" customWidth="1"/>
    <col min="19" max="19" width="37.6640625" customWidth="1"/>
    <col min="20" max="20" width="25.109375" customWidth="1"/>
    <col min="21" max="21" width="15" customWidth="1"/>
    <col min="22" max="22" width="21.88671875" customWidth="1"/>
    <col min="23" max="25" width="11.33203125" customWidth="1"/>
    <col min="26" max="27" width="11.33203125" style="39" customWidth="1"/>
    <col min="28" max="28" width="31.88671875" customWidth="1"/>
    <col min="29" max="29" width="25.109375" customWidth="1"/>
    <col min="30" max="30" width="15" customWidth="1"/>
    <col min="31" max="31" width="21.88671875" customWidth="1"/>
    <col min="32" max="33" width="11.33203125" customWidth="1"/>
    <col min="34" max="34" width="14.5546875" customWidth="1"/>
    <col min="35" max="38" width="7.5546875" customWidth="1"/>
  </cols>
  <sheetData>
    <row r="1" spans="1:32" x14ac:dyDescent="0.3">
      <c r="A1" t="s">
        <v>413</v>
      </c>
      <c r="J1" t="s">
        <v>414</v>
      </c>
      <c r="S1" s="19" t="s">
        <v>415</v>
      </c>
      <c r="AB1" s="19" t="s">
        <v>416</v>
      </c>
    </row>
    <row r="2" spans="1:32" hidden="1" outlineLevel="1" x14ac:dyDescent="0.3"/>
    <row r="3" spans="1:32" hidden="1" outlineLevel="1" x14ac:dyDescent="0.3"/>
    <row r="4" spans="1:32" hidden="1" outlineLevel="1" x14ac:dyDescent="0.3">
      <c r="A4" s="35" t="s">
        <v>262</v>
      </c>
      <c r="B4" t="s" vm="8">
        <v>0</v>
      </c>
      <c r="J4" s="35" t="s">
        <v>262</v>
      </c>
      <c r="K4" t="s" vm="8">
        <v>0</v>
      </c>
      <c r="S4" s="35" t="s">
        <v>262</v>
      </c>
      <c r="T4" t="s" vm="8">
        <v>0</v>
      </c>
      <c r="AB4" s="35" t="s">
        <v>262</v>
      </c>
      <c r="AC4" t="s" vm="8">
        <v>0</v>
      </c>
    </row>
    <row r="5" spans="1:32" hidden="1" outlineLevel="1" x14ac:dyDescent="0.3">
      <c r="A5" s="2" t="s">
        <v>124</v>
      </c>
      <c r="B5" t="s" vm="3">
        <v>125</v>
      </c>
      <c r="J5" s="2" t="s">
        <v>124</v>
      </c>
      <c r="K5" t="s" vm="3">
        <v>125</v>
      </c>
      <c r="S5" s="2" t="s">
        <v>124</v>
      </c>
      <c r="T5" t="s" vm="3">
        <v>125</v>
      </c>
      <c r="AB5" s="2" t="s">
        <v>124</v>
      </c>
      <c r="AC5" t="s" vm="3">
        <v>125</v>
      </c>
    </row>
    <row r="6" spans="1:32" hidden="1" outlineLevel="1" x14ac:dyDescent="0.3">
      <c r="A6" s="2" t="s">
        <v>1</v>
      </c>
      <c r="B6" t="s" vm="1">
        <v>0</v>
      </c>
      <c r="J6" s="2" t="s">
        <v>1</v>
      </c>
      <c r="K6" t="s" vm="1">
        <v>0</v>
      </c>
      <c r="S6" s="2" t="s">
        <v>1</v>
      </c>
      <c r="T6" t="s" vm="1">
        <v>0</v>
      </c>
      <c r="AB6" s="2" t="s">
        <v>1</v>
      </c>
      <c r="AC6" t="s" vm="1">
        <v>0</v>
      </c>
    </row>
    <row r="7" spans="1:32" hidden="1" outlineLevel="1" x14ac:dyDescent="0.3">
      <c r="A7" s="2" t="s">
        <v>2</v>
      </c>
      <c r="B7" t="s" vm="2">
        <v>0</v>
      </c>
      <c r="J7" s="2" t="s">
        <v>2</v>
      </c>
      <c r="K7" t="s" vm="2">
        <v>0</v>
      </c>
      <c r="S7" s="2" t="s">
        <v>2</v>
      </c>
      <c r="T7" t="s" vm="2">
        <v>0</v>
      </c>
      <c r="AB7" s="2" t="s">
        <v>2</v>
      </c>
      <c r="AC7" t="s" vm="2">
        <v>0</v>
      </c>
    </row>
    <row r="8" spans="1:32" hidden="1" outlineLevel="1" x14ac:dyDescent="0.3">
      <c r="A8" s="2" t="s">
        <v>5</v>
      </c>
      <c r="B8" t="s" vm="5">
        <v>6</v>
      </c>
      <c r="C8" s="17" t="s">
        <v>335</v>
      </c>
      <c r="D8" s="33">
        <f>MEDIAN(D11:D16)</f>
        <v>5.2766683636631284E-2</v>
      </c>
      <c r="J8" s="2" t="s">
        <v>5</v>
      </c>
      <c r="K8" t="s" vm="6">
        <v>6</v>
      </c>
      <c r="L8" s="17" t="s">
        <v>335</v>
      </c>
      <c r="M8" s="33">
        <f>MEDIAN(M11:M16)</f>
        <v>4.2091622561383449E-2</v>
      </c>
      <c r="S8" s="2" t="s">
        <v>5</v>
      </c>
      <c r="T8" t="s" vm="7">
        <v>6</v>
      </c>
      <c r="U8" s="17" t="s">
        <v>335</v>
      </c>
      <c r="V8" s="33">
        <f>MEDIAN(V11:V16)</f>
        <v>6.2132606111922097E-2</v>
      </c>
      <c r="AB8" s="2" t="s">
        <v>5</v>
      </c>
      <c r="AC8" t="s" vm="4">
        <v>6</v>
      </c>
      <c r="AD8" s="17" t="s">
        <v>335</v>
      </c>
      <c r="AE8" s="33">
        <f>MEDIAN(AE11:AE18)</f>
        <v>4.5501841554838648E-2</v>
      </c>
    </row>
    <row r="9" spans="1:32" hidden="1" outlineLevel="1" x14ac:dyDescent="0.3"/>
    <row r="10" spans="1:32" hidden="1" outlineLevel="1" x14ac:dyDescent="0.3">
      <c r="A10" s="2" t="s">
        <v>3</v>
      </c>
      <c r="B10" s="35" t="s">
        <v>268</v>
      </c>
      <c r="C10" s="37" t="s">
        <v>352</v>
      </c>
      <c r="D10" s="37" t="s">
        <v>353</v>
      </c>
      <c r="E10" s="37" t="s">
        <v>354</v>
      </c>
      <c r="F10" s="37"/>
      <c r="G10" s="37"/>
      <c r="J10" s="2" t="s">
        <v>3</v>
      </c>
      <c r="K10" s="36" t="s">
        <v>268</v>
      </c>
      <c r="L10" s="37" t="s">
        <v>352</v>
      </c>
      <c r="M10" s="37" t="s">
        <v>353</v>
      </c>
      <c r="N10" s="37" t="s">
        <v>354</v>
      </c>
      <c r="S10" s="2" t="s">
        <v>3</v>
      </c>
      <c r="T10" s="36" t="s">
        <v>268</v>
      </c>
      <c r="U10" s="37" t="s">
        <v>352</v>
      </c>
      <c r="V10" s="37" t="s">
        <v>353</v>
      </c>
      <c r="W10" s="37" t="s">
        <v>354</v>
      </c>
      <c r="AB10" s="2" t="s">
        <v>3</v>
      </c>
      <c r="AC10" s="36" t="s">
        <v>268</v>
      </c>
      <c r="AD10" s="37" t="s">
        <v>352</v>
      </c>
      <c r="AE10" s="37" t="s">
        <v>353</v>
      </c>
      <c r="AF10" s="37" t="s">
        <v>354</v>
      </c>
    </row>
    <row r="11" spans="1:32" hidden="1" outlineLevel="1" x14ac:dyDescent="0.3">
      <c r="A11" s="3" t="s">
        <v>304</v>
      </c>
      <c r="B11" s="1">
        <v>321977.5</v>
      </c>
      <c r="C11" s="1">
        <v>356850224.05749798</v>
      </c>
      <c r="D11" s="8">
        <v>0.80960697875555043</v>
      </c>
      <c r="E11" s="1">
        <v>132669855.74120115</v>
      </c>
      <c r="F11" s="1"/>
      <c r="G11" s="1"/>
      <c r="J11" s="3" t="s">
        <v>304</v>
      </c>
      <c r="K11" s="1">
        <v>221673.54300000001</v>
      </c>
      <c r="L11" s="1">
        <v>246633457.12059945</v>
      </c>
      <c r="M11" s="8">
        <v>0.7883685214877294</v>
      </c>
      <c r="N11" s="1">
        <v>90954977.181821808</v>
      </c>
      <c r="S11" s="3" t="s">
        <v>304</v>
      </c>
      <c r="T11" s="1">
        <v>174170.5</v>
      </c>
      <c r="U11" s="1">
        <v>166980549.15389958</v>
      </c>
      <c r="V11" s="8">
        <v>0.72220458758526784</v>
      </c>
      <c r="W11" s="1">
        <v>66070840.255762078</v>
      </c>
      <c r="AB11" s="3" t="s">
        <v>304</v>
      </c>
      <c r="AC11" s="1">
        <v>144599.4</v>
      </c>
      <c r="AD11" s="1">
        <v>136928851.96119899</v>
      </c>
      <c r="AE11" s="8">
        <v>0.48098777533035741</v>
      </c>
      <c r="AF11" s="1">
        <v>61257080.080980197</v>
      </c>
    </row>
    <row r="12" spans="1:32" hidden="1" outlineLevel="1" x14ac:dyDescent="0.3">
      <c r="A12" s="3" t="s">
        <v>344</v>
      </c>
      <c r="B12" s="1">
        <v>17159.5</v>
      </c>
      <c r="C12" s="1">
        <v>35445932.700000003</v>
      </c>
      <c r="D12" s="8">
        <v>8.0418261073574915E-2</v>
      </c>
      <c r="E12" s="1">
        <v>15039388.665133808</v>
      </c>
      <c r="F12" s="1"/>
      <c r="G12" s="1"/>
      <c r="J12" s="3" t="s">
        <v>344</v>
      </c>
      <c r="K12" s="1">
        <v>14702</v>
      </c>
      <c r="L12" s="1">
        <v>36963767.5</v>
      </c>
      <c r="M12" s="8">
        <v>0.11815538359153643</v>
      </c>
      <c r="N12" s="1">
        <v>14030128.909568224</v>
      </c>
      <c r="S12" s="3" t="s">
        <v>344</v>
      </c>
      <c r="T12" s="1">
        <v>16691</v>
      </c>
      <c r="U12" s="1">
        <v>32403350.676600005</v>
      </c>
      <c r="V12" s="8">
        <v>0.14014715264953481</v>
      </c>
      <c r="W12" s="1">
        <v>11225483.818014819</v>
      </c>
      <c r="AB12" s="3" t="s">
        <v>344</v>
      </c>
      <c r="AC12" s="1">
        <v>6993</v>
      </c>
      <c r="AD12" s="1">
        <v>12733287.913299998</v>
      </c>
      <c r="AE12" s="8">
        <v>4.4728015595972337E-2</v>
      </c>
      <c r="AF12" s="1">
        <v>5165976.6184006892</v>
      </c>
    </row>
    <row r="13" spans="1:32" hidden="1" outlineLevel="1" x14ac:dyDescent="0.3">
      <c r="A13" s="3" t="s">
        <v>345</v>
      </c>
      <c r="B13" s="1">
        <v>22381.55</v>
      </c>
      <c r="C13" s="1">
        <v>1644268.7491000001</v>
      </c>
      <c r="D13" s="8">
        <v>3.7304486994143688E-3</v>
      </c>
      <c r="E13" s="1">
        <v>516890.99343852326</v>
      </c>
      <c r="F13" s="1"/>
      <c r="G13" s="1"/>
      <c r="J13" s="3" t="s">
        <v>345</v>
      </c>
      <c r="K13" s="1">
        <v>37671.359999999993</v>
      </c>
      <c r="L13" s="1">
        <v>2154799.6721999999</v>
      </c>
      <c r="M13" s="8">
        <v>6.8878580039685609E-3</v>
      </c>
      <c r="N13" s="1">
        <v>659136.9311953939</v>
      </c>
      <c r="S13" s="3" t="s">
        <v>345</v>
      </c>
      <c r="T13" s="1">
        <v>21098.344000000001</v>
      </c>
      <c r="U13" s="1">
        <v>3236324.9737</v>
      </c>
      <c r="V13" s="8">
        <v>1.3997371279266315E-2</v>
      </c>
      <c r="W13" s="1">
        <v>447288.26720967481</v>
      </c>
      <c r="AB13" s="3" t="s">
        <v>345</v>
      </c>
      <c r="AC13" s="1">
        <v>20126.915999999997</v>
      </c>
      <c r="AD13" s="1">
        <v>2774580.9354999997</v>
      </c>
      <c r="AE13" s="8">
        <v>9.7462258138140984E-3</v>
      </c>
      <c r="AF13" s="1">
        <v>562817.16725228808</v>
      </c>
    </row>
    <row r="14" spans="1:32" hidden="1" outlineLevel="1" x14ac:dyDescent="0.3">
      <c r="A14" s="3" t="s">
        <v>346</v>
      </c>
      <c r="B14" s="1">
        <v>2698.3</v>
      </c>
      <c r="C14" s="1">
        <v>313362.66000000003</v>
      </c>
      <c r="D14" s="8">
        <v>7.1094419819258672E-4</v>
      </c>
      <c r="E14" s="1">
        <v>61924.874159181098</v>
      </c>
      <c r="F14" s="1"/>
      <c r="G14" s="1"/>
      <c r="J14" s="3" t="s">
        <v>346</v>
      </c>
      <c r="K14" s="1">
        <v>6123.2</v>
      </c>
      <c r="L14" s="1">
        <v>752378.39199999999</v>
      </c>
      <c r="M14" s="8">
        <v>2.4049917939978215E-3</v>
      </c>
      <c r="N14" s="1">
        <v>142494.14885346778</v>
      </c>
      <c r="S14" s="3" t="s">
        <v>346</v>
      </c>
      <c r="T14" s="1">
        <v>7075.8</v>
      </c>
      <c r="U14" s="1">
        <v>882645.39999999991</v>
      </c>
      <c r="V14" s="8">
        <v>3.8175138381148807E-3</v>
      </c>
      <c r="W14" s="1">
        <v>197886.16921619792</v>
      </c>
      <c r="AB14" s="3" t="s">
        <v>346</v>
      </c>
      <c r="AC14" s="1">
        <v>3224.3999999999996</v>
      </c>
      <c r="AD14" s="1">
        <v>419517.89999999997</v>
      </c>
      <c r="AE14" s="8">
        <v>1.4736337779961948E-3</v>
      </c>
      <c r="AF14" s="1">
        <v>127597.94919382544</v>
      </c>
    </row>
    <row r="15" spans="1:32" hidden="1" outlineLevel="1" x14ac:dyDescent="0.3">
      <c r="A15" s="3" t="s">
        <v>347</v>
      </c>
      <c r="B15" s="1">
        <v>24340</v>
      </c>
      <c r="C15" s="1">
        <v>26255511.191400006</v>
      </c>
      <c r="D15" s="8">
        <v>5.9567414165128556E-2</v>
      </c>
      <c r="E15" s="1">
        <v>12757902.439970315</v>
      </c>
      <c r="F15" s="1"/>
      <c r="G15" s="1"/>
      <c r="J15" s="3" t="s">
        <v>347</v>
      </c>
      <c r="K15" s="1">
        <v>20533.2</v>
      </c>
      <c r="L15" s="1">
        <v>19944845.260999985</v>
      </c>
      <c r="M15" s="8">
        <v>6.3754076001243401E-2</v>
      </c>
      <c r="N15" s="1">
        <v>9337324.7237539776</v>
      </c>
      <c r="S15" s="3" t="s">
        <v>347</v>
      </c>
      <c r="T15" s="1">
        <v>21845.5</v>
      </c>
      <c r="U15" s="1">
        <v>25494970.471600011</v>
      </c>
      <c r="V15" s="8">
        <v>0.11026784094457788</v>
      </c>
      <c r="W15" s="1">
        <v>11701127.788595792</v>
      </c>
      <c r="AB15" s="3" t="s">
        <v>347</v>
      </c>
      <c r="AC15" s="1">
        <v>22193</v>
      </c>
      <c r="AD15" s="1">
        <v>25756523.543399997</v>
      </c>
      <c r="AE15" s="8">
        <v>9.0474525871979433E-2</v>
      </c>
      <c r="AF15" s="1">
        <v>12703778.997111956</v>
      </c>
    </row>
    <row r="16" spans="1:32" hidden="1" outlineLevel="1" x14ac:dyDescent="0.3">
      <c r="A16" s="3" t="s">
        <v>348</v>
      </c>
      <c r="B16" s="1">
        <v>14885</v>
      </c>
      <c r="C16" s="1">
        <v>20260399.300000001</v>
      </c>
      <c r="D16" s="8">
        <v>4.5965953108134019E-2</v>
      </c>
      <c r="E16" s="1">
        <v>9070048.9878299199</v>
      </c>
      <c r="F16" s="1"/>
      <c r="G16" s="1"/>
      <c r="J16" s="3" t="s">
        <v>348</v>
      </c>
      <c r="K16" s="1">
        <v>6117</v>
      </c>
      <c r="L16" s="1">
        <v>6391067.7166999998</v>
      </c>
      <c r="M16" s="8">
        <v>2.0429169121523486E-2</v>
      </c>
      <c r="N16" s="1">
        <v>2263287.9021102646</v>
      </c>
      <c r="S16" s="3" t="s">
        <v>348</v>
      </c>
      <c r="T16" s="1">
        <v>2057</v>
      </c>
      <c r="U16" s="1">
        <v>2211642.1</v>
      </c>
      <c r="V16" s="8">
        <v>9.5655337032373999E-3</v>
      </c>
      <c r="W16" s="1">
        <v>569618.60262267385</v>
      </c>
      <c r="AB16" s="3" t="s">
        <v>349</v>
      </c>
      <c r="AC16" s="1">
        <v>49053</v>
      </c>
      <c r="AD16" s="1">
        <v>87694546.5</v>
      </c>
      <c r="AE16" s="8">
        <v>0.30804322263354672</v>
      </c>
      <c r="AF16" s="1">
        <v>40931206.022572152</v>
      </c>
    </row>
    <row r="17" spans="1:38" hidden="1" outlineLevel="1" x14ac:dyDescent="0.3">
      <c r="AB17" s="3" t="s">
        <v>350</v>
      </c>
      <c r="AC17" s="1">
        <v>7162</v>
      </c>
      <c r="AD17" s="1">
        <v>13173877.49</v>
      </c>
      <c r="AE17" s="8">
        <v>4.6275667513704967E-2</v>
      </c>
      <c r="AF17" s="1">
        <v>4396927.6969208131</v>
      </c>
    </row>
    <row r="18" spans="1:38" hidden="1" outlineLevel="1" x14ac:dyDescent="0.3">
      <c r="AB18" s="3" t="s">
        <v>351</v>
      </c>
      <c r="AC18" s="1">
        <v>4871</v>
      </c>
      <c r="AD18" s="1">
        <v>5201416.9000000004</v>
      </c>
      <c r="AE18" s="8">
        <v>1.8270933462625212E-2</v>
      </c>
      <c r="AF18" s="1">
        <v>1896844.3715907324</v>
      </c>
    </row>
    <row r="19" spans="1:38" hidden="1" outlineLevel="1" x14ac:dyDescent="0.3">
      <c r="AB19" s="3"/>
      <c r="AC19" s="1"/>
      <c r="AD19" s="1"/>
      <c r="AE19" s="8"/>
      <c r="AF19" s="1"/>
    </row>
    <row r="20" spans="1:38" collapsed="1" x14ac:dyDescent="0.3">
      <c r="A20" s="2" t="s">
        <v>123</v>
      </c>
      <c r="B20" t="s" vm="10">
        <v>0</v>
      </c>
      <c r="J20" s="2" t="s">
        <v>123</v>
      </c>
      <c r="K20" t="s" vm="10">
        <v>0</v>
      </c>
      <c r="S20" s="2" t="s">
        <v>123</v>
      </c>
      <c r="T20" t="s" vm="10">
        <v>0</v>
      </c>
      <c r="AB20" s="2" t="s">
        <v>123</v>
      </c>
      <c r="AC20" t="s" vm="10">
        <v>0</v>
      </c>
    </row>
    <row r="21" spans="1:38" x14ac:dyDescent="0.3">
      <c r="A21" s="2" t="s">
        <v>124</v>
      </c>
      <c r="B21" t="s" vm="9">
        <v>6</v>
      </c>
      <c r="J21" s="2" t="s">
        <v>124</v>
      </c>
      <c r="K21" t="s" vm="3">
        <v>125</v>
      </c>
      <c r="S21" s="2" t="s">
        <v>124</v>
      </c>
      <c r="T21" t="s" vm="3">
        <v>125</v>
      </c>
      <c r="AB21" s="2" t="s">
        <v>124</v>
      </c>
      <c r="AC21" t="s" vm="3">
        <v>125</v>
      </c>
    </row>
    <row r="22" spans="1:38" x14ac:dyDescent="0.3">
      <c r="A22" s="2" t="s">
        <v>1</v>
      </c>
      <c r="B22" t="s" vm="1">
        <v>0</v>
      </c>
      <c r="J22" s="2" t="s">
        <v>1</v>
      </c>
      <c r="K22" t="s" vm="1">
        <v>0</v>
      </c>
      <c r="S22" s="2" t="s">
        <v>1</v>
      </c>
      <c r="T22" t="s" vm="1">
        <v>0</v>
      </c>
      <c r="AB22" s="2" t="s">
        <v>1</v>
      </c>
      <c r="AC22" t="s" vm="1">
        <v>0</v>
      </c>
    </row>
    <row r="23" spans="1:38" x14ac:dyDescent="0.3">
      <c r="A23" s="2" t="s">
        <v>2</v>
      </c>
      <c r="B23" t="s" vm="2">
        <v>0</v>
      </c>
      <c r="J23" s="2" t="s">
        <v>2</v>
      </c>
      <c r="K23" t="s" vm="2">
        <v>0</v>
      </c>
      <c r="S23" s="2" t="s">
        <v>2</v>
      </c>
      <c r="T23" t="s" vm="2">
        <v>0</v>
      </c>
      <c r="AB23" s="2" t="s">
        <v>2</v>
      </c>
      <c r="AC23" t="s" vm="2">
        <v>0</v>
      </c>
    </row>
    <row r="24" spans="1:38" x14ac:dyDescent="0.3">
      <c r="A24" s="2" t="s">
        <v>5</v>
      </c>
      <c r="B24" t="s" vm="11">
        <v>6</v>
      </c>
      <c r="C24" s="17" t="s">
        <v>335</v>
      </c>
      <c r="D24" s="33">
        <f>MEDIAN(D27:D370)</f>
        <v>7.819310797971675E-4</v>
      </c>
      <c r="J24" s="2" t="s">
        <v>5</v>
      </c>
      <c r="K24" t="s" vm="12">
        <v>6</v>
      </c>
      <c r="L24" s="17" t="s">
        <v>335</v>
      </c>
      <c r="M24" s="33">
        <f>MEDIAN(M27:M308)</f>
        <v>8.2965831443332404E-4</v>
      </c>
      <c r="S24" s="2" t="s">
        <v>5</v>
      </c>
      <c r="T24" t="s" vm="13">
        <v>6</v>
      </c>
      <c r="U24" s="17" t="s">
        <v>335</v>
      </c>
      <c r="V24" s="33">
        <f>MEDIAN(V27:V311)</f>
        <v>9.3074691058315378E-4</v>
      </c>
      <c r="AB24" s="2" t="s">
        <v>5</v>
      </c>
      <c r="AC24" t="s" vm="14">
        <v>6</v>
      </c>
      <c r="AD24" s="17" t="s">
        <v>335</v>
      </c>
      <c r="AE24" s="33">
        <f>MEDIAN(AE27:AE313)</f>
        <v>8.4150915455515887E-4</v>
      </c>
    </row>
    <row r="26" spans="1:38" s="37" customFormat="1" ht="44.25" customHeight="1" x14ac:dyDescent="0.3">
      <c r="A26" s="35" t="s">
        <v>3</v>
      </c>
      <c r="B26" s="36" t="s">
        <v>268</v>
      </c>
      <c r="C26" s="37" t="s">
        <v>352</v>
      </c>
      <c r="D26" s="37" t="s">
        <v>353</v>
      </c>
      <c r="E26" s="37" t="s">
        <v>354</v>
      </c>
      <c r="F26" s="40"/>
      <c r="G26" s="40"/>
      <c r="J26" s="35" t="s">
        <v>3</v>
      </c>
      <c r="K26" s="36" t="s">
        <v>268</v>
      </c>
      <c r="L26" s="37" t="s">
        <v>352</v>
      </c>
      <c r="M26" s="37" t="s">
        <v>353</v>
      </c>
      <c r="N26" s="37" t="s">
        <v>354</v>
      </c>
      <c r="O26" s="38" t="s">
        <v>117</v>
      </c>
      <c r="P26" s="40"/>
      <c r="Q26" s="40"/>
      <c r="R26" s="40"/>
      <c r="S26" s="35" t="s">
        <v>3</v>
      </c>
      <c r="T26" s="36" t="s">
        <v>268</v>
      </c>
      <c r="U26" s="37" t="s">
        <v>352</v>
      </c>
      <c r="V26" s="37" t="s">
        <v>353</v>
      </c>
      <c r="W26" s="37" t="s">
        <v>354</v>
      </c>
      <c r="X26" s="38" t="s">
        <v>117</v>
      </c>
      <c r="Y26" s="40"/>
      <c r="Z26" s="40"/>
      <c r="AA26" s="40"/>
      <c r="AB26" s="35" t="s">
        <v>3</v>
      </c>
      <c r="AC26" s="36" t="s">
        <v>268</v>
      </c>
      <c r="AD26" s="37" t="s">
        <v>352</v>
      </c>
      <c r="AE26" s="37" t="s">
        <v>353</v>
      </c>
      <c r="AF26" s="37" t="s">
        <v>354</v>
      </c>
      <c r="AG26" s="38" t="s">
        <v>117</v>
      </c>
      <c r="AH26" s="42" t="s">
        <v>355</v>
      </c>
      <c r="AI26" s="36"/>
      <c r="AJ26" s="36"/>
      <c r="AK26" s="36"/>
      <c r="AL26" s="36"/>
    </row>
    <row r="27" spans="1:38" x14ac:dyDescent="0.3">
      <c r="A27" s="3" t="s">
        <v>51</v>
      </c>
      <c r="B27" s="1">
        <v>58314</v>
      </c>
      <c r="C27" s="1">
        <v>33211394.578999996</v>
      </c>
      <c r="D27" s="8">
        <v>0.40081253000210648</v>
      </c>
      <c r="E27" s="1">
        <v>11142891.326808158</v>
      </c>
      <c r="F27" s="1"/>
      <c r="G27" s="1"/>
      <c r="I27" s="1"/>
      <c r="J27" s="3" t="s">
        <v>203</v>
      </c>
      <c r="K27" s="1">
        <v>2423</v>
      </c>
      <c r="L27" s="1">
        <v>12103475.579999998</v>
      </c>
      <c r="M27" s="8">
        <v>8.3572807186739345E-2</v>
      </c>
      <c r="N27" s="1">
        <v>5599943.9967184905</v>
      </c>
      <c r="O27" s="6">
        <f>IFERROR((N27/VLOOKUP(J27,A:E,5,0))-1,1)</f>
        <v>362.89306281337912</v>
      </c>
      <c r="P27" s="6"/>
      <c r="Q27" s="6"/>
      <c r="R27" s="41"/>
      <c r="S27" s="3" t="s">
        <v>51</v>
      </c>
      <c r="T27" s="1">
        <v>26424</v>
      </c>
      <c r="U27" s="1">
        <v>18664231.252000004</v>
      </c>
      <c r="V27" s="8">
        <v>0.11368477262593725</v>
      </c>
      <c r="W27" s="1">
        <v>8172665.4890044574</v>
      </c>
      <c r="X27" s="6">
        <f>IFERROR((W27/VLOOKUP(S27,J:N,5,0))-1,1)</f>
        <v>0.54527170090133104</v>
      </c>
      <c r="Y27" s="6"/>
      <c r="Z27" s="41"/>
      <c r="AA27" s="41"/>
      <c r="AB27" s="3" t="s">
        <v>51</v>
      </c>
      <c r="AC27" s="1">
        <v>23552</v>
      </c>
      <c r="AD27" s="1">
        <v>17523160.2936</v>
      </c>
      <c r="AE27" s="8">
        <v>0.1138777130997473</v>
      </c>
      <c r="AF27" s="1">
        <v>7659630.8412746582</v>
      </c>
      <c r="AG27" s="6">
        <f>IFERROR((AF27/VLOOKUP(AB27,S:W,5,0))-1,1)</f>
        <v>-6.2774458151999335E-2</v>
      </c>
      <c r="AH27" s="6">
        <f>IFERROR((AF27/VLOOKUP(AB27,A:E,5,0))-1,1)</f>
        <v>-0.3125993409944946</v>
      </c>
      <c r="AI27" s="6" t="str">
        <f>VLOOKUP(AB27,'ABC расчет'!AC:AC,1,0)</f>
        <v>ISO</v>
      </c>
      <c r="AJ27" s="6"/>
      <c r="AK27" s="6"/>
      <c r="AL27" s="6"/>
    </row>
    <row r="28" spans="1:38" x14ac:dyDescent="0.3">
      <c r="A28" s="3" t="s">
        <v>289</v>
      </c>
      <c r="B28" s="1">
        <v>31223</v>
      </c>
      <c r="C28" s="1">
        <v>10706840.400499998</v>
      </c>
      <c r="D28" s="8">
        <v>0.12921576596385093</v>
      </c>
      <c r="E28" s="1">
        <v>3246626.0585227618</v>
      </c>
      <c r="F28" s="1"/>
      <c r="G28" s="1"/>
      <c r="I28" s="1"/>
      <c r="J28" s="3" t="s">
        <v>51</v>
      </c>
      <c r="K28" s="1">
        <v>16128</v>
      </c>
      <c r="L28" s="1">
        <v>11415961.578</v>
      </c>
      <c r="M28" s="8">
        <v>7.8825619096214897E-2</v>
      </c>
      <c r="N28" s="1">
        <v>5288821.0430809539</v>
      </c>
      <c r="O28" s="6">
        <f t="shared" ref="O28:O90" si="0">IFERROR((N28/VLOOKUP(J28,A:E,5,0))-1,1)</f>
        <v>-0.52536367016729058</v>
      </c>
      <c r="P28" s="6"/>
      <c r="Q28" s="6"/>
      <c r="R28" s="41"/>
      <c r="S28" s="3" t="s">
        <v>203</v>
      </c>
      <c r="T28" s="1">
        <v>2329</v>
      </c>
      <c r="U28" s="1">
        <v>12088900.400000002</v>
      </c>
      <c r="V28" s="8">
        <v>7.3634101223661902E-2</v>
      </c>
      <c r="W28" s="1">
        <v>4709634.7162936684</v>
      </c>
      <c r="X28" s="6">
        <f t="shared" ref="X28:X90" si="1">IFERROR((W28/VLOOKUP(S28,J:N,5,0))-1,1)</f>
        <v>-0.15898539002292422</v>
      </c>
      <c r="Y28" s="6"/>
      <c r="Z28" s="41"/>
      <c r="AA28" s="41"/>
      <c r="AB28" s="3" t="s">
        <v>203</v>
      </c>
      <c r="AC28" s="1">
        <v>1074</v>
      </c>
      <c r="AD28" s="1">
        <v>5744080.1567000002</v>
      </c>
      <c r="AE28" s="8">
        <v>3.7329037750430206E-2</v>
      </c>
      <c r="AF28" s="1">
        <v>2375375.5103218034</v>
      </c>
      <c r="AG28" s="6">
        <f t="shared" ref="AG28:AG90" si="2">IFERROR((AF28/VLOOKUP(AB28,S:W,5,0))-1,1)</f>
        <v>-0.4956348733153666</v>
      </c>
      <c r="AH28" s="6">
        <f t="shared" ref="AH28:AH91" si="3">IFERROR((AF28/VLOOKUP(AB28,A:E,5,0))-1,1)</f>
        <v>153.35559182188499</v>
      </c>
      <c r="AI28" s="6" t="str">
        <f>VLOOKUP(AB28,'ABC расчет'!AC:AC,1,0)</f>
        <v>YAPPI</v>
      </c>
      <c r="AJ28" s="6"/>
      <c r="AK28" s="6"/>
      <c r="AL28" s="6"/>
    </row>
    <row r="29" spans="1:38" x14ac:dyDescent="0.3">
      <c r="A29" s="3" t="s">
        <v>226</v>
      </c>
      <c r="B29" s="1">
        <v>48</v>
      </c>
      <c r="C29" s="1">
        <v>4145853.5491999993</v>
      </c>
      <c r="D29" s="8">
        <v>5.0034335237574924E-2</v>
      </c>
      <c r="E29" s="1">
        <v>0</v>
      </c>
      <c r="F29" s="1"/>
      <c r="G29" s="1"/>
      <c r="I29" s="1"/>
      <c r="J29" s="3" t="s">
        <v>18</v>
      </c>
      <c r="K29" s="1">
        <v>2219</v>
      </c>
      <c r="L29" s="1">
        <v>7880495.9500000011</v>
      </c>
      <c r="M29" s="8">
        <v>5.441372308409536E-2</v>
      </c>
      <c r="N29" s="1">
        <v>4059483.8671715278</v>
      </c>
      <c r="O29" s="6">
        <f t="shared" si="0"/>
        <v>16.391494817029148</v>
      </c>
      <c r="P29" s="6"/>
      <c r="Q29" s="6"/>
      <c r="R29" s="41"/>
      <c r="S29" s="3" t="s">
        <v>174</v>
      </c>
      <c r="T29" s="1">
        <v>1172</v>
      </c>
      <c r="U29" s="1">
        <v>6188129.2999999989</v>
      </c>
      <c r="V29" s="8">
        <v>3.7692207246682909E-2</v>
      </c>
      <c r="W29" s="1">
        <v>2519842.1186260264</v>
      </c>
      <c r="X29" s="6">
        <f t="shared" si="1"/>
        <v>8.1451728985759697E-2</v>
      </c>
      <c r="Y29" s="6"/>
      <c r="Z29" s="41"/>
      <c r="AA29" s="41"/>
      <c r="AB29" s="3" t="s">
        <v>81</v>
      </c>
      <c r="AC29" s="1">
        <v>2800</v>
      </c>
      <c r="AD29" s="1">
        <v>5565556.7999999989</v>
      </c>
      <c r="AE29" s="8">
        <v>3.6168868508395041E-2</v>
      </c>
      <c r="AF29" s="1">
        <v>2595520.3159436677</v>
      </c>
      <c r="AG29" s="6">
        <f t="shared" si="2"/>
        <v>0.70671452268376234</v>
      </c>
      <c r="AH29" s="6">
        <f t="shared" si="3"/>
        <v>3.6151933777869951</v>
      </c>
      <c r="AI29" s="6" t="str">
        <f>VLOOKUP(AB29,'ABC расчет'!AC:AC,1,0)</f>
        <v>SAMBA</v>
      </c>
      <c r="AJ29" s="6"/>
      <c r="AK29" s="6"/>
      <c r="AL29" s="6"/>
    </row>
    <row r="30" spans="1:38" x14ac:dyDescent="0.3">
      <c r="A30" s="3" t="s">
        <v>43</v>
      </c>
      <c r="B30" s="1">
        <v>1001</v>
      </c>
      <c r="C30" s="1">
        <v>2748966.3221</v>
      </c>
      <c r="D30" s="8">
        <v>3.3175967477986665E-2</v>
      </c>
      <c r="E30" s="1">
        <v>595016.09369794803</v>
      </c>
      <c r="F30" s="1"/>
      <c r="G30" s="1"/>
      <c r="I30" s="1"/>
      <c r="J30" s="3" t="s">
        <v>7</v>
      </c>
      <c r="K30" s="1">
        <v>3029</v>
      </c>
      <c r="L30" s="1">
        <v>5214554.08</v>
      </c>
      <c r="M30" s="8">
        <v>3.6005767088321337E-2</v>
      </c>
      <c r="N30" s="1">
        <v>2134677.370026445</v>
      </c>
      <c r="O30" s="6">
        <f t="shared" si="0"/>
        <v>340.53111080555692</v>
      </c>
      <c r="P30" s="6"/>
      <c r="Q30" s="6"/>
      <c r="R30" s="41"/>
      <c r="S30" s="3" t="s">
        <v>7</v>
      </c>
      <c r="T30" s="1">
        <v>2859</v>
      </c>
      <c r="U30" s="1">
        <v>4988954.5999999996</v>
      </c>
      <c r="V30" s="8">
        <v>3.0387973749593764E-2</v>
      </c>
      <c r="W30" s="1">
        <v>1860334.8658762302</v>
      </c>
      <c r="X30" s="6">
        <f t="shared" si="1"/>
        <v>-0.12851708084899793</v>
      </c>
      <c r="Y30" s="6"/>
      <c r="Z30" s="41"/>
      <c r="AA30" s="41"/>
      <c r="AB30" s="3" t="s">
        <v>290</v>
      </c>
      <c r="AC30" s="1">
        <v>1159</v>
      </c>
      <c r="AD30" s="1">
        <v>4411634.6940000001</v>
      </c>
      <c r="AE30" s="8">
        <v>2.8669878125106844E-2</v>
      </c>
      <c r="AF30" s="1">
        <v>1678982.7959912946</v>
      </c>
      <c r="AG30" s="6">
        <f t="shared" si="2"/>
        <v>0.32117249277140947</v>
      </c>
      <c r="AH30" s="6">
        <f t="shared" si="3"/>
        <v>3.6819833193125957</v>
      </c>
      <c r="AI30" s="6" t="e">
        <f>VLOOKUP(AB30,'ABC расчет'!AC:AC,1,0)</f>
        <v>#N/A</v>
      </c>
      <c r="AJ30" s="6"/>
      <c r="AK30" s="6"/>
      <c r="AL30" s="6"/>
    </row>
    <row r="31" spans="1:38" x14ac:dyDescent="0.3">
      <c r="A31" s="3" t="s">
        <v>290</v>
      </c>
      <c r="B31" s="1">
        <v>906</v>
      </c>
      <c r="C31" s="1">
        <v>1734372.7220000001</v>
      </c>
      <c r="D31" s="8">
        <v>2.0931319731783197E-2</v>
      </c>
      <c r="E31" s="1">
        <v>358605.03583293437</v>
      </c>
      <c r="F31" s="1"/>
      <c r="G31" s="1"/>
      <c r="I31" s="1"/>
      <c r="J31" s="3" t="s">
        <v>174</v>
      </c>
      <c r="K31" s="1">
        <v>954</v>
      </c>
      <c r="L31" s="1">
        <v>4916371.1512999991</v>
      </c>
      <c r="M31" s="8">
        <v>3.3946855642438746E-2</v>
      </c>
      <c r="N31" s="1">
        <v>2330055.1019408535</v>
      </c>
      <c r="O31" s="6">
        <f t="shared" si="0"/>
        <v>19.720733623093711</v>
      </c>
      <c r="P31" s="6"/>
      <c r="Q31" s="6"/>
      <c r="R31" s="41"/>
      <c r="S31" s="3" t="s">
        <v>18</v>
      </c>
      <c r="T31" s="1">
        <v>1229</v>
      </c>
      <c r="U31" s="1">
        <v>4610369.7500000009</v>
      </c>
      <c r="V31" s="8">
        <v>2.8081994359884774E-2</v>
      </c>
      <c r="W31" s="1">
        <v>2259959.9508370552</v>
      </c>
      <c r="X31" s="6">
        <f t="shared" si="1"/>
        <v>-0.44328884538425395</v>
      </c>
      <c r="Y31" s="6"/>
      <c r="Z31" s="41"/>
      <c r="AA31" s="41"/>
      <c r="AB31" s="3" t="s">
        <v>7</v>
      </c>
      <c r="AC31" s="1">
        <v>2218</v>
      </c>
      <c r="AD31" s="1">
        <v>3916741.34</v>
      </c>
      <c r="AE31" s="8">
        <v>2.5453716060871937E-2</v>
      </c>
      <c r="AF31" s="1">
        <v>1483325.7389574558</v>
      </c>
      <c r="AG31" s="6">
        <f t="shared" si="2"/>
        <v>-0.20265659362418098</v>
      </c>
      <c r="AH31" s="6">
        <f t="shared" si="3"/>
        <v>236.32011892098595</v>
      </c>
      <c r="AI31" s="6" t="str">
        <f>VLOOKUP(AB31,'ABC расчет'!AC:AC,1,0)</f>
        <v>ALFA</v>
      </c>
      <c r="AJ31" s="6"/>
      <c r="AK31" s="6"/>
      <c r="AL31" s="6"/>
    </row>
    <row r="32" spans="1:38" x14ac:dyDescent="0.3">
      <c r="A32" s="3" t="s">
        <v>85</v>
      </c>
      <c r="B32" s="1">
        <v>308</v>
      </c>
      <c r="C32" s="1">
        <v>1434969.8679</v>
      </c>
      <c r="D32" s="8">
        <v>1.7317969044078171E-2</v>
      </c>
      <c r="E32" s="1">
        <v>478257.17285890842</v>
      </c>
      <c r="F32" s="1"/>
      <c r="G32" s="1"/>
      <c r="I32" s="1"/>
      <c r="J32" s="3" t="s">
        <v>81</v>
      </c>
      <c r="K32" s="1">
        <v>2213</v>
      </c>
      <c r="L32" s="1">
        <v>4340297.2</v>
      </c>
      <c r="M32" s="8">
        <v>2.9969145526110502E-2</v>
      </c>
      <c r="N32" s="1">
        <v>2065394.1804787468</v>
      </c>
      <c r="O32" s="6">
        <f t="shared" si="0"/>
        <v>2.6725559363613143</v>
      </c>
      <c r="P32" s="6"/>
      <c r="Q32" s="6"/>
      <c r="R32" s="41"/>
      <c r="S32" s="3" t="s">
        <v>153</v>
      </c>
      <c r="T32" s="1">
        <v>1840</v>
      </c>
      <c r="U32" s="1">
        <v>3661447.4033000013</v>
      </c>
      <c r="V32" s="8">
        <v>2.2302060551322455E-2</v>
      </c>
      <c r="W32" s="1">
        <v>1459692.057957686</v>
      </c>
      <c r="X32" s="6">
        <f t="shared" si="1"/>
        <v>0.11346983462331361</v>
      </c>
      <c r="Y32" s="6"/>
      <c r="Z32" s="41"/>
      <c r="AA32" s="41"/>
      <c r="AB32" s="3" t="s">
        <v>245</v>
      </c>
      <c r="AC32" s="1">
        <v>1434</v>
      </c>
      <c r="AD32" s="1">
        <v>3747192.1633000001</v>
      </c>
      <c r="AE32" s="8">
        <v>2.4351867297461791E-2</v>
      </c>
      <c r="AF32" s="1">
        <v>1416147.7199447942</v>
      </c>
      <c r="AG32" s="6">
        <f t="shared" si="2"/>
        <v>1.6538891766145438</v>
      </c>
      <c r="AH32" s="6">
        <f t="shared" si="3"/>
        <v>3.4165945163928617</v>
      </c>
      <c r="AI32" s="6" t="str">
        <f>VLOOKUP(AB32,'ABC расчет'!AC:AC,1,0)</f>
        <v>ULTRA</v>
      </c>
      <c r="AJ32" s="6"/>
      <c r="AK32" s="6"/>
      <c r="AL32" s="6"/>
    </row>
    <row r="33" spans="1:38" x14ac:dyDescent="0.3">
      <c r="A33" s="3" t="s">
        <v>60</v>
      </c>
      <c r="B33" s="1">
        <v>472</v>
      </c>
      <c r="C33" s="1">
        <v>1350660.3573</v>
      </c>
      <c r="D33" s="8">
        <v>1.6300477647670727E-2</v>
      </c>
      <c r="E33" s="1">
        <v>493733.76996430766</v>
      </c>
      <c r="F33" s="1"/>
      <c r="G33" s="1"/>
      <c r="I33" s="1"/>
      <c r="J33" s="3" t="s">
        <v>186</v>
      </c>
      <c r="K33" s="1">
        <v>874</v>
      </c>
      <c r="L33" s="1">
        <v>3239244.0466</v>
      </c>
      <c r="M33" s="8">
        <v>2.2366527395207513E-2</v>
      </c>
      <c r="N33" s="1">
        <v>1211909.4537732461</v>
      </c>
      <c r="O33" s="6">
        <f t="shared" si="0"/>
        <v>5.3486680054013149</v>
      </c>
      <c r="P33" s="6"/>
      <c r="Q33" s="6"/>
      <c r="R33" s="41"/>
      <c r="S33" s="3" t="s">
        <v>99</v>
      </c>
      <c r="T33" s="1">
        <v>5569</v>
      </c>
      <c r="U33" s="1">
        <v>3557262.6400000006</v>
      </c>
      <c r="V33" s="8">
        <v>2.1667465910539783E-2</v>
      </c>
      <c r="W33" s="1">
        <v>1613369.3800269449</v>
      </c>
      <c r="X33" s="6">
        <f t="shared" si="1"/>
        <v>1.0753751107761333E-2</v>
      </c>
      <c r="Y33" s="6"/>
      <c r="Z33" s="41"/>
      <c r="AA33" s="41"/>
      <c r="AB33" s="3" t="s">
        <v>288</v>
      </c>
      <c r="AC33" s="1">
        <v>56743.043000000005</v>
      </c>
      <c r="AD33" s="1">
        <v>3512418.5493999999</v>
      </c>
      <c r="AE33" s="8">
        <v>2.2826144665291401E-2</v>
      </c>
      <c r="AF33" s="1">
        <v>1246293.4142945667</v>
      </c>
      <c r="AG33" s="6">
        <f t="shared" si="2"/>
        <v>1.9732043848014285</v>
      </c>
      <c r="AH33" s="6">
        <f t="shared" si="3"/>
        <v>153.17207567745825</v>
      </c>
      <c r="AI33" s="6" t="e">
        <f>VLOOKUP(AB33,'ABC расчет'!AC:AC,1,0)</f>
        <v>#N/A</v>
      </c>
      <c r="AJ33" s="6"/>
      <c r="AK33" s="6"/>
      <c r="AL33" s="6"/>
    </row>
    <row r="34" spans="1:38" x14ac:dyDescent="0.3">
      <c r="A34" s="3" t="s">
        <v>81</v>
      </c>
      <c r="B34" s="1">
        <v>785</v>
      </c>
      <c r="C34" s="1">
        <v>1160120.8865999999</v>
      </c>
      <c r="D34" s="8">
        <v>1.40009473724555E-2</v>
      </c>
      <c r="E34" s="1">
        <v>562386.0374813223</v>
      </c>
      <c r="F34" s="1"/>
      <c r="G34" s="1"/>
      <c r="I34" s="1"/>
      <c r="J34" s="3" t="s">
        <v>99</v>
      </c>
      <c r="K34" s="1">
        <v>4694</v>
      </c>
      <c r="L34" s="1">
        <v>3162364.3000000003</v>
      </c>
      <c r="M34" s="8">
        <v>2.1835683490355584E-2</v>
      </c>
      <c r="N34" s="1">
        <v>1596204.1973712505</v>
      </c>
      <c r="O34" s="6">
        <f t="shared" si="0"/>
        <v>183.35749884347854</v>
      </c>
      <c r="P34" s="6"/>
      <c r="Q34" s="6"/>
      <c r="R34" s="41"/>
      <c r="S34" s="3" t="s">
        <v>81</v>
      </c>
      <c r="T34" s="1">
        <v>1850</v>
      </c>
      <c r="U34" s="1">
        <v>3479076.149999999</v>
      </c>
      <c r="V34" s="8">
        <v>2.1191228061894513E-2</v>
      </c>
      <c r="W34" s="1">
        <v>1520770.0417655569</v>
      </c>
      <c r="X34" s="6">
        <f t="shared" si="1"/>
        <v>-0.26369016813388568</v>
      </c>
      <c r="Y34" s="6"/>
      <c r="Z34" s="41"/>
      <c r="AA34" s="41"/>
      <c r="AB34" s="3" t="s">
        <v>174</v>
      </c>
      <c r="AC34" s="1">
        <v>614</v>
      </c>
      <c r="AD34" s="1">
        <v>3500784.5649999999</v>
      </c>
      <c r="AE34" s="8">
        <v>2.2750538923204229E-2</v>
      </c>
      <c r="AF34" s="1">
        <v>1566355.7328283417</v>
      </c>
      <c r="AG34" s="6">
        <f t="shared" si="2"/>
        <v>-0.37839132013460608</v>
      </c>
      <c r="AH34" s="6">
        <f t="shared" si="3"/>
        <v>12.929301445234954</v>
      </c>
      <c r="AI34" s="6" t="str">
        <f>VLOOKUP(AB34,'ABC расчет'!AC:AC,1,0)</f>
        <v>MORFEO</v>
      </c>
      <c r="AJ34" s="6"/>
      <c r="AK34" s="6"/>
      <c r="AL34" s="6"/>
    </row>
    <row r="35" spans="1:38" x14ac:dyDescent="0.3">
      <c r="A35" s="3" t="s">
        <v>222</v>
      </c>
      <c r="B35" s="1">
        <v>1660</v>
      </c>
      <c r="C35" s="1">
        <v>1138792.8881999999</v>
      </c>
      <c r="D35" s="8">
        <v>1.3743549900685669E-2</v>
      </c>
      <c r="E35" s="1">
        <v>454721.84893917758</v>
      </c>
      <c r="F35" s="1"/>
      <c r="G35" s="1"/>
      <c r="I35" s="1"/>
      <c r="J35" s="3" t="s">
        <v>177</v>
      </c>
      <c r="K35" s="1">
        <v>1574</v>
      </c>
      <c r="L35" s="1">
        <v>2846342.7199999997</v>
      </c>
      <c r="M35" s="8">
        <v>1.9653598650540609E-2</v>
      </c>
      <c r="N35" s="1">
        <v>1179630.1918656267</v>
      </c>
      <c r="O35" s="6">
        <f t="shared" si="0"/>
        <v>4.9579971081456335</v>
      </c>
      <c r="P35" s="6"/>
      <c r="Q35" s="6"/>
      <c r="R35" s="41"/>
      <c r="S35" s="3" t="s">
        <v>186</v>
      </c>
      <c r="T35" s="1">
        <v>766</v>
      </c>
      <c r="U35" s="1">
        <v>3015084.87</v>
      </c>
      <c r="V35" s="8">
        <v>1.8365033805350192E-2</v>
      </c>
      <c r="W35" s="1">
        <v>996852.6349227305</v>
      </c>
      <c r="X35" s="6">
        <f t="shared" si="1"/>
        <v>-0.17745287668228205</v>
      </c>
      <c r="Y35" s="6"/>
      <c r="Z35" s="41"/>
      <c r="AA35" s="41"/>
      <c r="AB35" s="3" t="s">
        <v>153</v>
      </c>
      <c r="AC35" s="1">
        <v>1568</v>
      </c>
      <c r="AD35" s="1">
        <v>3420547.9700000007</v>
      </c>
      <c r="AE35" s="8">
        <v>2.2229105586270836E-2</v>
      </c>
      <c r="AF35" s="1">
        <v>1479995.7252838691</v>
      </c>
      <c r="AG35" s="6">
        <f t="shared" si="2"/>
        <v>1.3909555248653449E-2</v>
      </c>
      <c r="AH35" s="6">
        <f t="shared" si="3"/>
        <v>3.3797278243452604</v>
      </c>
      <c r="AI35" s="6" t="str">
        <f>VLOOKUP(AB35,'ABC расчет'!AC:AC,1,0)</f>
        <v>FLY</v>
      </c>
      <c r="AJ35" s="6"/>
      <c r="AK35" s="6"/>
      <c r="AL35" s="6"/>
    </row>
    <row r="36" spans="1:38" x14ac:dyDescent="0.3">
      <c r="A36" s="3" t="s">
        <v>245</v>
      </c>
      <c r="B36" s="1">
        <v>550</v>
      </c>
      <c r="C36" s="1">
        <v>1096549.0989999999</v>
      </c>
      <c r="D36" s="8">
        <v>1.3233729694676196E-2</v>
      </c>
      <c r="E36" s="1">
        <v>320642.45759680826</v>
      </c>
      <c r="F36" s="1"/>
      <c r="G36" s="1"/>
      <c r="I36" s="1"/>
      <c r="J36" s="3" t="s">
        <v>153</v>
      </c>
      <c r="K36" s="1">
        <v>1369</v>
      </c>
      <c r="L36" s="1">
        <v>2767314.17</v>
      </c>
      <c r="M36" s="8">
        <v>1.9107917558548224E-2</v>
      </c>
      <c r="N36" s="1">
        <v>1310939.9218268893</v>
      </c>
      <c r="O36" s="6">
        <f t="shared" si="0"/>
        <v>2.8794436724261305</v>
      </c>
      <c r="P36" s="6"/>
      <c r="Q36" s="6"/>
      <c r="R36" s="41"/>
      <c r="S36" s="3" t="s">
        <v>14</v>
      </c>
      <c r="T36" s="1">
        <v>1545</v>
      </c>
      <c r="U36" s="1">
        <v>3011351.5799999991</v>
      </c>
      <c r="V36" s="8">
        <v>1.8342294147923831E-2</v>
      </c>
      <c r="W36" s="1">
        <v>1265452.5397461457</v>
      </c>
      <c r="X36" s="6">
        <f t="shared" si="1"/>
        <v>0.78812080192225542</v>
      </c>
      <c r="Y36" s="6"/>
      <c r="Z36" s="41"/>
      <c r="AA36" s="41"/>
      <c r="AB36" s="3" t="s">
        <v>289</v>
      </c>
      <c r="AC36" s="1">
        <v>38727</v>
      </c>
      <c r="AD36" s="1">
        <v>3186363.149999999</v>
      </c>
      <c r="AE36" s="8">
        <v>2.0707209347381995E-2</v>
      </c>
      <c r="AF36" s="1">
        <v>1282434.389039621</v>
      </c>
      <c r="AG36" s="6">
        <f t="shared" si="2"/>
        <v>0.23932561547406594</v>
      </c>
      <c r="AH36" s="6">
        <f t="shared" si="3"/>
        <v>-0.60499473424939554</v>
      </c>
      <c r="AI36" s="6" t="e">
        <f>VLOOKUP(AB36,'ABC расчет'!AC:AC,1,0)</f>
        <v>#N/A</v>
      </c>
      <c r="AJ36" s="6"/>
      <c r="AK36" s="6"/>
      <c r="AL36" s="6"/>
    </row>
    <row r="37" spans="1:38" x14ac:dyDescent="0.3">
      <c r="A37" s="3" t="s">
        <v>76</v>
      </c>
      <c r="B37" s="1">
        <v>783</v>
      </c>
      <c r="C37" s="1">
        <v>916268.18090000004</v>
      </c>
      <c r="D37" s="8">
        <v>1.1058005013110018E-2</v>
      </c>
      <c r="E37" s="1">
        <v>327904.70501482149</v>
      </c>
      <c r="F37" s="1"/>
      <c r="G37" s="1"/>
      <c r="I37" s="1"/>
      <c r="J37" s="3" t="s">
        <v>289</v>
      </c>
      <c r="K37" s="1">
        <v>26808.7</v>
      </c>
      <c r="L37" s="1">
        <v>2358594.8999999994</v>
      </c>
      <c r="M37" s="8">
        <v>1.6285768125565692E-2</v>
      </c>
      <c r="N37" s="1">
        <v>853617.75457656337</v>
      </c>
      <c r="O37" s="6">
        <f t="shared" si="0"/>
        <v>-0.73707543178995927</v>
      </c>
      <c r="P37" s="6"/>
      <c r="Q37" s="6"/>
      <c r="R37" s="41"/>
      <c r="S37" s="3" t="s">
        <v>177</v>
      </c>
      <c r="T37" s="1">
        <v>1537</v>
      </c>
      <c r="U37" s="1">
        <v>2920717.6199999996</v>
      </c>
      <c r="V37" s="8">
        <v>1.7790238132561073E-2</v>
      </c>
      <c r="W37" s="1">
        <v>994112.91516924859</v>
      </c>
      <c r="X37" s="6">
        <f t="shared" si="1"/>
        <v>-0.15726731816093653</v>
      </c>
      <c r="Y37" s="6"/>
      <c r="Z37" s="41"/>
      <c r="AA37" s="41"/>
      <c r="AB37" s="3" t="s">
        <v>18</v>
      </c>
      <c r="AC37" s="1">
        <v>821</v>
      </c>
      <c r="AD37" s="1">
        <v>3134898.65</v>
      </c>
      <c r="AE37" s="8">
        <v>2.0372757144261858E-2</v>
      </c>
      <c r="AF37" s="1">
        <v>1516602.3165505463</v>
      </c>
      <c r="AG37" s="6">
        <f t="shared" si="2"/>
        <v>-0.32892513604552165</v>
      </c>
      <c r="AH37" s="6">
        <f t="shared" si="3"/>
        <v>5.4973731121540013</v>
      </c>
      <c r="AI37" s="6" t="str">
        <f>VLOOKUP(AB37,'ABC расчет'!AC:AC,1,0)</f>
        <v>BOSS</v>
      </c>
      <c r="AJ37" s="6"/>
      <c r="AK37" s="6"/>
      <c r="AL37" s="6"/>
    </row>
    <row r="38" spans="1:38" x14ac:dyDescent="0.3">
      <c r="A38" s="3" t="s">
        <v>40</v>
      </c>
      <c r="B38" s="1">
        <v>591</v>
      </c>
      <c r="C38" s="1">
        <v>898312.90839999984</v>
      </c>
      <c r="D38" s="8">
        <v>1.0841311366582061E-2</v>
      </c>
      <c r="E38" s="1">
        <v>464475.82549014181</v>
      </c>
      <c r="F38" s="1"/>
      <c r="G38" s="1"/>
      <c r="I38" s="1"/>
      <c r="J38" s="3" t="s">
        <v>291</v>
      </c>
      <c r="K38" s="1">
        <v>655</v>
      </c>
      <c r="L38" s="1">
        <v>2246460.6</v>
      </c>
      <c r="M38" s="8">
        <v>1.5511496456987671E-2</v>
      </c>
      <c r="N38" s="1">
        <v>742850.49184136756</v>
      </c>
      <c r="O38" s="6">
        <f t="shared" si="0"/>
        <v>54.012208842051443</v>
      </c>
      <c r="P38" s="6"/>
      <c r="Q38" s="6"/>
      <c r="R38" s="41"/>
      <c r="S38" s="3" t="s">
        <v>289</v>
      </c>
      <c r="T38" s="1">
        <v>30309</v>
      </c>
      <c r="U38" s="1">
        <v>2722002.8499999987</v>
      </c>
      <c r="V38" s="8">
        <v>1.657985645973194E-2</v>
      </c>
      <c r="W38" s="1">
        <v>1034784.0575772051</v>
      </c>
      <c r="X38" s="6">
        <f t="shared" si="1"/>
        <v>0.21223352259174733</v>
      </c>
      <c r="Y38" s="6"/>
      <c r="Z38" s="41"/>
      <c r="AA38" s="41"/>
      <c r="AB38" s="3" t="s">
        <v>177</v>
      </c>
      <c r="AC38" s="1">
        <v>1535</v>
      </c>
      <c r="AD38" s="1">
        <v>2986525.1</v>
      </c>
      <c r="AE38" s="8">
        <v>1.9408522367235816E-2</v>
      </c>
      <c r="AF38" s="1">
        <v>1112020.9847705706</v>
      </c>
      <c r="AG38" s="6">
        <f t="shared" si="2"/>
        <v>0.11860631503942187</v>
      </c>
      <c r="AH38" s="6">
        <f t="shared" si="3"/>
        <v>4.6165210564693906</v>
      </c>
      <c r="AI38" s="6" t="str">
        <f>VLOOKUP(AB38,'ABC расчет'!AC:AC,1,0)</f>
        <v>NICOLE</v>
      </c>
      <c r="AJ38" s="6"/>
      <c r="AK38" s="6"/>
      <c r="AL38" s="6"/>
    </row>
    <row r="39" spans="1:38" x14ac:dyDescent="0.3">
      <c r="A39" s="3" t="s">
        <v>153</v>
      </c>
      <c r="B39" s="1">
        <v>431</v>
      </c>
      <c r="C39" s="1">
        <v>796455.75419999997</v>
      </c>
      <c r="D39" s="8">
        <v>9.6120458030236056E-3</v>
      </c>
      <c r="E39" s="1">
        <v>337919.56592761981</v>
      </c>
      <c r="F39" s="1"/>
      <c r="G39" s="1"/>
      <c r="I39" s="1"/>
      <c r="J39" s="3" t="s">
        <v>267</v>
      </c>
      <c r="K39" s="1">
        <v>1493</v>
      </c>
      <c r="L39" s="1">
        <v>2135207.5499999998</v>
      </c>
      <c r="M39" s="8">
        <v>1.4743309696488032E-2</v>
      </c>
      <c r="N39" s="1">
        <v>866297.51731142518</v>
      </c>
      <c r="O39" s="6">
        <f t="shared" si="0"/>
        <v>1</v>
      </c>
      <c r="P39" s="6"/>
      <c r="Q39" s="6"/>
      <c r="R39" s="41"/>
      <c r="S39" s="3" t="s">
        <v>11</v>
      </c>
      <c r="T39" s="1">
        <v>474</v>
      </c>
      <c r="U39" s="1">
        <v>2363565.4999999991</v>
      </c>
      <c r="V39" s="8">
        <v>1.4396596507301436E-2</v>
      </c>
      <c r="W39" s="1">
        <v>997420.85055435135</v>
      </c>
      <c r="X39" s="6">
        <f t="shared" si="1"/>
        <v>0.59856693974537922</v>
      </c>
      <c r="Y39" s="6"/>
      <c r="Z39" s="41"/>
      <c r="AA39" s="41"/>
      <c r="AB39" s="3" t="s">
        <v>99</v>
      </c>
      <c r="AC39" s="1">
        <v>4245</v>
      </c>
      <c r="AD39" s="1">
        <v>2859336.35</v>
      </c>
      <c r="AE39" s="8">
        <v>1.858196119109309E-2</v>
      </c>
      <c r="AF39" s="1">
        <v>1313437.6401255678</v>
      </c>
      <c r="AG39" s="6">
        <f t="shared" si="2"/>
        <v>-0.18590394959421375</v>
      </c>
      <c r="AH39" s="6">
        <f t="shared" si="3"/>
        <v>150.69868530555701</v>
      </c>
      <c r="AI39" s="6" t="str">
        <f>VLOOKUP(AB39,'ABC расчет'!AC:AC,1,0)</f>
        <v>VISITOR</v>
      </c>
      <c r="AJ39" s="6"/>
      <c r="AK39" s="6"/>
      <c r="AL39" s="6"/>
    </row>
    <row r="40" spans="1:38" x14ac:dyDescent="0.3">
      <c r="A40" s="3" t="s">
        <v>11</v>
      </c>
      <c r="B40" s="1">
        <v>175</v>
      </c>
      <c r="C40" s="1">
        <v>725708.4791</v>
      </c>
      <c r="D40" s="8">
        <v>8.7582305783682653E-3</v>
      </c>
      <c r="E40" s="1">
        <v>400858.71507511334</v>
      </c>
      <c r="F40" s="1"/>
      <c r="G40" s="1"/>
      <c r="I40" s="1"/>
      <c r="J40" s="3" t="s">
        <v>242</v>
      </c>
      <c r="K40" s="1">
        <v>982</v>
      </c>
      <c r="L40" s="1">
        <v>1919498.7</v>
      </c>
      <c r="M40" s="8">
        <v>1.3253870236692529E-2</v>
      </c>
      <c r="N40" s="1">
        <v>852024.49575224333</v>
      </c>
      <c r="O40" s="6">
        <f t="shared" si="0"/>
        <v>1</v>
      </c>
      <c r="P40" s="6"/>
      <c r="Q40" s="6"/>
      <c r="R40" s="41"/>
      <c r="S40" s="3" t="s">
        <v>198</v>
      </c>
      <c r="T40" s="1">
        <v>999</v>
      </c>
      <c r="U40" s="1">
        <v>2273770.25</v>
      </c>
      <c r="V40" s="8">
        <v>1.3849649116792375E-2</v>
      </c>
      <c r="W40" s="1">
        <v>960884.8730602049</v>
      </c>
      <c r="X40" s="6">
        <f t="shared" si="1"/>
        <v>0.13828373813102579</v>
      </c>
      <c r="Y40" s="6"/>
      <c r="Z40" s="41"/>
      <c r="AA40" s="41"/>
      <c r="AB40" s="3" t="s">
        <v>188</v>
      </c>
      <c r="AC40" s="1">
        <v>1717</v>
      </c>
      <c r="AD40" s="1">
        <v>2809770.41</v>
      </c>
      <c r="AE40" s="8">
        <v>1.8259847154568479E-2</v>
      </c>
      <c r="AF40" s="1">
        <v>857147.60134478286</v>
      </c>
      <c r="AG40" s="6">
        <f t="shared" si="2"/>
        <v>0.12556673660081996</v>
      </c>
      <c r="AH40" s="6">
        <f t="shared" si="3"/>
        <v>1</v>
      </c>
      <c r="AI40" s="6" t="str">
        <f>VLOOKUP(AB40,'ABC расчет'!AC:AC,1,0)</f>
        <v>STANDART</v>
      </c>
      <c r="AJ40" s="6"/>
      <c r="AK40" s="6"/>
      <c r="AL40" s="6"/>
    </row>
    <row r="41" spans="1:38" x14ac:dyDescent="0.3">
      <c r="A41" s="3" t="s">
        <v>23</v>
      </c>
      <c r="B41" s="1">
        <v>1884</v>
      </c>
      <c r="C41" s="1">
        <v>706545.8996</v>
      </c>
      <c r="D41" s="8">
        <v>8.5269665177010266E-3</v>
      </c>
      <c r="E41" s="1">
        <v>377722.8229605743</v>
      </c>
      <c r="F41" s="1"/>
      <c r="G41" s="1"/>
      <c r="I41" s="1"/>
      <c r="J41" s="3" t="s">
        <v>31</v>
      </c>
      <c r="K41" s="1">
        <v>737</v>
      </c>
      <c r="L41" s="1">
        <v>1850810.89</v>
      </c>
      <c r="M41" s="8">
        <v>1.2779590509083132E-2</v>
      </c>
      <c r="N41" s="1">
        <v>818359.36139637779</v>
      </c>
      <c r="O41" s="6">
        <f t="shared" si="0"/>
        <v>2.6896443597108282</v>
      </c>
      <c r="P41" s="6"/>
      <c r="Q41" s="6"/>
      <c r="R41" s="41"/>
      <c r="S41" s="3" t="s">
        <v>290</v>
      </c>
      <c r="T41" s="1">
        <v>419</v>
      </c>
      <c r="U41" s="1">
        <v>2193925.4900000002</v>
      </c>
      <c r="V41" s="8">
        <v>1.336331066205426E-2</v>
      </c>
      <c r="W41" s="1">
        <v>1270827.8481255011</v>
      </c>
      <c r="X41" s="6">
        <f t="shared" si="1"/>
        <v>0.635741834060495</v>
      </c>
      <c r="Y41" s="6"/>
      <c r="Z41" s="41"/>
      <c r="AA41" s="41"/>
      <c r="AB41" s="3" t="s">
        <v>14</v>
      </c>
      <c r="AC41" s="1">
        <v>1393</v>
      </c>
      <c r="AD41" s="1">
        <v>2729452.9170000004</v>
      </c>
      <c r="AE41" s="8">
        <v>1.7737888086027317E-2</v>
      </c>
      <c r="AF41" s="1">
        <v>1189745.6737485328</v>
      </c>
      <c r="AG41" s="6">
        <f t="shared" si="2"/>
        <v>-5.9825922837690948E-2</v>
      </c>
      <c r="AH41" s="6">
        <f t="shared" si="3"/>
        <v>19.879922987261725</v>
      </c>
      <c r="AI41" s="6" t="str">
        <f>VLOOKUP(AB41,'ABC расчет'!AC:AC,1,0)</f>
        <v>BETTA</v>
      </c>
      <c r="AJ41" s="6"/>
      <c r="AK41" s="6"/>
      <c r="AL41" s="6"/>
    </row>
    <row r="42" spans="1:38" x14ac:dyDescent="0.3">
      <c r="A42" s="3" t="s">
        <v>68</v>
      </c>
      <c r="B42" s="1">
        <v>150</v>
      </c>
      <c r="C42" s="1">
        <v>650116.30729999999</v>
      </c>
      <c r="D42" s="8">
        <v>7.8459445990655512E-3</v>
      </c>
      <c r="E42" s="1">
        <v>280707.98109766049</v>
      </c>
      <c r="F42" s="1"/>
      <c r="G42" s="1"/>
      <c r="I42" s="1"/>
      <c r="J42" s="3" t="s">
        <v>32</v>
      </c>
      <c r="K42" s="1">
        <v>2069</v>
      </c>
      <c r="L42" s="1">
        <v>1826940.35</v>
      </c>
      <c r="M42" s="8">
        <v>1.2614767766749534E-2</v>
      </c>
      <c r="N42" s="1">
        <v>876174.87367564999</v>
      </c>
      <c r="O42" s="6">
        <f t="shared" si="0"/>
        <v>18.128245400559294</v>
      </c>
      <c r="P42" s="6"/>
      <c r="Q42" s="6"/>
      <c r="R42" s="41"/>
      <c r="S42" s="3" t="s">
        <v>269</v>
      </c>
      <c r="T42" s="1">
        <v>398</v>
      </c>
      <c r="U42" s="1">
        <v>2071137.28</v>
      </c>
      <c r="V42" s="8">
        <v>1.2615401490413449E-2</v>
      </c>
      <c r="W42" s="1">
        <v>671147.88637318613</v>
      </c>
      <c r="X42" s="6">
        <f t="shared" si="1"/>
        <v>88.564179988388332</v>
      </c>
      <c r="Y42" s="6"/>
      <c r="Z42" s="41"/>
      <c r="AA42" s="41"/>
      <c r="AB42" s="3" t="s">
        <v>32</v>
      </c>
      <c r="AC42" s="1">
        <v>3105</v>
      </c>
      <c r="AD42" s="1">
        <v>2568570.75</v>
      </c>
      <c r="AE42" s="8">
        <v>1.6692363594467251E-2</v>
      </c>
      <c r="AF42" s="1">
        <v>1217757.3936785941</v>
      </c>
      <c r="AG42" s="6">
        <f t="shared" si="2"/>
        <v>0.27031867292736833</v>
      </c>
      <c r="AH42" s="6">
        <f t="shared" si="3"/>
        <v>25.585517303081957</v>
      </c>
      <c r="AI42" s="6" t="str">
        <f>VLOOKUP(AB42,'ABC расчет'!AC:AC,1,0)</f>
        <v>ERA</v>
      </c>
      <c r="AJ42" s="6"/>
      <c r="AK42" s="6"/>
      <c r="AL42" s="6"/>
    </row>
    <row r="43" spans="1:38" x14ac:dyDescent="0.3">
      <c r="A43" s="3" t="s">
        <v>91</v>
      </c>
      <c r="B43" s="1">
        <v>359</v>
      </c>
      <c r="C43" s="1">
        <v>603712.92960000003</v>
      </c>
      <c r="D43" s="8">
        <v>7.2859242972279177E-3</v>
      </c>
      <c r="E43" s="1">
        <v>288008.45770645514</v>
      </c>
      <c r="F43" s="1"/>
      <c r="G43" s="1"/>
      <c r="I43" s="1"/>
      <c r="J43" s="3" t="s">
        <v>290</v>
      </c>
      <c r="K43" s="1">
        <v>372</v>
      </c>
      <c r="L43" s="1">
        <v>1823129.24</v>
      </c>
      <c r="M43" s="8">
        <v>1.2588452584875348E-2</v>
      </c>
      <c r="N43" s="1">
        <v>776912.23741025978</v>
      </c>
      <c r="O43" s="6">
        <f t="shared" si="0"/>
        <v>1.1664844600012949</v>
      </c>
      <c r="P43" s="6"/>
      <c r="Q43" s="6"/>
      <c r="R43" s="41"/>
      <c r="S43" s="3" t="s">
        <v>32</v>
      </c>
      <c r="T43" s="1">
        <v>2112</v>
      </c>
      <c r="U43" s="1">
        <v>2027871.56</v>
      </c>
      <c r="V43" s="8">
        <v>1.2351867810708832E-2</v>
      </c>
      <c r="W43" s="1">
        <v>958623.54827261565</v>
      </c>
      <c r="X43" s="6">
        <f t="shared" si="1"/>
        <v>9.4100706461809791E-2</v>
      </c>
      <c r="Y43" s="6"/>
      <c r="Z43" s="41"/>
      <c r="AA43" s="41"/>
      <c r="AB43" s="3" t="s">
        <v>89</v>
      </c>
      <c r="AC43" s="1">
        <v>2082</v>
      </c>
      <c r="AD43" s="1">
        <v>2351483.9733000007</v>
      </c>
      <c r="AE43" s="8">
        <v>1.5281582362053346E-2</v>
      </c>
      <c r="AF43" s="1">
        <v>1067778.9111692153</v>
      </c>
      <c r="AG43" s="6">
        <f t="shared" si="2"/>
        <v>0.37667309783766378</v>
      </c>
      <c r="AH43" s="6">
        <f t="shared" si="3"/>
        <v>5.14989656030163</v>
      </c>
      <c r="AI43" s="6" t="str">
        <f>VLOOKUP(AB43,'ABC расчет'!AC:AC,1,0)</f>
        <v>SYLWIA</v>
      </c>
      <c r="AJ43" s="6"/>
      <c r="AK43" s="6"/>
      <c r="AL43" s="6"/>
    </row>
    <row r="44" spans="1:38" x14ac:dyDescent="0.3">
      <c r="A44" s="3" t="s">
        <v>336</v>
      </c>
      <c r="B44" s="1">
        <v>93</v>
      </c>
      <c r="C44" s="1">
        <v>582867.73059999989</v>
      </c>
      <c r="D44" s="8">
        <v>7.0343535018578722E-3</v>
      </c>
      <c r="E44" s="1">
        <v>232010.1792164552</v>
      </c>
      <c r="F44" s="1"/>
      <c r="G44" s="1"/>
      <c r="I44" s="1"/>
      <c r="J44" s="3" t="s">
        <v>198</v>
      </c>
      <c r="K44" s="1">
        <v>744</v>
      </c>
      <c r="L44" s="1">
        <v>1808074.96</v>
      </c>
      <c r="M44" s="8">
        <v>1.2484504885600097E-2</v>
      </c>
      <c r="N44" s="1">
        <v>844152.3329129729</v>
      </c>
      <c r="O44" s="6">
        <f t="shared" si="0"/>
        <v>9.3488320435531929</v>
      </c>
      <c r="P44" s="6"/>
      <c r="Q44" s="6"/>
      <c r="R44" s="41"/>
      <c r="S44" s="3" t="s">
        <v>82</v>
      </c>
      <c r="T44" s="1">
        <v>717</v>
      </c>
      <c r="U44" s="1">
        <v>1963688.2899999996</v>
      </c>
      <c r="V44" s="8">
        <v>1.1960924280390256E-2</v>
      </c>
      <c r="W44" s="1">
        <v>813674.84725037217</v>
      </c>
      <c r="X44" s="6">
        <f t="shared" si="1"/>
        <v>0.41814442795649431</v>
      </c>
      <c r="Y44" s="6"/>
      <c r="Z44" s="41"/>
      <c r="AA44" s="41"/>
      <c r="AB44" s="3" t="s">
        <v>186</v>
      </c>
      <c r="AC44" s="1">
        <v>560</v>
      </c>
      <c r="AD44" s="1">
        <v>2235986.65</v>
      </c>
      <c r="AE44" s="8">
        <v>1.4531000228113159E-2</v>
      </c>
      <c r="AF44" s="1">
        <v>822153.66137991566</v>
      </c>
      <c r="AG44" s="6">
        <f t="shared" si="2"/>
        <v>-0.17525055100682596</v>
      </c>
      <c r="AH44" s="6">
        <f t="shared" si="3"/>
        <v>3.3069064518600788</v>
      </c>
      <c r="AI44" s="6" t="str">
        <f>VLOOKUP(AB44,'ABC расчет'!AC:AC,1,0)</f>
        <v>SLIM</v>
      </c>
      <c r="AJ44" s="6"/>
      <c r="AK44" s="6"/>
      <c r="AL44" s="6"/>
    </row>
    <row r="45" spans="1:38" x14ac:dyDescent="0.3">
      <c r="A45" s="3" t="s">
        <v>18</v>
      </c>
      <c r="B45" s="1">
        <v>173</v>
      </c>
      <c r="C45" s="1">
        <v>541713.01650000003</v>
      </c>
      <c r="D45" s="8">
        <v>6.5376768254028425E-3</v>
      </c>
      <c r="E45" s="1">
        <v>233417.76597585055</v>
      </c>
      <c r="F45" s="1"/>
      <c r="G45" s="1"/>
      <c r="I45" s="1"/>
      <c r="J45" s="3" t="s">
        <v>460</v>
      </c>
      <c r="K45" s="1">
        <v>924</v>
      </c>
      <c r="L45" s="1">
        <v>1650953</v>
      </c>
      <c r="M45" s="8">
        <v>1.1399599712611548E-2</v>
      </c>
      <c r="N45" s="1">
        <v>772882.2048014818</v>
      </c>
      <c r="O45" s="6">
        <f t="shared" si="0"/>
        <v>1</v>
      </c>
      <c r="P45" s="6"/>
      <c r="Q45" s="6"/>
      <c r="R45" s="41"/>
      <c r="S45" s="3" t="s">
        <v>460</v>
      </c>
      <c r="T45" s="1">
        <v>1020</v>
      </c>
      <c r="U45" s="1">
        <v>1876095</v>
      </c>
      <c r="V45" s="8">
        <v>1.1427389139148333E-2</v>
      </c>
      <c r="W45" s="1">
        <v>744130.75242178096</v>
      </c>
      <c r="X45" s="6">
        <f t="shared" si="1"/>
        <v>-3.7200303230019105E-2</v>
      </c>
      <c r="Y45" s="6"/>
      <c r="Z45" s="41"/>
      <c r="AA45" s="41"/>
      <c r="AB45" s="3" t="s">
        <v>198</v>
      </c>
      <c r="AC45" s="1">
        <v>947</v>
      </c>
      <c r="AD45" s="1">
        <v>2134168.4</v>
      </c>
      <c r="AE45" s="8">
        <v>1.3869314249810881E-2</v>
      </c>
      <c r="AF45" s="1">
        <v>868272.03655471012</v>
      </c>
      <c r="AG45" s="6">
        <f t="shared" si="2"/>
        <v>-9.6382864484632291E-2</v>
      </c>
      <c r="AH45" s="6">
        <f t="shared" si="3"/>
        <v>9.6445260222303215</v>
      </c>
      <c r="AI45" s="6" t="str">
        <f>VLOOKUP(AB45,'ABC расчет'!AC:AC,1,0)</f>
        <v>WEBSTAR</v>
      </c>
      <c r="AJ45" s="6"/>
      <c r="AK45" s="6"/>
      <c r="AL45" s="6"/>
    </row>
    <row r="46" spans="1:38" x14ac:dyDescent="0.3">
      <c r="A46" s="3" t="s">
        <v>186</v>
      </c>
      <c r="B46" s="1">
        <v>181</v>
      </c>
      <c r="C46" s="1">
        <v>525021.34080000001</v>
      </c>
      <c r="D46" s="8">
        <v>6.3362329278460082E-3</v>
      </c>
      <c r="E46" s="1">
        <v>190891.92453317432</v>
      </c>
      <c r="F46" s="1"/>
      <c r="G46" s="1"/>
      <c r="I46" s="1"/>
      <c r="J46" s="3" t="s">
        <v>14</v>
      </c>
      <c r="K46" s="1">
        <v>865</v>
      </c>
      <c r="L46" s="1">
        <v>1645151.4599999997</v>
      </c>
      <c r="M46" s="8">
        <v>1.135954088978818E-2</v>
      </c>
      <c r="N46" s="1">
        <v>707699.69142228318</v>
      </c>
      <c r="O46" s="6">
        <f t="shared" si="0"/>
        <v>11.420062019178562</v>
      </c>
      <c r="P46" s="6"/>
      <c r="Q46" s="6"/>
      <c r="R46" s="41"/>
      <c r="S46" s="3" t="s">
        <v>242</v>
      </c>
      <c r="T46" s="1">
        <v>917</v>
      </c>
      <c r="U46" s="1">
        <v>1846021.05</v>
      </c>
      <c r="V46" s="8">
        <v>1.1244207194949724E-2</v>
      </c>
      <c r="W46" s="1">
        <v>623496.05267476093</v>
      </c>
      <c r="X46" s="6">
        <f t="shared" si="1"/>
        <v>-0.26821816064773707</v>
      </c>
      <c r="Y46" s="6"/>
      <c r="Z46" s="41"/>
      <c r="AA46" s="41"/>
      <c r="AB46" s="3" t="s">
        <v>11</v>
      </c>
      <c r="AC46" s="1">
        <v>350</v>
      </c>
      <c r="AD46" s="1">
        <v>2130112.2949999999</v>
      </c>
      <c r="AE46" s="8">
        <v>1.3842954851520086E-2</v>
      </c>
      <c r="AF46" s="1">
        <v>1036381.0308559657</v>
      </c>
      <c r="AG46" s="6">
        <f t="shared" si="2"/>
        <v>3.90609242627733E-2</v>
      </c>
      <c r="AH46" s="6">
        <f t="shared" si="3"/>
        <v>1.5854022673843264</v>
      </c>
      <c r="AI46" s="6" t="str">
        <f>VLOOKUP(AB46,'ABC расчет'!AC:AC,1,0)</f>
        <v>ATLANT</v>
      </c>
      <c r="AJ46" s="6"/>
      <c r="AK46" s="6"/>
      <c r="AL46" s="6"/>
    </row>
    <row r="47" spans="1:38" x14ac:dyDescent="0.3">
      <c r="A47" s="3" t="s">
        <v>170</v>
      </c>
      <c r="B47" s="1">
        <v>225</v>
      </c>
      <c r="C47" s="1">
        <v>520646.34129999997</v>
      </c>
      <c r="D47" s="8">
        <v>6.2834331390812879E-3</v>
      </c>
      <c r="E47" s="1">
        <v>138982.02505669635</v>
      </c>
      <c r="F47" s="1"/>
      <c r="G47" s="1"/>
      <c r="I47" s="1"/>
      <c r="J47" s="3" t="s">
        <v>89</v>
      </c>
      <c r="K47" s="1">
        <v>1395</v>
      </c>
      <c r="L47" s="1">
        <v>1584040.0100000002</v>
      </c>
      <c r="M47" s="8">
        <v>1.0937574869036973E-2</v>
      </c>
      <c r="N47" s="1">
        <v>759921.56428153079</v>
      </c>
      <c r="O47" s="6">
        <f t="shared" si="0"/>
        <v>3.3767852739820601</v>
      </c>
      <c r="P47" s="6"/>
      <c r="Q47" s="6"/>
      <c r="R47" s="41"/>
      <c r="S47" s="3" t="s">
        <v>188</v>
      </c>
      <c r="T47" s="1">
        <v>1261</v>
      </c>
      <c r="U47" s="1">
        <v>1817241.8500000013</v>
      </c>
      <c r="V47" s="8">
        <v>1.1068911638214397E-2</v>
      </c>
      <c r="W47" s="1">
        <v>761525.34849541192</v>
      </c>
      <c r="X47" s="6">
        <f t="shared" si="1"/>
        <v>1.2916710699934266</v>
      </c>
      <c r="Y47" s="6"/>
      <c r="Z47" s="41"/>
      <c r="AA47" s="41"/>
      <c r="AB47" s="3" t="s">
        <v>54</v>
      </c>
      <c r="AC47" s="1">
        <v>3796</v>
      </c>
      <c r="AD47" s="1">
        <v>2126404.5499999998</v>
      </c>
      <c r="AE47" s="8">
        <v>1.3818859339393129E-2</v>
      </c>
      <c r="AF47" s="1">
        <v>663921.90259101498</v>
      </c>
      <c r="AG47" s="6">
        <f t="shared" si="2"/>
        <v>0.16885927878048834</v>
      </c>
      <c r="AH47" s="6">
        <f t="shared" si="3"/>
        <v>3.9003726664241318</v>
      </c>
      <c r="AI47" s="6" t="str">
        <f>VLOOKUP(AB47,'ABC расчет'!AC:AC,1,0)</f>
        <v>JACK</v>
      </c>
      <c r="AJ47" s="6"/>
      <c r="AK47" s="6"/>
      <c r="AL47" s="6"/>
    </row>
    <row r="48" spans="1:38" x14ac:dyDescent="0.3">
      <c r="A48" s="3" t="s">
        <v>31</v>
      </c>
      <c r="B48" s="1">
        <v>257</v>
      </c>
      <c r="C48" s="1">
        <v>519969.62660000002</v>
      </c>
      <c r="D48" s="8">
        <v>6.2752661911275849E-3</v>
      </c>
      <c r="E48" s="1">
        <v>221798.98158545443</v>
      </c>
      <c r="F48" s="1"/>
      <c r="G48" s="1"/>
      <c r="I48" s="1"/>
      <c r="J48" s="3" t="s">
        <v>173</v>
      </c>
      <c r="K48" s="1">
        <v>882</v>
      </c>
      <c r="L48" s="1">
        <v>1483791.5700000017</v>
      </c>
      <c r="M48" s="8">
        <v>1.0245373402481753E-2</v>
      </c>
      <c r="N48" s="1">
        <v>695507.7527194646</v>
      </c>
      <c r="O48" s="6">
        <f t="shared" si="0"/>
        <v>81.712017005736342</v>
      </c>
      <c r="P48" s="6"/>
      <c r="Q48" s="6"/>
      <c r="R48" s="41"/>
      <c r="S48" s="3" t="s">
        <v>31</v>
      </c>
      <c r="T48" s="1">
        <v>670</v>
      </c>
      <c r="U48" s="1">
        <v>1812266.1600000001</v>
      </c>
      <c r="V48" s="8">
        <v>1.10386044598115E-2</v>
      </c>
      <c r="W48" s="1">
        <v>689501.82775773935</v>
      </c>
      <c r="X48" s="6">
        <f t="shared" si="1"/>
        <v>-0.1574583730780168</v>
      </c>
      <c r="Y48" s="6"/>
      <c r="Z48" s="41"/>
      <c r="AA48" s="41"/>
      <c r="AB48" s="3" t="s">
        <v>267</v>
      </c>
      <c r="AC48" s="1">
        <v>1094</v>
      </c>
      <c r="AD48" s="1">
        <v>1709898.1</v>
      </c>
      <c r="AE48" s="8">
        <v>1.1112110030330575E-2</v>
      </c>
      <c r="AF48" s="1">
        <v>494394.39189078315</v>
      </c>
      <c r="AG48" s="6">
        <f t="shared" si="2"/>
        <v>0.14946915346563072</v>
      </c>
      <c r="AH48" s="6">
        <f t="shared" si="3"/>
        <v>1</v>
      </c>
      <c r="AI48" s="6" t="str">
        <f>VLOOKUP(AB48,'ABC расчет'!AC:AC,1,0)</f>
        <v>FORM</v>
      </c>
      <c r="AJ48" s="6"/>
      <c r="AK48" s="6"/>
      <c r="AL48" s="6"/>
    </row>
    <row r="49" spans="1:38" x14ac:dyDescent="0.3">
      <c r="A49" s="3" t="s">
        <v>164</v>
      </c>
      <c r="B49" s="1">
        <v>162</v>
      </c>
      <c r="C49" s="1">
        <v>467913.75909999997</v>
      </c>
      <c r="D49" s="8">
        <v>5.6470286775086162E-3</v>
      </c>
      <c r="E49" s="1">
        <v>108065.56703941</v>
      </c>
      <c r="F49" s="1"/>
      <c r="G49" s="1"/>
      <c r="I49" s="1"/>
      <c r="J49" s="3" t="s">
        <v>11</v>
      </c>
      <c r="K49" s="1">
        <v>278</v>
      </c>
      <c r="L49" s="1">
        <v>1453913.7999999998</v>
      </c>
      <c r="M49" s="8">
        <v>1.0039071576623903E-2</v>
      </c>
      <c r="N49" s="1">
        <v>623946.8775159464</v>
      </c>
      <c r="O49" s="6">
        <f t="shared" si="0"/>
        <v>0.55652566365940315</v>
      </c>
      <c r="P49" s="6"/>
      <c r="Q49" s="6"/>
      <c r="R49" s="41"/>
      <c r="S49" s="3" t="s">
        <v>54</v>
      </c>
      <c r="T49" s="1">
        <v>3233</v>
      </c>
      <c r="U49" s="1">
        <v>1771134.2</v>
      </c>
      <c r="V49" s="8">
        <v>1.0788067619738963E-2</v>
      </c>
      <c r="W49" s="1">
        <v>568008.4118284178</v>
      </c>
      <c r="X49" s="6">
        <f t="shared" si="1"/>
        <v>0.23933922676299946</v>
      </c>
      <c r="Y49" s="6"/>
      <c r="Z49" s="41"/>
      <c r="AA49" s="41"/>
      <c r="AB49" s="3" t="s">
        <v>76</v>
      </c>
      <c r="AC49" s="1">
        <v>935</v>
      </c>
      <c r="AD49" s="1">
        <v>1581229.5000000005</v>
      </c>
      <c r="AE49" s="8">
        <v>1.0275931757105644E-2</v>
      </c>
      <c r="AF49" s="1">
        <v>739746.66917685955</v>
      </c>
      <c r="AG49" s="6">
        <f t="shared" si="2"/>
        <v>0.94398602930033215</v>
      </c>
      <c r="AH49" s="6">
        <f t="shared" si="3"/>
        <v>1.2559806488394929</v>
      </c>
      <c r="AI49" s="6" t="str">
        <f>VLOOKUP(AB49,'ABC расчет'!AC:AC,1,0)</f>
        <v>PRESTIGE</v>
      </c>
      <c r="AJ49" s="6"/>
      <c r="AK49" s="6"/>
      <c r="AL49" s="6"/>
    </row>
    <row r="50" spans="1:38" x14ac:dyDescent="0.3">
      <c r="A50" s="3" t="s">
        <v>177</v>
      </c>
      <c r="B50" s="1">
        <v>342</v>
      </c>
      <c r="C50" s="1">
        <v>449754.67320000002</v>
      </c>
      <c r="D50" s="8">
        <v>5.4278753039641407E-3</v>
      </c>
      <c r="E50" s="1">
        <v>197991.06485850154</v>
      </c>
      <c r="F50" s="1"/>
      <c r="G50" s="1"/>
      <c r="I50" s="1"/>
      <c r="J50" s="3" t="s">
        <v>280</v>
      </c>
      <c r="K50" s="1">
        <v>416</v>
      </c>
      <c r="L50" s="1">
        <v>1448990.2000000002</v>
      </c>
      <c r="M50" s="8">
        <v>1.0005074806791563E-2</v>
      </c>
      <c r="N50" s="1">
        <v>667798.81315506843</v>
      </c>
      <c r="O50" s="6">
        <f t="shared" si="0"/>
        <v>25.944527539104708</v>
      </c>
      <c r="P50" s="6"/>
      <c r="Q50" s="6"/>
      <c r="R50" s="41"/>
      <c r="S50" s="3" t="s">
        <v>61</v>
      </c>
      <c r="T50" s="1">
        <v>2571</v>
      </c>
      <c r="U50" s="1">
        <v>1749246.83</v>
      </c>
      <c r="V50" s="8">
        <v>1.0654750546657633E-2</v>
      </c>
      <c r="W50" s="1">
        <v>790631.69796843268</v>
      </c>
      <c r="X50" s="6">
        <f t="shared" si="1"/>
        <v>0.25810830995403911</v>
      </c>
      <c r="Y50" s="6"/>
      <c r="Z50" s="41"/>
      <c r="AA50" s="41"/>
      <c r="AB50" s="3" t="s">
        <v>82</v>
      </c>
      <c r="AC50" s="1">
        <v>550</v>
      </c>
      <c r="AD50" s="1">
        <v>1559975.19</v>
      </c>
      <c r="AE50" s="8">
        <v>1.0137806431778503E-2</v>
      </c>
      <c r="AF50" s="1">
        <v>666581.75921106641</v>
      </c>
      <c r="AG50" s="6">
        <f t="shared" si="2"/>
        <v>-0.18077625053345714</v>
      </c>
      <c r="AH50" s="6">
        <f t="shared" si="3"/>
        <v>281.54510511361116</v>
      </c>
      <c r="AI50" s="6" t="str">
        <f>VLOOKUP(AB50,'ABC расчет'!AC:AC,1,0)</f>
        <v>SAMBA GTP</v>
      </c>
      <c r="AJ50" s="6"/>
      <c r="AK50" s="6"/>
      <c r="AL50" s="6"/>
    </row>
    <row r="51" spans="1:38" x14ac:dyDescent="0.3">
      <c r="A51" s="3" t="s">
        <v>279</v>
      </c>
      <c r="B51" s="1">
        <v>804</v>
      </c>
      <c r="C51" s="1">
        <v>441726.86259999999</v>
      </c>
      <c r="D51" s="8">
        <v>5.3309914748521196E-3</v>
      </c>
      <c r="E51" s="1">
        <v>132097.12961438345</v>
      </c>
      <c r="F51" s="1"/>
      <c r="G51" s="1"/>
      <c r="I51" s="1"/>
      <c r="J51" s="3" t="s">
        <v>91</v>
      </c>
      <c r="K51" s="1">
        <v>662</v>
      </c>
      <c r="L51" s="1">
        <v>1439290.2500000002</v>
      </c>
      <c r="M51" s="8">
        <v>9.938098007795864E-3</v>
      </c>
      <c r="N51" s="1">
        <v>682750.65359239676</v>
      </c>
      <c r="O51" s="6">
        <f t="shared" si="0"/>
        <v>1.3705923743679498</v>
      </c>
      <c r="P51" s="6"/>
      <c r="Q51" s="6"/>
      <c r="R51" s="41"/>
      <c r="S51" s="3" t="s">
        <v>89</v>
      </c>
      <c r="T51" s="1">
        <v>1361</v>
      </c>
      <c r="U51" s="1">
        <v>1590186.1500000001</v>
      </c>
      <c r="V51" s="8">
        <v>9.6859039332944791E-3</v>
      </c>
      <c r="W51" s="1">
        <v>775622.70436341956</v>
      </c>
      <c r="X51" s="6">
        <f t="shared" si="1"/>
        <v>2.0661527215290132E-2</v>
      </c>
      <c r="Y51" s="6"/>
      <c r="Z51" s="41"/>
      <c r="AA51" s="41"/>
      <c r="AB51" s="3" t="s">
        <v>460</v>
      </c>
      <c r="AC51" s="1">
        <v>779</v>
      </c>
      <c r="AD51" s="1">
        <v>1509247.75</v>
      </c>
      <c r="AE51" s="8">
        <v>9.8081441584319268E-3</v>
      </c>
      <c r="AF51" s="1">
        <v>594836.65061034425</v>
      </c>
      <c r="AG51" s="6">
        <f t="shared" si="2"/>
        <v>-0.20062885632069039</v>
      </c>
      <c r="AH51" s="6">
        <f t="shared" si="3"/>
        <v>1</v>
      </c>
      <c r="AI51" s="6" t="e">
        <f>VLOOKUP(AB51,'ABC расчет'!AC:AC,1,0)</f>
        <v>#N/A</v>
      </c>
      <c r="AJ51" s="6"/>
      <c r="AK51" s="6"/>
      <c r="AL51" s="6"/>
    </row>
    <row r="52" spans="1:38" x14ac:dyDescent="0.3">
      <c r="A52" s="3" t="s">
        <v>175</v>
      </c>
      <c r="B52" s="1">
        <v>71</v>
      </c>
      <c r="C52" s="1">
        <v>427449.98600000003</v>
      </c>
      <c r="D52" s="8">
        <v>5.1586906394577459E-3</v>
      </c>
      <c r="E52" s="1">
        <v>160292.53119635713</v>
      </c>
      <c r="F52" s="1"/>
      <c r="G52" s="1"/>
      <c r="I52" s="1"/>
      <c r="J52" s="3" t="s">
        <v>54</v>
      </c>
      <c r="K52" s="1">
        <v>2566</v>
      </c>
      <c r="L52" s="1">
        <v>1393994.3</v>
      </c>
      <c r="M52" s="8">
        <v>9.6253358040247882E-3</v>
      </c>
      <c r="N52" s="1">
        <v>458315.52779297193</v>
      </c>
      <c r="O52" s="6">
        <f t="shared" si="0"/>
        <v>2.3828028209786969</v>
      </c>
      <c r="P52" s="6"/>
      <c r="Q52" s="6"/>
      <c r="R52" s="41"/>
      <c r="S52" s="3" t="s">
        <v>267</v>
      </c>
      <c r="T52" s="1">
        <v>1048</v>
      </c>
      <c r="U52" s="1">
        <v>1543284.2</v>
      </c>
      <c r="V52" s="8">
        <v>9.4002217935121746E-3</v>
      </c>
      <c r="W52" s="1">
        <v>430106.70656119141</v>
      </c>
      <c r="X52" s="6">
        <f t="shared" si="1"/>
        <v>-0.50351155582664286</v>
      </c>
      <c r="Y52" s="6"/>
      <c r="Z52" s="41"/>
      <c r="AA52" s="41"/>
      <c r="AB52" s="3" t="s">
        <v>31</v>
      </c>
      <c r="AC52" s="1">
        <v>509</v>
      </c>
      <c r="AD52" s="1">
        <v>1469124.9166999999</v>
      </c>
      <c r="AE52" s="8">
        <v>9.5473980131743751E-3</v>
      </c>
      <c r="AF52" s="1">
        <v>624653.36914011952</v>
      </c>
      <c r="AG52" s="6">
        <f t="shared" si="2"/>
        <v>-9.4051177251417983E-2</v>
      </c>
      <c r="AH52" s="6">
        <f t="shared" si="3"/>
        <v>1.8163040455596224</v>
      </c>
      <c r="AI52" s="6" t="str">
        <f>VLOOKUP(AB52,'ABC расчет'!AC:AC,1,0)</f>
        <v>DIPLOMAT</v>
      </c>
      <c r="AJ52" s="6"/>
      <c r="AK52" s="6"/>
      <c r="AL52" s="6"/>
    </row>
    <row r="53" spans="1:38" x14ac:dyDescent="0.3">
      <c r="A53" s="3" t="s">
        <v>263</v>
      </c>
      <c r="B53" s="1">
        <v>115</v>
      </c>
      <c r="C53" s="1">
        <v>422296.67830000003</v>
      </c>
      <c r="D53" s="8">
        <v>5.096497819092943E-3</v>
      </c>
      <c r="E53" s="1">
        <v>80857.872855243026</v>
      </c>
      <c r="F53" s="1"/>
      <c r="G53" s="1"/>
      <c r="I53" s="1"/>
      <c r="J53" s="3" t="s">
        <v>164</v>
      </c>
      <c r="K53" s="1">
        <v>341</v>
      </c>
      <c r="L53" s="1">
        <v>1352925.05</v>
      </c>
      <c r="M53" s="8">
        <v>9.3417583729912147E-3</v>
      </c>
      <c r="N53" s="1">
        <v>541662.72452854703</v>
      </c>
      <c r="O53" s="6">
        <f t="shared" si="0"/>
        <v>4.012352587119727</v>
      </c>
      <c r="P53" s="6"/>
      <c r="Q53" s="6"/>
      <c r="R53" s="41"/>
      <c r="S53" s="3" t="s">
        <v>288</v>
      </c>
      <c r="T53" s="1">
        <v>33253.7624</v>
      </c>
      <c r="U53" s="1">
        <v>1531461.872</v>
      </c>
      <c r="V53" s="8">
        <v>9.3282113982034887E-3</v>
      </c>
      <c r="W53" s="1">
        <v>419175.15683261817</v>
      </c>
      <c r="X53" s="6">
        <f t="shared" si="1"/>
        <v>4.9255084051783582E-2</v>
      </c>
      <c r="Y53" s="6"/>
      <c r="Z53" s="41"/>
      <c r="AA53" s="41"/>
      <c r="AB53" s="3" t="s">
        <v>74</v>
      </c>
      <c r="AC53" s="1">
        <v>205</v>
      </c>
      <c r="AD53" s="1">
        <v>1463084.9</v>
      </c>
      <c r="AE53" s="8">
        <v>9.5081457734324665E-3</v>
      </c>
      <c r="AF53" s="1">
        <v>580004.6999113739</v>
      </c>
      <c r="AG53" s="6">
        <f t="shared" si="2"/>
        <v>0.43373734126687036</v>
      </c>
      <c r="AH53" s="6">
        <f t="shared" si="3"/>
        <v>5.3551636845199138</v>
      </c>
      <c r="AI53" s="6" t="str">
        <f>VLOOKUP(AB53,'ABC расчет'!AC:AC,1,0)</f>
        <v>ORION</v>
      </c>
      <c r="AJ53" s="6"/>
      <c r="AK53" s="6"/>
      <c r="AL53" s="6"/>
    </row>
    <row r="54" spans="1:38" x14ac:dyDescent="0.3">
      <c r="A54" s="3" t="s">
        <v>61</v>
      </c>
      <c r="B54" s="1">
        <v>575</v>
      </c>
      <c r="C54" s="1">
        <v>387600.86700000003</v>
      </c>
      <c r="D54" s="8">
        <v>4.6777705694874133E-3</v>
      </c>
      <c r="E54" s="1">
        <v>191890.02234814444</v>
      </c>
      <c r="F54" s="1"/>
      <c r="G54" s="1"/>
      <c r="I54" s="1"/>
      <c r="J54" s="3" t="s">
        <v>61</v>
      </c>
      <c r="K54" s="1">
        <v>1935</v>
      </c>
      <c r="L54" s="1">
        <v>1332860.52</v>
      </c>
      <c r="M54" s="8">
        <v>9.2032155977446236E-3</v>
      </c>
      <c r="N54" s="1">
        <v>628428.96093525994</v>
      </c>
      <c r="O54" s="6">
        <f t="shared" si="0"/>
        <v>2.2749433933313457</v>
      </c>
      <c r="P54" s="6"/>
      <c r="Q54" s="6"/>
      <c r="R54" s="41"/>
      <c r="S54" s="3" t="s">
        <v>96</v>
      </c>
      <c r="T54" s="1">
        <v>1967</v>
      </c>
      <c r="U54" s="1">
        <v>1309786.2</v>
      </c>
      <c r="V54" s="8">
        <v>7.9779737148099467E-3</v>
      </c>
      <c r="W54" s="1">
        <v>472510.6994610728</v>
      </c>
      <c r="X54" s="6">
        <f t="shared" si="1"/>
        <v>0.56150296726671889</v>
      </c>
      <c r="Y54" s="6"/>
      <c r="Z54" s="41"/>
      <c r="AA54" s="41"/>
      <c r="AB54" s="3" t="s">
        <v>242</v>
      </c>
      <c r="AC54" s="1">
        <v>685</v>
      </c>
      <c r="AD54" s="1">
        <v>1421396.612</v>
      </c>
      <c r="AE54" s="8">
        <v>9.2372262120667282E-3</v>
      </c>
      <c r="AF54" s="1">
        <v>493451.07610771747</v>
      </c>
      <c r="AG54" s="6">
        <f t="shared" si="2"/>
        <v>-0.20857385705836995</v>
      </c>
      <c r="AH54" s="6">
        <f t="shared" si="3"/>
        <v>1</v>
      </c>
      <c r="AI54" s="6" t="str">
        <f>VLOOKUP(AB54,'ABC расчет'!AC:AC,1,0)</f>
        <v>LIRA</v>
      </c>
      <c r="AJ54" s="6"/>
      <c r="AK54" s="6"/>
      <c r="AL54" s="6"/>
    </row>
    <row r="55" spans="1:38" x14ac:dyDescent="0.3">
      <c r="A55" s="3" t="s">
        <v>78</v>
      </c>
      <c r="B55" s="1">
        <v>272</v>
      </c>
      <c r="C55" s="1">
        <v>371245.9878</v>
      </c>
      <c r="D55" s="8">
        <v>4.4803913087509252E-3</v>
      </c>
      <c r="E55" s="1">
        <v>132658.14654239724</v>
      </c>
      <c r="F55" s="1"/>
      <c r="G55" s="1"/>
      <c r="I55" s="1"/>
      <c r="J55" s="3" t="s">
        <v>196</v>
      </c>
      <c r="K55" s="1">
        <v>148</v>
      </c>
      <c r="L55" s="1">
        <v>1313993</v>
      </c>
      <c r="M55" s="8">
        <v>9.0729380092428955E-3</v>
      </c>
      <c r="N55" s="1">
        <v>557800.47821000463</v>
      </c>
      <c r="O55" s="6">
        <f t="shared" si="0"/>
        <v>25.027653206364455</v>
      </c>
      <c r="P55" s="6"/>
      <c r="Q55" s="6"/>
      <c r="R55" s="41"/>
      <c r="S55" s="3" t="s">
        <v>245</v>
      </c>
      <c r="T55" s="1">
        <v>485</v>
      </c>
      <c r="U55" s="1">
        <v>1293251.7549999999</v>
      </c>
      <c r="V55" s="8">
        <v>7.8772615775168746E-3</v>
      </c>
      <c r="W55" s="1">
        <v>533612.22933631123</v>
      </c>
      <c r="X55" s="6">
        <f t="shared" si="1"/>
        <v>0.23820450897790746</v>
      </c>
      <c r="Y55" s="6"/>
      <c r="Z55" s="41"/>
      <c r="AA55" s="41"/>
      <c r="AB55" s="3" t="s">
        <v>96</v>
      </c>
      <c r="AC55" s="1">
        <v>2014</v>
      </c>
      <c r="AD55" s="1">
        <v>1417765.84</v>
      </c>
      <c r="AE55" s="8">
        <v>9.2136309241609496E-3</v>
      </c>
      <c r="AF55" s="1">
        <v>482507.75747814577</v>
      </c>
      <c r="AG55" s="6">
        <f t="shared" si="2"/>
        <v>2.115731565121215E-2</v>
      </c>
      <c r="AH55" s="6">
        <f t="shared" si="3"/>
        <v>3.325665742772653</v>
      </c>
      <c r="AI55" s="6" t="str">
        <f>VLOOKUP(AB55,'ABC расчет'!AC:AC,1,0)</f>
        <v>VENUS</v>
      </c>
      <c r="AJ55" s="6"/>
      <c r="AK55" s="6"/>
      <c r="AL55" s="6"/>
    </row>
    <row r="56" spans="1:38" x14ac:dyDescent="0.3">
      <c r="A56" s="3" t="s">
        <v>10</v>
      </c>
      <c r="B56" s="1">
        <v>641</v>
      </c>
      <c r="C56" s="1">
        <v>365196.63</v>
      </c>
      <c r="D56" s="8">
        <v>4.4073844857782114E-3</v>
      </c>
      <c r="E56" s="1">
        <v>171383.39568734891</v>
      </c>
      <c r="F56" s="1"/>
      <c r="G56" s="1"/>
      <c r="I56" s="1"/>
      <c r="J56" s="3" t="s">
        <v>92</v>
      </c>
      <c r="K56" s="1">
        <v>3580</v>
      </c>
      <c r="L56" s="1">
        <v>1304067.68</v>
      </c>
      <c r="M56" s="8">
        <v>9.0044050618969824E-3</v>
      </c>
      <c r="N56" s="1">
        <v>620170.08879746799</v>
      </c>
      <c r="O56" s="6">
        <f t="shared" si="0"/>
        <v>10.747895930208779</v>
      </c>
      <c r="P56" s="6"/>
      <c r="Q56" s="6"/>
      <c r="R56" s="41"/>
      <c r="S56" s="3" t="s">
        <v>148</v>
      </c>
      <c r="T56" s="1">
        <v>230</v>
      </c>
      <c r="U56" s="1">
        <v>1274219.4000000001</v>
      </c>
      <c r="V56" s="8">
        <v>7.7613345446004107E-3</v>
      </c>
      <c r="W56" s="1">
        <v>462135.55893411732</v>
      </c>
      <c r="X56" s="6">
        <f t="shared" si="1"/>
        <v>4.8953885844629452E-2</v>
      </c>
      <c r="Y56" s="6"/>
      <c r="Z56" s="41"/>
      <c r="AA56" s="41"/>
      <c r="AB56" s="3" t="s">
        <v>106</v>
      </c>
      <c r="AC56" s="1">
        <v>873</v>
      </c>
      <c r="AD56" s="1">
        <v>1392798.6000999999</v>
      </c>
      <c r="AE56" s="8">
        <v>9.0513763916116353E-3</v>
      </c>
      <c r="AF56" s="1">
        <v>621386.0104383924</v>
      </c>
      <c r="AG56" s="6">
        <f t="shared" si="2"/>
        <v>1.5721441015506468</v>
      </c>
      <c r="AH56" s="6">
        <f t="shared" si="3"/>
        <v>2.4686153539215145</v>
      </c>
      <c r="AI56" s="6" t="str">
        <f>VLOOKUP(AB56,'ABC расчет'!AC:AC,1,0)</f>
        <v>VENEZIA</v>
      </c>
      <c r="AJ56" s="6"/>
      <c r="AK56" s="6"/>
      <c r="AL56" s="6"/>
    </row>
    <row r="57" spans="1:38" x14ac:dyDescent="0.3">
      <c r="A57" s="3" t="s">
        <v>83</v>
      </c>
      <c r="B57" s="1">
        <v>670</v>
      </c>
      <c r="C57" s="1">
        <v>362662.18589999998</v>
      </c>
      <c r="D57" s="8">
        <v>4.3767974849988995E-3</v>
      </c>
      <c r="E57" s="1">
        <v>174152.02590125141</v>
      </c>
      <c r="F57" s="1"/>
      <c r="G57" s="1"/>
      <c r="I57" s="1"/>
      <c r="J57" s="3" t="s">
        <v>82</v>
      </c>
      <c r="K57" s="1">
        <v>461</v>
      </c>
      <c r="L57" s="1">
        <v>1280554.69</v>
      </c>
      <c r="M57" s="8">
        <v>8.8420511523389037E-3</v>
      </c>
      <c r="N57" s="1">
        <v>573760.21173164598</v>
      </c>
      <c r="O57" s="6">
        <f t="shared" si="0"/>
        <v>242.20068332742093</v>
      </c>
      <c r="P57" s="6"/>
      <c r="Q57" s="6"/>
      <c r="R57" s="41"/>
      <c r="S57" s="3" t="s">
        <v>228</v>
      </c>
      <c r="T57" s="1">
        <v>503</v>
      </c>
      <c r="U57" s="1">
        <v>1238670.46</v>
      </c>
      <c r="V57" s="8">
        <v>7.5448041605504354E-3</v>
      </c>
      <c r="W57" s="1">
        <v>436602.89937687782</v>
      </c>
      <c r="X57" s="6">
        <f t="shared" si="1"/>
        <v>1.8709918431746932</v>
      </c>
      <c r="Y57" s="6"/>
      <c r="Z57" s="41"/>
      <c r="AA57" s="41"/>
      <c r="AB57" s="3" t="s">
        <v>92</v>
      </c>
      <c r="AC57" s="1">
        <v>3336</v>
      </c>
      <c r="AD57" s="1">
        <v>1386535.1500000004</v>
      </c>
      <c r="AE57" s="8">
        <v>9.0106721258541144E-3</v>
      </c>
      <c r="AF57" s="1">
        <v>640505.29133003391</v>
      </c>
      <c r="AG57" s="6">
        <f t="shared" si="2"/>
        <v>0.29267709640370265</v>
      </c>
      <c r="AH57" s="6">
        <f t="shared" si="3"/>
        <v>11.13310612881015</v>
      </c>
      <c r="AI57" s="6" t="str">
        <f>VLOOKUP(AB57,'ABC расчет'!AC:AC,1,0)</f>
        <v>TEDDY</v>
      </c>
      <c r="AJ57" s="6"/>
      <c r="AK57" s="6"/>
      <c r="AL57" s="6"/>
    </row>
    <row r="58" spans="1:38" x14ac:dyDescent="0.3">
      <c r="A58" s="3" t="s">
        <v>50</v>
      </c>
      <c r="B58" s="1">
        <v>369</v>
      </c>
      <c r="C58" s="1">
        <v>353411.92629999999</v>
      </c>
      <c r="D58" s="8">
        <v>4.2651605001492281E-3</v>
      </c>
      <c r="E58" s="1">
        <v>154429.86962334171</v>
      </c>
      <c r="F58" s="1"/>
      <c r="G58" s="1"/>
      <c r="I58" s="1"/>
      <c r="J58" s="3" t="s">
        <v>150</v>
      </c>
      <c r="K58" s="1">
        <v>218</v>
      </c>
      <c r="L58" s="1">
        <v>1184040.3</v>
      </c>
      <c r="M58" s="8">
        <v>8.1756327791284739E-3</v>
      </c>
      <c r="N58" s="1">
        <v>514928.63212916022</v>
      </c>
      <c r="O58" s="6">
        <f t="shared" si="0"/>
        <v>64.866773109272842</v>
      </c>
      <c r="P58" s="6"/>
      <c r="Q58" s="6"/>
      <c r="R58" s="41"/>
      <c r="S58" s="3" t="s">
        <v>280</v>
      </c>
      <c r="T58" s="1">
        <v>337</v>
      </c>
      <c r="U58" s="1">
        <v>1230959.05</v>
      </c>
      <c r="V58" s="8">
        <v>7.4978335738362665E-3</v>
      </c>
      <c r="W58" s="1">
        <v>478322.62101456028</v>
      </c>
      <c r="X58" s="6">
        <f t="shared" si="1"/>
        <v>-0.28373244816850285</v>
      </c>
      <c r="Y58" s="6"/>
      <c r="Z58" s="41"/>
      <c r="AA58" s="41"/>
      <c r="AB58" s="3" t="s">
        <v>164</v>
      </c>
      <c r="AC58" s="1">
        <v>316</v>
      </c>
      <c r="AD58" s="1">
        <v>1356730.05</v>
      </c>
      <c r="AE58" s="8">
        <v>8.8169778053182827E-3</v>
      </c>
      <c r="AF58" s="1">
        <v>636057.72264365782</v>
      </c>
      <c r="AG58" s="6">
        <f t="shared" si="2"/>
        <v>0.50991126510882312</v>
      </c>
      <c r="AH58" s="6">
        <f t="shared" si="3"/>
        <v>4.8858500452016917</v>
      </c>
      <c r="AI58" s="6" t="str">
        <f>VLOOKUP(AB58,'ABC расчет'!AC:AC,1,0)</f>
        <v>LABORANT</v>
      </c>
      <c r="AJ58" s="6"/>
      <c r="AK58" s="6"/>
      <c r="AL58" s="6"/>
    </row>
    <row r="59" spans="1:38" x14ac:dyDescent="0.3">
      <c r="A59" s="3" t="s">
        <v>327</v>
      </c>
      <c r="B59" s="1">
        <v>158</v>
      </c>
      <c r="C59" s="1">
        <v>345749.7071</v>
      </c>
      <c r="D59" s="8">
        <v>4.1726888198144125E-3</v>
      </c>
      <c r="E59" s="1">
        <v>138444.99835632491</v>
      </c>
      <c r="F59" s="1"/>
      <c r="G59" s="1"/>
      <c r="I59" s="1"/>
      <c r="J59" s="3" t="s">
        <v>74</v>
      </c>
      <c r="K59" s="1">
        <v>164</v>
      </c>
      <c r="L59" s="1">
        <v>1149887.6583000002</v>
      </c>
      <c r="M59" s="8">
        <v>7.9398135616775573E-3</v>
      </c>
      <c r="N59" s="1">
        <v>513801.21230778331</v>
      </c>
      <c r="O59" s="6">
        <f t="shared" si="0"/>
        <v>4.629766113998171</v>
      </c>
      <c r="P59" s="6"/>
      <c r="Q59" s="6"/>
      <c r="R59" s="41"/>
      <c r="S59" s="3" t="s">
        <v>150</v>
      </c>
      <c r="T59" s="1">
        <v>221</v>
      </c>
      <c r="U59" s="1">
        <v>1223379.3999999999</v>
      </c>
      <c r="V59" s="8">
        <v>7.4516655439185132E-3</v>
      </c>
      <c r="W59" s="1">
        <v>529065.71691999515</v>
      </c>
      <c r="X59" s="6">
        <f t="shared" si="1"/>
        <v>2.745445467341745E-2</v>
      </c>
      <c r="Y59" s="6"/>
      <c r="Z59" s="41"/>
      <c r="AA59" s="41"/>
      <c r="AB59" s="3" t="s">
        <v>91</v>
      </c>
      <c r="AC59" s="1">
        <v>583</v>
      </c>
      <c r="AD59" s="1">
        <v>1355705.1400000001</v>
      </c>
      <c r="AE59" s="8">
        <v>8.8103172255497072E-3</v>
      </c>
      <c r="AF59" s="1">
        <v>635269.87573555694</v>
      </c>
      <c r="AG59" s="6">
        <f t="shared" si="2"/>
        <v>0.74708346339759668</v>
      </c>
      <c r="AH59" s="6">
        <f t="shared" si="3"/>
        <v>1.2057334037844076</v>
      </c>
      <c r="AI59" s="6" t="str">
        <f>VLOOKUP(AB59,'ABC расчет'!AC:AC,1,0)</f>
        <v>TASK</v>
      </c>
      <c r="AJ59" s="6"/>
      <c r="AK59" s="6"/>
      <c r="AL59" s="6"/>
    </row>
    <row r="60" spans="1:38" x14ac:dyDescent="0.3">
      <c r="A60" s="3" t="s">
        <v>96</v>
      </c>
      <c r="B60" s="1">
        <v>626</v>
      </c>
      <c r="C60" s="1">
        <v>336288.91200000001</v>
      </c>
      <c r="D60" s="8">
        <v>4.0585109821195077E-3</v>
      </c>
      <c r="E60" s="1">
        <v>111545.31722297832</v>
      </c>
      <c r="F60" s="1"/>
      <c r="G60" s="1"/>
      <c r="I60" s="1"/>
      <c r="J60" s="3" t="s">
        <v>26</v>
      </c>
      <c r="K60" s="1">
        <v>685</v>
      </c>
      <c r="L60" s="1">
        <v>1130543.05</v>
      </c>
      <c r="M60" s="8">
        <v>7.8062417451465809E-3</v>
      </c>
      <c r="N60" s="1">
        <v>439507.0081936745</v>
      </c>
      <c r="O60" s="6">
        <f t="shared" si="0"/>
        <v>11.941379109647491</v>
      </c>
      <c r="P60" s="6"/>
      <c r="Q60" s="6"/>
      <c r="R60" s="41"/>
      <c r="S60" s="3" t="s">
        <v>173</v>
      </c>
      <c r="T60" s="1">
        <v>699</v>
      </c>
      <c r="U60" s="1">
        <v>1181636.8300000012</v>
      </c>
      <c r="V60" s="8">
        <v>7.1974094475811086E-3</v>
      </c>
      <c r="W60" s="1">
        <v>496310.46440669714</v>
      </c>
      <c r="X60" s="6">
        <f t="shared" si="1"/>
        <v>-0.28640556130955785</v>
      </c>
      <c r="Y60" s="6"/>
      <c r="Z60" s="41"/>
      <c r="AA60" s="41"/>
      <c r="AB60" s="3" t="s">
        <v>61</v>
      </c>
      <c r="AC60" s="1">
        <v>1773</v>
      </c>
      <c r="AD60" s="1">
        <v>1303100.4399999995</v>
      </c>
      <c r="AE60" s="8">
        <v>8.4684552078583969E-3</v>
      </c>
      <c r="AF60" s="1">
        <v>590609.33556144941</v>
      </c>
      <c r="AG60" s="6">
        <f t="shared" si="2"/>
        <v>-0.25299056807480735</v>
      </c>
      <c r="AH60" s="6">
        <f t="shared" si="3"/>
        <v>2.0778532845752236</v>
      </c>
      <c r="AI60" s="6" t="str">
        <f>VLOOKUP(AB60,'ABC расчет'!AC:AC,1,0)</f>
        <v>MARCO</v>
      </c>
      <c r="AJ60" s="6"/>
      <c r="AK60" s="6"/>
      <c r="AL60" s="6"/>
    </row>
    <row r="61" spans="1:38" x14ac:dyDescent="0.3">
      <c r="A61" s="3" t="s">
        <v>106</v>
      </c>
      <c r="B61" s="1">
        <v>270</v>
      </c>
      <c r="C61" s="1">
        <v>326781.973</v>
      </c>
      <c r="D61" s="8">
        <v>3.9437762556357499E-3</v>
      </c>
      <c r="E61" s="1">
        <v>179145.26317709792</v>
      </c>
      <c r="F61" s="1"/>
      <c r="G61" s="1"/>
      <c r="I61" s="1"/>
      <c r="J61" s="3" t="s">
        <v>288</v>
      </c>
      <c r="K61" s="1">
        <v>37344.850999999995</v>
      </c>
      <c r="L61" s="1">
        <v>1080514.9026000001</v>
      </c>
      <c r="M61" s="8">
        <v>7.4608043797439764E-3</v>
      </c>
      <c r="N61" s="1">
        <v>399497.85634008015</v>
      </c>
      <c r="O61" s="6">
        <f t="shared" si="0"/>
        <v>48.419673597093876</v>
      </c>
      <c r="P61" s="6"/>
      <c r="Q61" s="6"/>
      <c r="R61" s="41"/>
      <c r="S61" s="3" t="s">
        <v>284</v>
      </c>
      <c r="T61" s="1">
        <v>224</v>
      </c>
      <c r="U61" s="1">
        <v>1052612.1500000004</v>
      </c>
      <c r="V61" s="8">
        <v>6.4115136230551125E-3</v>
      </c>
      <c r="W61" s="1">
        <v>285139.39740925562</v>
      </c>
      <c r="X61" s="6">
        <f t="shared" si="1"/>
        <v>-1.1336454411610242E-2</v>
      </c>
      <c r="Y61" s="6"/>
      <c r="Z61" s="41"/>
      <c r="AA61" s="41"/>
      <c r="AB61" s="3" t="s">
        <v>279</v>
      </c>
      <c r="AC61" s="1">
        <v>1848</v>
      </c>
      <c r="AD61" s="1">
        <v>1294956.3</v>
      </c>
      <c r="AE61" s="8">
        <v>8.4155289078745501E-3</v>
      </c>
      <c r="AF61" s="1">
        <v>448043.65405913175</v>
      </c>
      <c r="AG61" s="6">
        <f t="shared" si="2"/>
        <v>2.9686380033613853</v>
      </c>
      <c r="AH61" s="6">
        <f t="shared" si="3"/>
        <v>2.3917743358016641</v>
      </c>
      <c r="AI61" s="6" t="str">
        <f>VLOOKUP(AB61,'ABC расчет'!AC:AC,1,0)</f>
        <v>BESTA</v>
      </c>
      <c r="AJ61" s="6"/>
      <c r="AK61" s="6"/>
      <c r="AL61" s="6"/>
    </row>
    <row r="62" spans="1:38" x14ac:dyDescent="0.3">
      <c r="A62" s="3" t="s">
        <v>54</v>
      </c>
      <c r="B62" s="1">
        <v>614</v>
      </c>
      <c r="C62" s="1">
        <v>317577.58250000002</v>
      </c>
      <c r="D62" s="8">
        <v>3.8326928431443911E-3</v>
      </c>
      <c r="E62" s="1">
        <v>135483.961687242</v>
      </c>
      <c r="F62" s="1"/>
      <c r="G62" s="1"/>
      <c r="I62" s="1"/>
      <c r="J62" s="3" t="s">
        <v>245</v>
      </c>
      <c r="K62" s="1">
        <v>422</v>
      </c>
      <c r="L62" s="1">
        <v>1065223.1500000001</v>
      </c>
      <c r="M62" s="8">
        <v>7.355216965357082E-3</v>
      </c>
      <c r="N62" s="1">
        <v>430956.45789304108</v>
      </c>
      <c r="O62" s="6">
        <f t="shared" si="0"/>
        <v>0.3440405276426215</v>
      </c>
      <c r="P62" s="6"/>
      <c r="Q62" s="6"/>
      <c r="R62" s="41"/>
      <c r="S62" s="3" t="s">
        <v>164</v>
      </c>
      <c r="T62" s="1">
        <v>245</v>
      </c>
      <c r="U62" s="1">
        <v>1034041.5800000001</v>
      </c>
      <c r="V62" s="8">
        <v>6.2983993458325853E-3</v>
      </c>
      <c r="W62" s="1">
        <v>421255.03487638099</v>
      </c>
      <c r="X62" s="6">
        <f t="shared" si="1"/>
        <v>-0.22229273715847186</v>
      </c>
      <c r="Y62" s="6"/>
      <c r="Z62" s="41"/>
      <c r="AA62" s="41"/>
      <c r="AB62" s="3" t="s">
        <v>189</v>
      </c>
      <c r="AC62" s="1">
        <v>224</v>
      </c>
      <c r="AD62" s="1">
        <v>1232913.95</v>
      </c>
      <c r="AE62" s="8">
        <v>8.012334460357309E-3</v>
      </c>
      <c r="AF62" s="1">
        <v>572590.70087620988</v>
      </c>
      <c r="AG62" s="6">
        <f t="shared" si="2"/>
        <v>0.33715569994633188</v>
      </c>
      <c r="AH62" s="6">
        <f t="shared" si="3"/>
        <v>6.5730277842201286</v>
      </c>
      <c r="AI62" s="6" t="str">
        <f>VLOOKUP(AB62,'ABC расчет'!AC:AC,1,0)</f>
        <v>STILO</v>
      </c>
      <c r="AJ62" s="6"/>
      <c r="AK62" s="6"/>
      <c r="AL62" s="6"/>
    </row>
    <row r="63" spans="1:38" x14ac:dyDescent="0.3">
      <c r="A63" s="3" t="s">
        <v>328</v>
      </c>
      <c r="B63" s="1">
        <v>156</v>
      </c>
      <c r="C63" s="1">
        <v>313166.67679999996</v>
      </c>
      <c r="D63" s="8">
        <v>3.7794597195243539E-3</v>
      </c>
      <c r="E63" s="1">
        <v>136453.5903994363</v>
      </c>
      <c r="F63" s="1"/>
      <c r="G63" s="1"/>
      <c r="I63" s="1"/>
      <c r="J63" s="3" t="s">
        <v>66</v>
      </c>
      <c r="K63" s="1">
        <v>573</v>
      </c>
      <c r="L63" s="1">
        <v>1049383.6499999999</v>
      </c>
      <c r="M63" s="8">
        <v>7.2458474317314038E-3</v>
      </c>
      <c r="N63" s="1">
        <v>467752.05672918243</v>
      </c>
      <c r="O63" s="6">
        <f t="shared" si="0"/>
        <v>23.855185234274902</v>
      </c>
      <c r="P63" s="6"/>
      <c r="Q63" s="6"/>
      <c r="R63" s="41"/>
      <c r="S63" s="3" t="s">
        <v>166</v>
      </c>
      <c r="T63" s="1">
        <v>226</v>
      </c>
      <c r="U63" s="1">
        <v>1025256.29</v>
      </c>
      <c r="V63" s="8">
        <v>6.2448877019498023E-3</v>
      </c>
      <c r="W63" s="1">
        <v>457388.75673739321</v>
      </c>
      <c r="X63" s="6">
        <f t="shared" si="1"/>
        <v>-2.5522101587848067E-2</v>
      </c>
      <c r="Y63" s="6"/>
      <c r="Z63" s="41"/>
      <c r="AA63" s="41"/>
      <c r="AB63" s="3" t="s">
        <v>228</v>
      </c>
      <c r="AC63" s="1">
        <v>406</v>
      </c>
      <c r="AD63" s="1">
        <v>1096071.78</v>
      </c>
      <c r="AE63" s="8">
        <v>7.1230386304893178E-3</v>
      </c>
      <c r="AF63" s="1">
        <v>435856.24990972021</v>
      </c>
      <c r="AG63" s="6">
        <f t="shared" si="2"/>
        <v>-1.7101340101570717E-3</v>
      </c>
      <c r="AH63" s="6">
        <f t="shared" si="3"/>
        <v>13.11983661109803</v>
      </c>
      <c r="AI63" s="6" t="str">
        <f>VLOOKUP(AB63,'ABC расчет'!AC:AC,1,0)</f>
        <v>NICOLE GTS</v>
      </c>
      <c r="AJ63" s="6"/>
      <c r="AK63" s="6"/>
      <c r="AL63" s="6"/>
    </row>
    <row r="64" spans="1:38" x14ac:dyDescent="0.3">
      <c r="A64" s="3" t="s">
        <v>89</v>
      </c>
      <c r="B64" s="1">
        <v>294</v>
      </c>
      <c r="C64" s="1">
        <v>310236.70990000002</v>
      </c>
      <c r="D64" s="8">
        <v>3.7440993421328553E-3</v>
      </c>
      <c r="E64" s="1">
        <v>173625.50746981095</v>
      </c>
      <c r="F64" s="1"/>
      <c r="G64" s="1"/>
      <c r="I64" s="1"/>
      <c r="J64" s="3" t="s">
        <v>60</v>
      </c>
      <c r="K64" s="1">
        <v>242</v>
      </c>
      <c r="L64" s="1">
        <v>998963.64999999991</v>
      </c>
      <c r="M64" s="8">
        <v>6.8977043788947248E-3</v>
      </c>
      <c r="N64" s="1">
        <v>470369.83377337916</v>
      </c>
      <c r="O64" s="6">
        <f t="shared" si="0"/>
        <v>-4.7320919921312043E-2</v>
      </c>
      <c r="P64" s="6"/>
      <c r="Q64" s="6"/>
      <c r="R64" s="41"/>
      <c r="S64" s="3" t="s">
        <v>169</v>
      </c>
      <c r="T64" s="1">
        <v>188</v>
      </c>
      <c r="U64" s="1">
        <v>1021339.3399999999</v>
      </c>
      <c r="V64" s="8">
        <v>6.2210293622129613E-3</v>
      </c>
      <c r="W64" s="1">
        <v>446071.87102632801</v>
      </c>
      <c r="X64" s="6">
        <f t="shared" si="1"/>
        <v>0.94386922528023987</v>
      </c>
      <c r="Y64" s="6"/>
      <c r="Z64" s="41"/>
      <c r="AA64" s="41"/>
      <c r="AB64" s="3" t="s">
        <v>166</v>
      </c>
      <c r="AC64" s="1">
        <v>222</v>
      </c>
      <c r="AD64" s="1">
        <v>1030487.2400000001</v>
      </c>
      <c r="AE64" s="8">
        <v>6.6968245626635127E-3</v>
      </c>
      <c r="AF64" s="1">
        <v>473056.27382944379</v>
      </c>
      <c r="AG64" s="6">
        <f t="shared" si="2"/>
        <v>3.4254268084350725E-2</v>
      </c>
      <c r="AH64" s="6">
        <f t="shared" si="3"/>
        <v>6.2233662533195018</v>
      </c>
      <c r="AI64" s="6" t="str">
        <f>VLOOKUP(AB64,'ABC расчет'!AC:AC,1,0)</f>
        <v>LIBERTY</v>
      </c>
      <c r="AJ64" s="6"/>
      <c r="AK64" s="6"/>
      <c r="AL64" s="6"/>
    </row>
    <row r="65" spans="1:38" x14ac:dyDescent="0.3">
      <c r="A65" s="3" t="s">
        <v>94</v>
      </c>
      <c r="B65" s="1">
        <v>552</v>
      </c>
      <c r="C65" s="1">
        <v>307907.38090000005</v>
      </c>
      <c r="D65" s="8">
        <v>3.7159877779684401E-3</v>
      </c>
      <c r="E65" s="1">
        <v>129039.51040760573</v>
      </c>
      <c r="F65" s="1"/>
      <c r="G65" s="1"/>
      <c r="I65" s="1"/>
      <c r="J65" s="3" t="s">
        <v>461</v>
      </c>
      <c r="K65" s="1">
        <v>1292.3150000000001</v>
      </c>
      <c r="L65" s="1">
        <v>988853.31909999996</v>
      </c>
      <c r="M65" s="8">
        <v>6.827893957143138E-3</v>
      </c>
      <c r="N65" s="1">
        <v>106276.67509624492</v>
      </c>
      <c r="O65" s="6">
        <f t="shared" si="0"/>
        <v>1</v>
      </c>
      <c r="P65" s="6"/>
      <c r="Q65" s="6"/>
      <c r="R65" s="41"/>
      <c r="S65" s="3" t="s">
        <v>92</v>
      </c>
      <c r="T65" s="1">
        <v>2538</v>
      </c>
      <c r="U65" s="1">
        <v>1012891.9899999994</v>
      </c>
      <c r="V65" s="8">
        <v>6.1695761278913568E-3</v>
      </c>
      <c r="W65" s="1">
        <v>495487.46018008218</v>
      </c>
      <c r="X65" s="6">
        <f t="shared" si="1"/>
        <v>-0.20104585962723531</v>
      </c>
      <c r="Y65" s="6"/>
      <c r="Z65" s="41"/>
      <c r="AA65" s="41"/>
      <c r="AB65" s="3" t="s">
        <v>263</v>
      </c>
      <c r="AC65" s="1">
        <v>175</v>
      </c>
      <c r="AD65" s="1">
        <v>1006197.15</v>
      </c>
      <c r="AE65" s="8">
        <v>6.5389706222873968E-3</v>
      </c>
      <c r="AF65" s="1">
        <v>457710.63684204465</v>
      </c>
      <c r="AG65" s="6">
        <f t="shared" si="2"/>
        <v>0.79897982610903395</v>
      </c>
      <c r="AH65" s="6">
        <f t="shared" si="3"/>
        <v>4.6606811517471867</v>
      </c>
      <c r="AI65" s="6" t="str">
        <f>VLOOKUP(AB65,'ABC расчет'!AC:AC,1,0)</f>
        <v>FRAME</v>
      </c>
      <c r="AJ65" s="6"/>
      <c r="AK65" s="6"/>
      <c r="AL65" s="6"/>
    </row>
    <row r="66" spans="1:38" x14ac:dyDescent="0.3">
      <c r="A66" s="3" t="s">
        <v>46</v>
      </c>
      <c r="B66" s="1">
        <v>25</v>
      </c>
      <c r="C66" s="1">
        <v>293289.31299999997</v>
      </c>
      <c r="D66" s="8">
        <v>3.5395692670021346E-3</v>
      </c>
      <c r="E66" s="1">
        <v>156460.8698118905</v>
      </c>
      <c r="F66" s="1"/>
      <c r="G66" s="1"/>
      <c r="I66" s="1"/>
      <c r="J66" s="3" t="s">
        <v>148</v>
      </c>
      <c r="K66" s="1">
        <v>184</v>
      </c>
      <c r="L66" s="1">
        <v>987203.85</v>
      </c>
      <c r="M66" s="8">
        <v>6.8165046035526229E-3</v>
      </c>
      <c r="N66" s="1">
        <v>440568.04133196053</v>
      </c>
      <c r="O66" s="6">
        <f t="shared" si="0"/>
        <v>14.251348836614961</v>
      </c>
      <c r="P66" s="6"/>
      <c r="Q66" s="6"/>
      <c r="R66" s="41"/>
      <c r="S66" s="3" t="s">
        <v>189</v>
      </c>
      <c r="T66" s="1">
        <v>181</v>
      </c>
      <c r="U66" s="1">
        <v>994524.06999999983</v>
      </c>
      <c r="V66" s="8">
        <v>6.057696202025801E-3</v>
      </c>
      <c r="W66" s="1">
        <v>428215.42838967172</v>
      </c>
      <c r="X66" s="6">
        <f t="shared" si="1"/>
        <v>-1.9842614294527716E-2</v>
      </c>
      <c r="Y66" s="6"/>
      <c r="Z66" s="41"/>
      <c r="AA66" s="41"/>
      <c r="AB66" s="3" t="s">
        <v>127</v>
      </c>
      <c r="AC66" s="1">
        <v>202</v>
      </c>
      <c r="AD66" s="1">
        <v>957356.5</v>
      </c>
      <c r="AE66" s="8">
        <v>6.2215700258700631E-3</v>
      </c>
      <c r="AF66" s="1">
        <v>365231.30035749322</v>
      </c>
      <c r="AG66" s="6">
        <f t="shared" si="2"/>
        <v>9.2232170897056562</v>
      </c>
      <c r="AH66" s="6">
        <f t="shared" si="3"/>
        <v>40.299987581535092</v>
      </c>
      <c r="AI66" s="6" t="e">
        <f>VLOOKUP(AB66,'ABC расчет'!AC:AC,1,0)</f>
        <v>#N/A</v>
      </c>
      <c r="AJ66" s="6"/>
      <c r="AK66" s="6"/>
      <c r="AL66" s="6"/>
    </row>
    <row r="67" spans="1:38" x14ac:dyDescent="0.3">
      <c r="A67" s="3" t="s">
        <v>88</v>
      </c>
      <c r="B67" s="1">
        <v>290</v>
      </c>
      <c r="C67" s="1">
        <v>291387.8676</v>
      </c>
      <c r="D67" s="8">
        <v>3.5166216265583709E-3</v>
      </c>
      <c r="E67" s="1">
        <v>132259.51558598195</v>
      </c>
      <c r="F67" s="1"/>
      <c r="G67" s="1"/>
      <c r="I67" s="1"/>
      <c r="J67" s="3" t="s">
        <v>166</v>
      </c>
      <c r="K67" s="1">
        <v>201</v>
      </c>
      <c r="L67" s="1">
        <v>978410.65999999992</v>
      </c>
      <c r="M67" s="8">
        <v>6.7557888556197994E-3</v>
      </c>
      <c r="N67" s="1">
        <v>469368.01489564648</v>
      </c>
      <c r="O67" s="6">
        <f t="shared" si="0"/>
        <v>6.1670481224970768</v>
      </c>
      <c r="P67" s="6"/>
      <c r="Q67" s="6"/>
      <c r="R67" s="41"/>
      <c r="S67" s="3" t="s">
        <v>226</v>
      </c>
      <c r="T67" s="1">
        <v>5476.7579999999998</v>
      </c>
      <c r="U67" s="1">
        <v>956702.73979999998</v>
      </c>
      <c r="V67" s="8">
        <v>5.8273245748130947E-3</v>
      </c>
      <c r="W67" s="1">
        <v>350471.47101227363</v>
      </c>
      <c r="X67" s="6">
        <f t="shared" si="1"/>
        <v>0.1668123703479143</v>
      </c>
      <c r="Y67" s="6"/>
      <c r="Z67" s="41"/>
      <c r="AA67" s="41"/>
      <c r="AB67" s="3" t="s">
        <v>60</v>
      </c>
      <c r="AC67" s="1">
        <v>187</v>
      </c>
      <c r="AD67" s="1">
        <v>943714.37000000011</v>
      </c>
      <c r="AE67" s="8">
        <v>6.1329139535531967E-3</v>
      </c>
      <c r="AF67" s="1">
        <v>400027.1266737649</v>
      </c>
      <c r="AG67" s="6">
        <f t="shared" si="2"/>
        <v>5.0682379224666896E-3</v>
      </c>
      <c r="AH67" s="6">
        <f t="shared" si="3"/>
        <v>-0.18979184530423532</v>
      </c>
      <c r="AI67" s="6" t="str">
        <f>VLOOKUP(AB67,'ABC расчет'!AC:AC,1,0)</f>
        <v>MANAGER</v>
      </c>
      <c r="AJ67" s="6"/>
      <c r="AK67" s="6"/>
      <c r="AL67" s="6"/>
    </row>
    <row r="68" spans="1:38" x14ac:dyDescent="0.3">
      <c r="A68" s="3" t="s">
        <v>25</v>
      </c>
      <c r="B68" s="1">
        <v>87</v>
      </c>
      <c r="C68" s="1">
        <v>284409.4522</v>
      </c>
      <c r="D68" s="8">
        <v>3.4324024491544729E-3</v>
      </c>
      <c r="E68" s="1">
        <v>115248.91632121385</v>
      </c>
      <c r="F68" s="1"/>
      <c r="G68" s="1"/>
      <c r="I68" s="1"/>
      <c r="J68" s="3" t="s">
        <v>189</v>
      </c>
      <c r="K68" s="1">
        <v>174</v>
      </c>
      <c r="L68" s="1">
        <v>974299.45</v>
      </c>
      <c r="M68" s="8">
        <v>6.7274015251903531E-3</v>
      </c>
      <c r="N68" s="1">
        <v>436884.35616027308</v>
      </c>
      <c r="O68" s="6">
        <f t="shared" si="0"/>
        <v>4.7781891368999947</v>
      </c>
      <c r="P68" s="6"/>
      <c r="Q68" s="6"/>
      <c r="R68" s="41"/>
      <c r="S68" s="3" t="s">
        <v>74</v>
      </c>
      <c r="T68" s="1">
        <v>130</v>
      </c>
      <c r="U68" s="1">
        <v>940250.69659999968</v>
      </c>
      <c r="V68" s="8">
        <v>5.7271143510341915E-3</v>
      </c>
      <c r="W68" s="1">
        <v>404540.4156097892</v>
      </c>
      <c r="X68" s="6">
        <f t="shared" si="1"/>
        <v>-0.21265188575020999</v>
      </c>
      <c r="Y68" s="6"/>
      <c r="Z68" s="41"/>
      <c r="AA68" s="41"/>
      <c r="AB68" s="3" t="s">
        <v>85</v>
      </c>
      <c r="AC68" s="1">
        <v>113</v>
      </c>
      <c r="AD68" s="1">
        <v>885966.10000000009</v>
      </c>
      <c r="AE68" s="8">
        <v>5.7576254317978724E-3</v>
      </c>
      <c r="AF68" s="1">
        <v>494983.77244839474</v>
      </c>
      <c r="AG68" s="6">
        <f t="shared" si="2"/>
        <v>4.0310942020920466</v>
      </c>
      <c r="AH68" s="6">
        <f t="shared" si="3"/>
        <v>3.4974069472912817E-2</v>
      </c>
      <c r="AI68" s="6" t="str">
        <f>VLOOKUP(AB68,'ABC расчет'!AC:AC,1,0)</f>
        <v>SOLO</v>
      </c>
      <c r="AJ68" s="6"/>
      <c r="AK68" s="6"/>
      <c r="AL68" s="6"/>
    </row>
    <row r="69" spans="1:38" x14ac:dyDescent="0.3">
      <c r="A69" s="3" t="s">
        <v>49</v>
      </c>
      <c r="B69" s="1">
        <v>53</v>
      </c>
      <c r="C69" s="1">
        <v>283671.92190000007</v>
      </c>
      <c r="D69" s="8">
        <v>3.4235015466406379E-3</v>
      </c>
      <c r="E69" s="1">
        <v>119531.25475781226</v>
      </c>
      <c r="F69" s="1"/>
      <c r="G69" s="1"/>
      <c r="I69" s="1"/>
      <c r="J69" s="3" t="s">
        <v>281</v>
      </c>
      <c r="K69" s="1">
        <v>805</v>
      </c>
      <c r="L69" s="1">
        <v>971643.56000000017</v>
      </c>
      <c r="M69" s="8">
        <v>6.7090629759519885E-3</v>
      </c>
      <c r="N69" s="1">
        <v>420481.71875048114</v>
      </c>
      <c r="O69" s="6">
        <f t="shared" si="0"/>
        <v>19.66657842718821</v>
      </c>
      <c r="P69" s="6"/>
      <c r="Q69" s="6"/>
      <c r="R69" s="41"/>
      <c r="S69" s="3" t="s">
        <v>192</v>
      </c>
      <c r="T69" s="1">
        <v>209</v>
      </c>
      <c r="U69" s="1">
        <v>932850.4</v>
      </c>
      <c r="V69" s="8">
        <v>5.6820387717094172E-3</v>
      </c>
      <c r="W69" s="1">
        <v>363233.54370012844</v>
      </c>
      <c r="X69" s="6">
        <f t="shared" si="1"/>
        <v>0.50175968348049027</v>
      </c>
      <c r="Y69" s="6"/>
      <c r="Z69" s="41"/>
      <c r="AA69" s="41"/>
      <c r="AB69" s="3" t="s">
        <v>70</v>
      </c>
      <c r="AC69" s="1">
        <v>401</v>
      </c>
      <c r="AD69" s="1">
        <v>883632.2699999999</v>
      </c>
      <c r="AE69" s="8">
        <v>5.7424585772630383E-3</v>
      </c>
      <c r="AF69" s="1">
        <v>361988.26746125048</v>
      </c>
      <c r="AG69" s="6">
        <f t="shared" si="2"/>
        <v>0.53997338311529752</v>
      </c>
      <c r="AH69" s="6">
        <f t="shared" si="3"/>
        <v>52.065074446413206</v>
      </c>
      <c r="AI69" s="6" t="str">
        <f>VLOOKUP(AB69,'ABC расчет'!AC:AC,1,0)</f>
        <v>NETWORK</v>
      </c>
      <c r="AJ69" s="6"/>
      <c r="AK69" s="6"/>
      <c r="AL69" s="6"/>
    </row>
    <row r="70" spans="1:38" x14ac:dyDescent="0.3">
      <c r="A70" s="3" t="s">
        <v>57</v>
      </c>
      <c r="B70" s="1">
        <v>50</v>
      </c>
      <c r="C70" s="1">
        <v>265784.23339999997</v>
      </c>
      <c r="D70" s="8">
        <v>3.2076235392742127E-3</v>
      </c>
      <c r="E70" s="1">
        <v>98819.877300171007</v>
      </c>
      <c r="F70" s="1"/>
      <c r="G70" s="1"/>
      <c r="I70" s="1"/>
      <c r="J70" s="3" t="s">
        <v>149</v>
      </c>
      <c r="K70" s="1">
        <v>165</v>
      </c>
      <c r="L70" s="1">
        <v>903665.4</v>
      </c>
      <c r="M70" s="8">
        <v>6.2396832824053745E-3</v>
      </c>
      <c r="N70" s="1">
        <v>360159.7514880863</v>
      </c>
      <c r="O70" s="6">
        <f t="shared" si="0"/>
        <v>5.2526658912826356</v>
      </c>
      <c r="P70" s="6"/>
      <c r="Q70" s="6"/>
      <c r="R70" s="41"/>
      <c r="S70" s="3" t="s">
        <v>60</v>
      </c>
      <c r="T70" s="1">
        <v>185</v>
      </c>
      <c r="U70" s="1">
        <v>906799.29999999981</v>
      </c>
      <c r="V70" s="8">
        <v>5.5233602094815612E-3</v>
      </c>
      <c r="W70" s="1">
        <v>398009.91771528247</v>
      </c>
      <c r="X70" s="6">
        <f t="shared" si="1"/>
        <v>-0.15383621750913379</v>
      </c>
      <c r="Y70" s="6"/>
      <c r="Z70" s="41"/>
      <c r="AA70" s="41"/>
      <c r="AB70" s="3" t="s">
        <v>83</v>
      </c>
      <c r="AC70" s="1">
        <v>1373</v>
      </c>
      <c r="AD70" s="1">
        <v>869469.8</v>
      </c>
      <c r="AE70" s="8">
        <v>5.6504209728342981E-3</v>
      </c>
      <c r="AF70" s="1">
        <v>385261.31194659136</v>
      </c>
      <c r="AG70" s="6">
        <f t="shared" si="2"/>
        <v>0.23767127749030714</v>
      </c>
      <c r="AH70" s="6">
        <f t="shared" si="3"/>
        <v>1.2122126340640116</v>
      </c>
      <c r="AI70" s="6" t="str">
        <f>VLOOKUP(AB70,'ABC расчет'!AC:AC,1,0)</f>
        <v>SEVEN</v>
      </c>
      <c r="AJ70" s="6"/>
      <c r="AK70" s="6"/>
      <c r="AL70" s="6"/>
    </row>
    <row r="71" spans="1:38" x14ac:dyDescent="0.3">
      <c r="A71" s="3" t="s">
        <v>95</v>
      </c>
      <c r="B71" s="1">
        <v>656</v>
      </c>
      <c r="C71" s="1">
        <v>260404.3762</v>
      </c>
      <c r="D71" s="8">
        <v>3.1426966007124242E-3</v>
      </c>
      <c r="E71" s="1">
        <v>119379.7965797995</v>
      </c>
      <c r="F71" s="1"/>
      <c r="G71" s="1"/>
      <c r="I71" s="1"/>
      <c r="J71" s="3" t="s">
        <v>278</v>
      </c>
      <c r="K71" s="1">
        <v>565</v>
      </c>
      <c r="L71" s="1">
        <v>840703.54</v>
      </c>
      <c r="M71" s="8">
        <v>5.8049404392344975E-3</v>
      </c>
      <c r="N71" s="1">
        <v>333288.63206896547</v>
      </c>
      <c r="O71" s="6">
        <f t="shared" si="0"/>
        <v>34.447514780367307</v>
      </c>
      <c r="P71" s="6"/>
      <c r="Q71" s="6"/>
      <c r="R71" s="41"/>
      <c r="S71" s="3" t="s">
        <v>9</v>
      </c>
      <c r="T71" s="1">
        <v>1022</v>
      </c>
      <c r="U71" s="1">
        <v>896581.8</v>
      </c>
      <c r="V71" s="8">
        <v>5.4611249023519938E-3</v>
      </c>
      <c r="W71" s="1">
        <v>399057.10717063374</v>
      </c>
      <c r="X71" s="6">
        <f t="shared" si="1"/>
        <v>-4.4609181191441971E-2</v>
      </c>
      <c r="Y71" s="6"/>
      <c r="Z71" s="41"/>
      <c r="AA71" s="41"/>
      <c r="AB71" s="3" t="s">
        <v>78</v>
      </c>
      <c r="AC71" s="1">
        <v>504</v>
      </c>
      <c r="AD71" s="1">
        <v>867508.15</v>
      </c>
      <c r="AE71" s="8">
        <v>5.6376728034311053E-3</v>
      </c>
      <c r="AF71" s="1">
        <v>332557.15919303615</v>
      </c>
      <c r="AG71" s="6">
        <f t="shared" si="2"/>
        <v>1.3898910228702177</v>
      </c>
      <c r="AH71" s="6">
        <f t="shared" si="3"/>
        <v>1.506873251743734</v>
      </c>
      <c r="AI71" s="6" t="str">
        <f>VLOOKUP(AB71,'ABC расчет'!AC:AC,1,0)</f>
        <v>REGAL</v>
      </c>
      <c r="AJ71" s="6"/>
      <c r="AK71" s="6"/>
      <c r="AL71" s="6"/>
    </row>
    <row r="72" spans="1:38" x14ac:dyDescent="0.3">
      <c r="A72" s="3" t="s">
        <v>24</v>
      </c>
      <c r="B72" s="1">
        <v>100</v>
      </c>
      <c r="C72" s="1">
        <v>256481.8792</v>
      </c>
      <c r="D72" s="8">
        <v>3.0953578494667964E-3</v>
      </c>
      <c r="E72" s="1">
        <v>112454.50621946067</v>
      </c>
      <c r="F72" s="1"/>
      <c r="G72" s="1"/>
      <c r="I72" s="1"/>
      <c r="J72" s="3" t="s">
        <v>9</v>
      </c>
      <c r="K72" s="1">
        <v>948</v>
      </c>
      <c r="L72" s="1">
        <v>806646.79999999993</v>
      </c>
      <c r="M72" s="8">
        <v>5.569783409617975E-3</v>
      </c>
      <c r="N72" s="1">
        <v>417689.91214327037</v>
      </c>
      <c r="O72" s="6">
        <f t="shared" si="0"/>
        <v>18.290153983225739</v>
      </c>
      <c r="P72" s="6"/>
      <c r="Q72" s="6"/>
      <c r="R72" s="41"/>
      <c r="S72" s="3" t="s">
        <v>50</v>
      </c>
      <c r="T72" s="1">
        <v>896</v>
      </c>
      <c r="U72" s="1">
        <v>890973.07</v>
      </c>
      <c r="V72" s="8">
        <v>5.426961845424484E-3</v>
      </c>
      <c r="W72" s="1">
        <v>387173.49676052155</v>
      </c>
      <c r="X72" s="6">
        <f t="shared" si="1"/>
        <v>1.8822471352842651</v>
      </c>
      <c r="Y72" s="6"/>
      <c r="Z72" s="41"/>
      <c r="AA72" s="41"/>
      <c r="AB72" s="3" t="s">
        <v>281</v>
      </c>
      <c r="AC72" s="1">
        <v>658</v>
      </c>
      <c r="AD72" s="1">
        <v>831261.6</v>
      </c>
      <c r="AE72" s="8">
        <v>5.402117449682318E-3</v>
      </c>
      <c r="AF72" s="1">
        <v>325753.86171214492</v>
      </c>
      <c r="AG72" s="6">
        <f t="shared" si="2"/>
        <v>-0.14741114620817342</v>
      </c>
      <c r="AH72" s="6">
        <f t="shared" si="3"/>
        <v>15.010726342727029</v>
      </c>
      <c r="AI72" s="6" t="str">
        <f>VLOOKUP(AB72,'ABC расчет'!AC:AC,1,0)</f>
        <v>ASTI</v>
      </c>
      <c r="AJ72" s="6"/>
      <c r="AK72" s="6"/>
      <c r="AL72" s="6"/>
    </row>
    <row r="73" spans="1:38" x14ac:dyDescent="0.3">
      <c r="A73" s="3" t="s">
        <v>174</v>
      </c>
      <c r="B73" s="1">
        <v>61</v>
      </c>
      <c r="C73" s="1">
        <v>250167.27650000004</v>
      </c>
      <c r="D73" s="8">
        <v>3.0191499119131748E-3</v>
      </c>
      <c r="E73" s="1">
        <v>112450.41533394146</v>
      </c>
      <c r="F73" s="1"/>
      <c r="G73" s="1"/>
      <c r="I73" s="1"/>
      <c r="J73" s="3" t="s">
        <v>285</v>
      </c>
      <c r="K73" s="1">
        <v>267</v>
      </c>
      <c r="L73" s="1">
        <v>750675.75</v>
      </c>
      <c r="M73" s="8">
        <v>5.1833111323971422E-3</v>
      </c>
      <c r="N73" s="1">
        <v>346830.27334848809</v>
      </c>
      <c r="O73" s="6">
        <f t="shared" si="0"/>
        <v>1</v>
      </c>
      <c r="P73" s="6"/>
      <c r="Q73" s="6"/>
      <c r="R73" s="41"/>
      <c r="S73" s="3" t="s">
        <v>281</v>
      </c>
      <c r="T73" s="1">
        <v>662</v>
      </c>
      <c r="U73" s="1">
        <v>838683.5</v>
      </c>
      <c r="V73" s="8">
        <v>5.1084634408614226E-3</v>
      </c>
      <c r="W73" s="1">
        <v>382076.14404455142</v>
      </c>
      <c r="X73" s="6">
        <f t="shared" si="1"/>
        <v>-9.1337085521951189E-2</v>
      </c>
      <c r="Y73" s="6"/>
      <c r="Z73" s="41"/>
      <c r="AA73" s="41"/>
      <c r="AB73" s="3" t="s">
        <v>173</v>
      </c>
      <c r="AC73" s="1">
        <v>507</v>
      </c>
      <c r="AD73" s="1">
        <v>821493.15000000026</v>
      </c>
      <c r="AE73" s="8">
        <v>5.3386352508157427E-3</v>
      </c>
      <c r="AF73" s="1">
        <v>367692.23046008393</v>
      </c>
      <c r="AG73" s="6">
        <f t="shared" si="2"/>
        <v>-0.2591487449299843</v>
      </c>
      <c r="AH73" s="6">
        <f t="shared" si="3"/>
        <v>42.727141645477246</v>
      </c>
      <c r="AI73" s="6" t="str">
        <f>VLOOKUP(AB73,'ABC расчет'!AC:AC,1,0)</f>
        <v>MODERN</v>
      </c>
      <c r="AJ73" s="6"/>
      <c r="AK73" s="6"/>
      <c r="AL73" s="6"/>
    </row>
    <row r="74" spans="1:38" x14ac:dyDescent="0.3">
      <c r="A74" s="3" t="s">
        <v>417</v>
      </c>
      <c r="B74" s="1">
        <v>1400</v>
      </c>
      <c r="C74" s="1">
        <v>248700.94199999998</v>
      </c>
      <c r="D74" s="8">
        <v>3.0014534180373646E-3</v>
      </c>
      <c r="E74" s="1">
        <v>79030.970609993878</v>
      </c>
      <c r="F74" s="1"/>
      <c r="G74" s="1"/>
      <c r="I74" s="1"/>
      <c r="J74" s="3" t="s">
        <v>284</v>
      </c>
      <c r="K74" s="1">
        <v>168</v>
      </c>
      <c r="L74" s="1">
        <v>734807.77000000014</v>
      </c>
      <c r="M74" s="8">
        <v>5.0737449483520937E-3</v>
      </c>
      <c r="N74" s="1">
        <v>288408.93212013674</v>
      </c>
      <c r="O74" s="6">
        <f t="shared" si="0"/>
        <v>208.11357666297104</v>
      </c>
      <c r="P74" s="6"/>
      <c r="Q74" s="6"/>
      <c r="R74" s="41"/>
      <c r="S74" s="3" t="s">
        <v>126</v>
      </c>
      <c r="T74" s="1">
        <v>291</v>
      </c>
      <c r="U74" s="1">
        <v>819027.05</v>
      </c>
      <c r="V74" s="8">
        <v>4.9887350138658757E-3</v>
      </c>
      <c r="W74" s="1">
        <v>338848.91365770029</v>
      </c>
      <c r="X74" s="6">
        <f t="shared" si="1"/>
        <v>5.5081379654171592E-3</v>
      </c>
      <c r="Y74" s="6"/>
      <c r="Z74" s="41"/>
      <c r="AA74" s="41"/>
      <c r="AB74" s="3" t="s">
        <v>10</v>
      </c>
      <c r="AC74" s="1">
        <v>1288</v>
      </c>
      <c r="AD74" s="1">
        <v>773543.25</v>
      </c>
      <c r="AE74" s="8">
        <v>5.0270233689478404E-3</v>
      </c>
      <c r="AF74" s="1">
        <v>318266.50283863902</v>
      </c>
      <c r="AG74" s="6">
        <f t="shared" si="2"/>
        <v>0.14265040374198845</v>
      </c>
      <c r="AH74" s="6">
        <f t="shared" si="3"/>
        <v>0.8570439776980836</v>
      </c>
      <c r="AI74" s="6" t="str">
        <f>VLOOKUP(AB74,'ABC расчет'!AC:AC,1,0)</f>
        <v>ASCONA</v>
      </c>
      <c r="AJ74" s="6"/>
      <c r="AK74" s="6"/>
      <c r="AL74" s="6"/>
    </row>
    <row r="75" spans="1:38" x14ac:dyDescent="0.3">
      <c r="A75" s="3" t="s">
        <v>74</v>
      </c>
      <c r="B75" s="1">
        <v>42</v>
      </c>
      <c r="C75" s="1">
        <v>246234.62159999998</v>
      </c>
      <c r="D75" s="8">
        <v>2.9716885698022693E-3</v>
      </c>
      <c r="E75" s="1">
        <v>91265.107982059635</v>
      </c>
      <c r="F75" s="1"/>
      <c r="G75" s="1"/>
      <c r="I75" s="1"/>
      <c r="J75" s="3" t="s">
        <v>96</v>
      </c>
      <c r="K75" s="1">
        <v>1062</v>
      </c>
      <c r="L75" s="1">
        <v>730565.23999999987</v>
      </c>
      <c r="M75" s="8">
        <v>5.0444508716771374E-3</v>
      </c>
      <c r="N75" s="1">
        <v>302599.93696212023</v>
      </c>
      <c r="O75" s="6">
        <f t="shared" si="0"/>
        <v>1.7127982105893791</v>
      </c>
      <c r="P75" s="6"/>
      <c r="Q75" s="6"/>
      <c r="R75" s="41"/>
      <c r="S75" s="3" t="s">
        <v>76</v>
      </c>
      <c r="T75" s="1">
        <v>490</v>
      </c>
      <c r="U75" s="1">
        <v>814034.05000000016</v>
      </c>
      <c r="V75" s="8">
        <v>4.9583223993811256E-3</v>
      </c>
      <c r="W75" s="1">
        <v>380530.85671768163</v>
      </c>
      <c r="X75" s="6">
        <f t="shared" si="1"/>
        <v>0.61211016000405527</v>
      </c>
      <c r="Y75" s="6"/>
      <c r="Z75" s="41"/>
      <c r="AA75" s="41"/>
      <c r="AB75" s="3" t="s">
        <v>291</v>
      </c>
      <c r="AC75" s="1">
        <v>189</v>
      </c>
      <c r="AD75" s="1">
        <v>754909.05</v>
      </c>
      <c r="AE75" s="8">
        <v>4.9059253451959068E-3</v>
      </c>
      <c r="AF75" s="1">
        <v>323856.98513643455</v>
      </c>
      <c r="AG75" s="6">
        <f t="shared" si="2"/>
        <v>0.41799977565155566</v>
      </c>
      <c r="AH75" s="6">
        <f t="shared" si="3"/>
        <v>22.983410251395828</v>
      </c>
      <c r="AI75" s="6" t="str">
        <f>VLOOKUP(AB75,'ABC расчет'!AC:AC,1,0)</f>
        <v>Меган</v>
      </c>
      <c r="AJ75" s="6"/>
      <c r="AK75" s="6"/>
      <c r="AL75" s="6"/>
    </row>
    <row r="76" spans="1:38" x14ac:dyDescent="0.3">
      <c r="A76" s="3" t="s">
        <v>233</v>
      </c>
      <c r="B76" s="1">
        <v>184</v>
      </c>
      <c r="C76" s="1">
        <v>228586.93890000004</v>
      </c>
      <c r="D76" s="8">
        <v>2.7587070783194035E-3</v>
      </c>
      <c r="E76" s="1">
        <v>73395.71734804337</v>
      </c>
      <c r="F76" s="1"/>
      <c r="G76" s="1"/>
      <c r="I76" s="1"/>
      <c r="J76" s="3" t="s">
        <v>188</v>
      </c>
      <c r="K76" s="1">
        <v>472</v>
      </c>
      <c r="L76" s="1">
        <v>720263.85</v>
      </c>
      <c r="M76" s="8">
        <v>4.9733212135442302E-3</v>
      </c>
      <c r="N76" s="1">
        <v>332301.33175159222</v>
      </c>
      <c r="O76" s="6">
        <f t="shared" si="0"/>
        <v>1</v>
      </c>
      <c r="P76" s="6"/>
      <c r="Q76" s="6"/>
      <c r="R76" s="41"/>
      <c r="S76" s="3" t="s">
        <v>145</v>
      </c>
      <c r="T76" s="1">
        <v>151</v>
      </c>
      <c r="U76" s="1">
        <v>800455.15</v>
      </c>
      <c r="V76" s="8">
        <v>4.8756126355463609E-3</v>
      </c>
      <c r="W76" s="1">
        <v>335125.27040523198</v>
      </c>
      <c r="X76" s="6">
        <f t="shared" si="1"/>
        <v>1.083235978127898</v>
      </c>
      <c r="Y76" s="6"/>
      <c r="Z76" s="41"/>
      <c r="AA76" s="41"/>
      <c r="AB76" s="3" t="s">
        <v>103</v>
      </c>
      <c r="AC76" s="1">
        <v>111</v>
      </c>
      <c r="AD76" s="1">
        <v>719758.11400000006</v>
      </c>
      <c r="AE76" s="8">
        <v>4.6774900551039954E-3</v>
      </c>
      <c r="AF76" s="1">
        <v>313264.65336547443</v>
      </c>
      <c r="AG76" s="6">
        <f t="shared" si="2"/>
        <v>0.46706912295013336</v>
      </c>
      <c r="AH76" s="6">
        <f t="shared" si="3"/>
        <v>11.060972928752255</v>
      </c>
      <c r="AI76" s="6" t="str">
        <f>VLOOKUP(AB76,'ABC расчет'!AC:AC,1,0)</f>
        <v>OFFICE</v>
      </c>
      <c r="AJ76" s="6"/>
      <c r="AK76" s="6"/>
      <c r="AL76" s="6"/>
    </row>
    <row r="77" spans="1:38" x14ac:dyDescent="0.3">
      <c r="A77" s="3" t="s">
        <v>37</v>
      </c>
      <c r="B77" s="1">
        <v>27</v>
      </c>
      <c r="C77" s="1">
        <v>214456.94770000002</v>
      </c>
      <c r="D77" s="8">
        <v>2.5881789329773646E-3</v>
      </c>
      <c r="E77" s="1">
        <v>88950.184494025743</v>
      </c>
      <c r="F77" s="1"/>
      <c r="G77" s="1"/>
      <c r="I77" s="1"/>
      <c r="J77" s="3" t="s">
        <v>140</v>
      </c>
      <c r="K77" s="1">
        <v>429</v>
      </c>
      <c r="L77" s="1">
        <v>713364.65000000095</v>
      </c>
      <c r="M77" s="8">
        <v>4.9256832018399364E-3</v>
      </c>
      <c r="N77" s="1">
        <v>315814.21000007546</v>
      </c>
      <c r="O77" s="6">
        <f t="shared" si="0"/>
        <v>1</v>
      </c>
      <c r="P77" s="6"/>
      <c r="Q77" s="6"/>
      <c r="R77" s="41"/>
      <c r="S77" s="3" t="s">
        <v>91</v>
      </c>
      <c r="T77" s="1">
        <v>346</v>
      </c>
      <c r="U77" s="1">
        <v>781166.04999999993</v>
      </c>
      <c r="V77" s="8">
        <v>4.7581217559033006E-3</v>
      </c>
      <c r="W77" s="1">
        <v>363617.35947069858</v>
      </c>
      <c r="X77" s="6">
        <f t="shared" si="1"/>
        <v>-0.46742290533524888</v>
      </c>
      <c r="Y77" s="6"/>
      <c r="Z77" s="41"/>
      <c r="AA77" s="41"/>
      <c r="AB77" s="3" t="s">
        <v>192</v>
      </c>
      <c r="AC77" s="1">
        <v>166</v>
      </c>
      <c r="AD77" s="1">
        <v>704333.40000000014</v>
      </c>
      <c r="AE77" s="8">
        <v>4.5772495091004764E-3</v>
      </c>
      <c r="AF77" s="1">
        <v>283147.41166510305</v>
      </c>
      <c r="AG77" s="6">
        <f t="shared" si="2"/>
        <v>-0.22048110210091554</v>
      </c>
      <c r="AH77" s="6">
        <f t="shared" si="3"/>
        <v>99.345077128067459</v>
      </c>
      <c r="AI77" s="6" t="str">
        <f>VLOOKUP(AB77,'ABC расчет'!AC:AC,1,0)</f>
        <v>TELA</v>
      </c>
      <c r="AJ77" s="6"/>
      <c r="AK77" s="6"/>
      <c r="AL77" s="6"/>
    </row>
    <row r="78" spans="1:38" x14ac:dyDescent="0.3">
      <c r="A78" s="3" t="s">
        <v>169</v>
      </c>
      <c r="B78" s="1">
        <v>57</v>
      </c>
      <c r="C78" s="1">
        <v>209142.72930000001</v>
      </c>
      <c r="D78" s="8">
        <v>2.5240441578831992E-3</v>
      </c>
      <c r="E78" s="1">
        <v>83892.026589311237</v>
      </c>
      <c r="F78" s="1"/>
      <c r="G78" s="1"/>
      <c r="I78" s="1"/>
      <c r="J78" s="3" t="s">
        <v>126</v>
      </c>
      <c r="K78" s="1">
        <v>279</v>
      </c>
      <c r="L78" s="1">
        <v>712236.55</v>
      </c>
      <c r="M78" s="8">
        <v>4.9178938290135709E-3</v>
      </c>
      <c r="N78" s="1">
        <v>336992.71131046227</v>
      </c>
      <c r="O78" s="6">
        <f t="shared" si="0"/>
        <v>4.9116437833956317</v>
      </c>
      <c r="P78" s="6"/>
      <c r="Q78" s="6"/>
      <c r="R78" s="41"/>
      <c r="S78" s="3" t="s">
        <v>235</v>
      </c>
      <c r="T78" s="1">
        <v>334</v>
      </c>
      <c r="U78" s="1">
        <v>778664.4</v>
      </c>
      <c r="V78" s="8">
        <v>4.7428840797515337E-3</v>
      </c>
      <c r="W78" s="1">
        <v>363391.75360361621</v>
      </c>
      <c r="X78" s="6">
        <f t="shared" si="1"/>
        <v>32.683009126107613</v>
      </c>
      <c r="Y78" s="6"/>
      <c r="Z78" s="41"/>
      <c r="AA78" s="41"/>
      <c r="AB78" s="3" t="s">
        <v>8</v>
      </c>
      <c r="AC78" s="1">
        <v>480</v>
      </c>
      <c r="AD78" s="1">
        <v>667137.60000000009</v>
      </c>
      <c r="AE78" s="8">
        <v>4.3355252670148397E-3</v>
      </c>
      <c r="AF78" s="1">
        <v>274716.46337774827</v>
      </c>
      <c r="AG78" s="6">
        <f t="shared" si="2"/>
        <v>0.22975835629381125</v>
      </c>
      <c r="AH78" s="6">
        <f t="shared" si="3"/>
        <v>12.866936540346929</v>
      </c>
      <c r="AI78" s="6" t="str">
        <f>VLOOKUP(AB78,'ABC расчет'!AC:AC,1,0)</f>
        <v>AMELY</v>
      </c>
      <c r="AJ78" s="6"/>
      <c r="AK78" s="6"/>
      <c r="AL78" s="6"/>
    </row>
    <row r="79" spans="1:38" x14ac:dyDescent="0.3">
      <c r="A79" s="3" t="s">
        <v>198</v>
      </c>
      <c r="B79" s="1">
        <v>112</v>
      </c>
      <c r="C79" s="1">
        <v>186479.64359999998</v>
      </c>
      <c r="D79" s="8">
        <v>2.2505341522896585E-3</v>
      </c>
      <c r="E79" s="1">
        <v>81569.816705918784</v>
      </c>
      <c r="F79" s="1"/>
      <c r="G79" s="1"/>
      <c r="I79" s="1"/>
      <c r="J79" s="3" t="s">
        <v>192</v>
      </c>
      <c r="K79" s="1">
        <v>157</v>
      </c>
      <c r="L79" s="1">
        <v>660508.35</v>
      </c>
      <c r="M79" s="8">
        <v>4.560717838022965E-3</v>
      </c>
      <c r="N79" s="1">
        <v>241871.95041639116</v>
      </c>
      <c r="O79" s="6">
        <f t="shared" si="0"/>
        <v>84.71739849896764</v>
      </c>
      <c r="P79" s="6"/>
      <c r="Q79" s="6"/>
      <c r="R79" s="41"/>
      <c r="S79" s="3" t="s">
        <v>26</v>
      </c>
      <c r="T79" s="1">
        <v>438</v>
      </c>
      <c r="U79" s="1">
        <v>768469.96330000018</v>
      </c>
      <c r="V79" s="8">
        <v>4.6807892523439056E-3</v>
      </c>
      <c r="W79" s="1">
        <v>308656.96236791555</v>
      </c>
      <c r="X79" s="6">
        <f t="shared" si="1"/>
        <v>-0.29772004401827001</v>
      </c>
      <c r="Y79" s="6"/>
      <c r="Z79" s="41"/>
      <c r="AA79" s="41"/>
      <c r="AB79" s="3" t="s">
        <v>24</v>
      </c>
      <c r="AC79" s="1">
        <v>170</v>
      </c>
      <c r="AD79" s="1">
        <v>658035.75</v>
      </c>
      <c r="AE79" s="8">
        <v>4.2763750997156505E-3</v>
      </c>
      <c r="AF79" s="1">
        <v>314544.77392253769</v>
      </c>
      <c r="AG79" s="6">
        <f t="shared" si="2"/>
        <v>0.12516046050440677</v>
      </c>
      <c r="AH79" s="6">
        <f t="shared" si="3"/>
        <v>1.7970846566938601</v>
      </c>
      <c r="AI79" s="6" t="str">
        <f>VLOOKUP(AB79,'ABC расчет'!AC:AC,1,0)</f>
        <v>CLASSIC</v>
      </c>
      <c r="AJ79" s="6"/>
      <c r="AK79" s="6"/>
      <c r="AL79" s="6"/>
    </row>
    <row r="80" spans="1:38" x14ac:dyDescent="0.3">
      <c r="A80" s="3" t="s">
        <v>244</v>
      </c>
      <c r="B80" s="1">
        <v>54</v>
      </c>
      <c r="C80" s="1">
        <v>183111.36690000002</v>
      </c>
      <c r="D80" s="8">
        <v>2.2098840223271012E-3</v>
      </c>
      <c r="E80" s="1">
        <v>72060.051562792447</v>
      </c>
      <c r="F80" s="1"/>
      <c r="G80" s="1"/>
      <c r="I80" s="1"/>
      <c r="J80" s="3" t="s">
        <v>83</v>
      </c>
      <c r="K80" s="1">
        <v>890</v>
      </c>
      <c r="L80" s="1">
        <v>575228.6</v>
      </c>
      <c r="M80" s="8">
        <v>3.9718730837558329E-3</v>
      </c>
      <c r="N80" s="1">
        <v>273815.41117072356</v>
      </c>
      <c r="O80" s="6">
        <f t="shared" si="0"/>
        <v>0.57227807000065445</v>
      </c>
      <c r="P80" s="6"/>
      <c r="Q80" s="6"/>
      <c r="R80" s="41"/>
      <c r="S80" s="3" t="s">
        <v>182</v>
      </c>
      <c r="T80" s="1">
        <v>290</v>
      </c>
      <c r="U80" s="1">
        <v>751153.6</v>
      </c>
      <c r="V80" s="8">
        <v>4.5753144113022904E-3</v>
      </c>
      <c r="W80" s="1">
        <v>283623.04129092931</v>
      </c>
      <c r="X80" s="6">
        <f t="shared" si="1"/>
        <v>0.45475410068632915</v>
      </c>
      <c r="Y80" s="6"/>
      <c r="Z80" s="41"/>
      <c r="AA80" s="41"/>
      <c r="AB80" s="3" t="s">
        <v>50</v>
      </c>
      <c r="AC80" s="1">
        <v>697</v>
      </c>
      <c r="AD80" s="1">
        <v>648506.6</v>
      </c>
      <c r="AE80" s="8">
        <v>4.2144480390940119E-3</v>
      </c>
      <c r="AF80" s="1">
        <v>284904.30990223592</v>
      </c>
      <c r="AG80" s="6">
        <f t="shared" si="2"/>
        <v>-0.26414304624146878</v>
      </c>
      <c r="AH80" s="6">
        <f t="shared" si="3"/>
        <v>0.84487826478857109</v>
      </c>
      <c r="AI80" s="6" t="str">
        <f>VLOOKUP(AB80,'ABC расчет'!AC:AC,1,0)</f>
        <v>ISIT</v>
      </c>
      <c r="AJ80" s="6"/>
      <c r="AK80" s="6"/>
      <c r="AL80" s="6"/>
    </row>
    <row r="81" spans="1:38" x14ac:dyDescent="0.3">
      <c r="A81" s="3" t="s">
        <v>126</v>
      </c>
      <c r="B81" s="1">
        <v>104</v>
      </c>
      <c r="C81" s="1">
        <v>178701.54430000001</v>
      </c>
      <c r="D81" s="8">
        <v>2.1566639701259779E-3</v>
      </c>
      <c r="E81" s="1">
        <v>57004.908221465026</v>
      </c>
      <c r="F81" s="1"/>
      <c r="G81" s="1"/>
      <c r="I81" s="1"/>
      <c r="J81" s="3" t="s">
        <v>221</v>
      </c>
      <c r="K81" s="1">
        <v>872</v>
      </c>
      <c r="L81" s="1">
        <v>564718.4</v>
      </c>
      <c r="M81" s="8">
        <v>3.8993016217581324E-3</v>
      </c>
      <c r="N81" s="1">
        <v>231541.1419079591</v>
      </c>
      <c r="O81" s="6">
        <f t="shared" si="0"/>
        <v>1</v>
      </c>
      <c r="P81" s="6"/>
      <c r="Q81" s="6"/>
      <c r="R81" s="41"/>
      <c r="S81" s="3" t="s">
        <v>321</v>
      </c>
      <c r="T81" s="1">
        <v>255</v>
      </c>
      <c r="U81" s="1">
        <v>735618</v>
      </c>
      <c r="V81" s="8">
        <v>4.4806862892135093E-3</v>
      </c>
      <c r="W81" s="1">
        <v>204772.86803665137</v>
      </c>
      <c r="X81" s="6">
        <f t="shared" si="1"/>
        <v>2.7246562295962868</v>
      </c>
      <c r="Y81" s="6"/>
      <c r="Z81" s="41"/>
      <c r="AA81" s="41"/>
      <c r="AB81" s="3" t="s">
        <v>9</v>
      </c>
      <c r="AC81" s="1">
        <v>700</v>
      </c>
      <c r="AD81" s="1">
        <v>634078.4</v>
      </c>
      <c r="AE81" s="8">
        <v>4.1206835358527866E-3</v>
      </c>
      <c r="AF81" s="1">
        <v>282564.85330356873</v>
      </c>
      <c r="AG81" s="6">
        <f t="shared" si="2"/>
        <v>-0.29191875491959052</v>
      </c>
      <c r="AH81" s="6">
        <f t="shared" si="3"/>
        <v>12.049679611615328</v>
      </c>
      <c r="AI81" s="6" t="str">
        <f>VLOOKUP(AB81,'ABC расчет'!AC:AC,1,0)</f>
        <v>ARGENTO</v>
      </c>
      <c r="AJ81" s="6"/>
      <c r="AK81" s="6"/>
      <c r="AL81" s="6"/>
    </row>
    <row r="82" spans="1:38" x14ac:dyDescent="0.3">
      <c r="A82" s="3" t="s">
        <v>189</v>
      </c>
      <c r="B82" s="1">
        <v>36</v>
      </c>
      <c r="C82" s="1">
        <v>176529.53570000001</v>
      </c>
      <c r="D82" s="8">
        <v>2.1304510310673212E-3</v>
      </c>
      <c r="E82" s="1">
        <v>75609.216972544804</v>
      </c>
      <c r="F82" s="1"/>
      <c r="G82" s="1"/>
      <c r="I82" s="1"/>
      <c r="J82" s="3" t="s">
        <v>79</v>
      </c>
      <c r="K82" s="1">
        <v>109</v>
      </c>
      <c r="L82" s="1">
        <v>553998.65</v>
      </c>
      <c r="M82" s="8">
        <v>3.8252832462990684E-3</v>
      </c>
      <c r="N82" s="1">
        <v>257262.27165289762</v>
      </c>
      <c r="O82" s="6">
        <f t="shared" si="0"/>
        <v>5.9233434905926492</v>
      </c>
      <c r="P82" s="6"/>
      <c r="Q82" s="6"/>
      <c r="R82" s="41"/>
      <c r="S82" s="3" t="s">
        <v>10</v>
      </c>
      <c r="T82" s="1">
        <v>1273</v>
      </c>
      <c r="U82" s="1">
        <v>735323.79</v>
      </c>
      <c r="V82" s="8">
        <v>4.4788942412848981E-3</v>
      </c>
      <c r="W82" s="1">
        <v>278533.57579568482</v>
      </c>
      <c r="X82" s="6">
        <f t="shared" si="1"/>
        <v>0.31155466487970562</v>
      </c>
      <c r="Y82" s="6"/>
      <c r="Z82" s="41"/>
      <c r="AA82" s="41"/>
      <c r="AB82" s="3" t="s">
        <v>148</v>
      </c>
      <c r="AC82" s="1">
        <v>108</v>
      </c>
      <c r="AD82" s="1">
        <v>619156.96</v>
      </c>
      <c r="AE82" s="8">
        <v>4.0237136151943711E-3</v>
      </c>
      <c r="AF82" s="1">
        <v>267403.73059391638</v>
      </c>
      <c r="AG82" s="6">
        <f t="shared" si="2"/>
        <v>-0.42137382544060453</v>
      </c>
      <c r="AH82" s="6">
        <f t="shared" si="3"/>
        <v>8.2568393367124013</v>
      </c>
      <c r="AI82" s="6" t="str">
        <f>VLOOKUP(AB82,'ABC расчет'!AC:AC,1,0)</f>
        <v>DELTA</v>
      </c>
      <c r="AJ82" s="6"/>
      <c r="AK82" s="6"/>
      <c r="AL82" s="6"/>
    </row>
    <row r="83" spans="1:38" x14ac:dyDescent="0.3">
      <c r="A83" s="3" t="s">
        <v>171</v>
      </c>
      <c r="B83" s="1">
        <v>106</v>
      </c>
      <c r="C83" s="1">
        <v>169571.06200000001</v>
      </c>
      <c r="D83" s="8">
        <v>2.0464725205589528E-3</v>
      </c>
      <c r="E83" s="1">
        <v>80806.747085755545</v>
      </c>
      <c r="F83" s="1"/>
      <c r="G83" s="1"/>
      <c r="I83" s="1"/>
      <c r="J83" s="3" t="s">
        <v>184</v>
      </c>
      <c r="K83" s="1">
        <v>241</v>
      </c>
      <c r="L83" s="1">
        <v>544477.69999999995</v>
      </c>
      <c r="M83" s="8">
        <v>3.759542417284681E-3</v>
      </c>
      <c r="N83" s="1">
        <v>191797.59748060958</v>
      </c>
      <c r="O83" s="6">
        <f t="shared" si="0"/>
        <v>1</v>
      </c>
      <c r="P83" s="6"/>
      <c r="Q83" s="6"/>
      <c r="R83" s="41"/>
      <c r="S83" s="3" t="s">
        <v>149</v>
      </c>
      <c r="T83" s="1">
        <v>138</v>
      </c>
      <c r="U83" s="1">
        <v>731779.03330000001</v>
      </c>
      <c r="V83" s="8">
        <v>4.4573029496847907E-3</v>
      </c>
      <c r="W83" s="1">
        <v>289463.00342252303</v>
      </c>
      <c r="X83" s="6">
        <f t="shared" si="1"/>
        <v>-0.19629275001846458</v>
      </c>
      <c r="Y83" s="6"/>
      <c r="Z83" s="41"/>
      <c r="AA83" s="41"/>
      <c r="AB83" s="3" t="s">
        <v>461</v>
      </c>
      <c r="AC83" s="1">
        <v>1043.0570000000002</v>
      </c>
      <c r="AD83" s="1">
        <v>600857.64960000012</v>
      </c>
      <c r="AE83" s="8">
        <v>3.9047919375552347E-3</v>
      </c>
      <c r="AF83" s="1">
        <v>67863.640811338264</v>
      </c>
      <c r="AG83" s="6">
        <f t="shared" si="2"/>
        <v>5.3026905434978122E-2</v>
      </c>
      <c r="AH83" s="6">
        <f t="shared" si="3"/>
        <v>1</v>
      </c>
      <c r="AI83" s="6" t="e">
        <f>VLOOKUP(AB83,'ABC расчет'!AC:AC,1,0)</f>
        <v>#N/A</v>
      </c>
      <c r="AJ83" s="6"/>
      <c r="AK83" s="6"/>
      <c r="AL83" s="6"/>
    </row>
    <row r="84" spans="1:38" x14ac:dyDescent="0.3">
      <c r="A84" s="3" t="s">
        <v>13</v>
      </c>
      <c r="B84" s="1">
        <v>145</v>
      </c>
      <c r="C84" s="1">
        <v>162397.23920000001</v>
      </c>
      <c r="D84" s="8">
        <v>1.9598950641556939E-3</v>
      </c>
      <c r="E84" s="1">
        <v>59791.501553301772</v>
      </c>
      <c r="F84" s="1"/>
      <c r="G84" s="1"/>
      <c r="I84" s="1"/>
      <c r="J84" s="3" t="s">
        <v>37</v>
      </c>
      <c r="K84" s="1">
        <v>52</v>
      </c>
      <c r="L84" s="1">
        <v>543235.19999999995</v>
      </c>
      <c r="M84" s="8">
        <v>3.7509631284479185E-3</v>
      </c>
      <c r="N84" s="1">
        <v>281942.93950987491</v>
      </c>
      <c r="O84" s="6">
        <f t="shared" si="0"/>
        <v>2.1696723409135967</v>
      </c>
      <c r="P84" s="6"/>
      <c r="Q84" s="6"/>
      <c r="R84" s="41"/>
      <c r="S84" s="3" t="s">
        <v>83</v>
      </c>
      <c r="T84" s="1">
        <v>1196</v>
      </c>
      <c r="U84" s="1">
        <v>704493.2999999997</v>
      </c>
      <c r="V84" s="8">
        <v>4.2911041738412847E-3</v>
      </c>
      <c r="W84" s="1">
        <v>311279.18935616454</v>
      </c>
      <c r="X84" s="6">
        <f t="shared" si="1"/>
        <v>0.13682129148706812</v>
      </c>
      <c r="Y84" s="6"/>
      <c r="Z84" s="41"/>
      <c r="AA84" s="41"/>
      <c r="AB84" s="3" t="s">
        <v>285</v>
      </c>
      <c r="AC84" s="1">
        <v>192</v>
      </c>
      <c r="AD84" s="1">
        <v>581432.80000000005</v>
      </c>
      <c r="AE84" s="8">
        <v>3.77855572144515E-3</v>
      </c>
      <c r="AF84" s="1">
        <v>209985.33608959441</v>
      </c>
      <c r="AG84" s="6">
        <f t="shared" si="2"/>
        <v>0.12454755540377249</v>
      </c>
      <c r="AH84" s="6">
        <f t="shared" si="3"/>
        <v>1</v>
      </c>
      <c r="AI84" s="6" t="str">
        <f>VLOOKUP(AB84,'ABC расчет'!AC:AC,1,0)</f>
        <v>FIXY</v>
      </c>
      <c r="AJ84" s="6"/>
      <c r="AK84" s="6"/>
      <c r="AL84" s="6"/>
    </row>
    <row r="85" spans="1:38" x14ac:dyDescent="0.3">
      <c r="A85" s="3" t="s">
        <v>166</v>
      </c>
      <c r="B85" s="1">
        <v>43</v>
      </c>
      <c r="C85" s="1">
        <v>150377.59130000003</v>
      </c>
      <c r="D85" s="8">
        <v>1.8148356486868914E-3</v>
      </c>
      <c r="E85" s="1">
        <v>65489.725598788587</v>
      </c>
      <c r="F85" s="1"/>
      <c r="G85" s="1"/>
      <c r="I85" s="1"/>
      <c r="J85" s="3" t="s">
        <v>103</v>
      </c>
      <c r="K85" s="1">
        <v>81</v>
      </c>
      <c r="L85" s="1">
        <v>532881.41</v>
      </c>
      <c r="M85" s="8">
        <v>3.679471655638917E-3</v>
      </c>
      <c r="N85" s="1">
        <v>235342.70119649073</v>
      </c>
      <c r="O85" s="6">
        <f t="shared" si="0"/>
        <v>8.0609071838014739</v>
      </c>
      <c r="P85" s="6"/>
      <c r="Q85" s="6"/>
      <c r="R85" s="41"/>
      <c r="S85" s="3" t="s">
        <v>292</v>
      </c>
      <c r="T85" s="1">
        <v>227</v>
      </c>
      <c r="U85" s="1">
        <v>695052.64999999991</v>
      </c>
      <c r="V85" s="8">
        <v>4.2336006991896824E-3</v>
      </c>
      <c r="W85" s="1">
        <v>272833.3830266716</v>
      </c>
      <c r="X85" s="6">
        <f t="shared" si="1"/>
        <v>1.1082519631368286</v>
      </c>
      <c r="Y85" s="6"/>
      <c r="Z85" s="41"/>
      <c r="AA85" s="41"/>
      <c r="AB85" s="3" t="s">
        <v>280</v>
      </c>
      <c r="AC85" s="1">
        <v>151</v>
      </c>
      <c r="AD85" s="1">
        <v>579564.6</v>
      </c>
      <c r="AE85" s="8">
        <v>3.7664148552972406E-3</v>
      </c>
      <c r="AF85" s="1">
        <v>256829.14675367798</v>
      </c>
      <c r="AG85" s="6">
        <f t="shared" si="2"/>
        <v>-0.46306292976710373</v>
      </c>
      <c r="AH85" s="6">
        <f t="shared" si="3"/>
        <v>9.3626120340862702</v>
      </c>
      <c r="AI85" s="6" t="str">
        <f>VLOOKUP(AB85,'ABC расчет'!AC:AC,1,0)</f>
        <v>FRANK</v>
      </c>
      <c r="AJ85" s="6"/>
      <c r="AK85" s="6"/>
      <c r="AL85" s="6"/>
    </row>
    <row r="86" spans="1:38" x14ac:dyDescent="0.3">
      <c r="A86" s="3" t="s">
        <v>209</v>
      </c>
      <c r="B86" s="1">
        <v>302</v>
      </c>
      <c r="C86" s="1">
        <v>148869.7138</v>
      </c>
      <c r="D86" s="8">
        <v>1.7966377920967194E-3</v>
      </c>
      <c r="E86" s="1">
        <v>65831.794537204973</v>
      </c>
      <c r="F86" s="1"/>
      <c r="G86" s="1"/>
      <c r="I86" s="1"/>
      <c r="J86" s="3" t="s">
        <v>303</v>
      </c>
      <c r="K86" s="1">
        <v>179</v>
      </c>
      <c r="L86" s="1">
        <v>520418.16999999993</v>
      </c>
      <c r="M86" s="8">
        <v>3.5934147254160641E-3</v>
      </c>
      <c r="N86" s="1">
        <v>182707.97490768353</v>
      </c>
      <c r="O86" s="6">
        <f t="shared" si="0"/>
        <v>1</v>
      </c>
      <c r="P86" s="6"/>
      <c r="Q86" s="6"/>
      <c r="R86" s="41"/>
      <c r="S86" s="3" t="s">
        <v>66</v>
      </c>
      <c r="T86" s="1">
        <v>403</v>
      </c>
      <c r="U86" s="1">
        <v>671592.64999999991</v>
      </c>
      <c r="V86" s="8">
        <v>4.0907046575689651E-3</v>
      </c>
      <c r="W86" s="1">
        <v>314158.98259092995</v>
      </c>
      <c r="X86" s="6">
        <f t="shared" si="1"/>
        <v>-0.32836429456296179</v>
      </c>
      <c r="Y86" s="6"/>
      <c r="Z86" s="41"/>
      <c r="AA86" s="41"/>
      <c r="AB86" s="3" t="s">
        <v>56</v>
      </c>
      <c r="AC86" s="1">
        <v>339</v>
      </c>
      <c r="AD86" s="1">
        <v>539277.75</v>
      </c>
      <c r="AE86" s="8">
        <v>3.5046028151672335E-3</v>
      </c>
      <c r="AF86" s="1">
        <v>246340.92865900137</v>
      </c>
      <c r="AG86" s="6">
        <f t="shared" si="2"/>
        <v>0.78273038234040904</v>
      </c>
      <c r="AH86" s="6">
        <f t="shared" si="3"/>
        <v>1</v>
      </c>
      <c r="AI86" s="6" t="str">
        <f>VLOOKUP(AB86,'ABC расчет'!AC:AC,1,0)</f>
        <v>JUPITER</v>
      </c>
      <c r="AJ86" s="6"/>
      <c r="AK86" s="6"/>
      <c r="AL86" s="6"/>
    </row>
    <row r="87" spans="1:38" x14ac:dyDescent="0.3">
      <c r="A87" s="3" t="s">
        <v>235</v>
      </c>
      <c r="B87" s="1">
        <v>92</v>
      </c>
      <c r="C87" s="1">
        <v>140746.1575</v>
      </c>
      <c r="D87" s="8">
        <v>1.6985984536560391E-3</v>
      </c>
      <c r="E87" s="1">
        <v>47721.353148714974</v>
      </c>
      <c r="F87" s="1"/>
      <c r="G87" s="1"/>
      <c r="I87" s="1"/>
      <c r="J87" s="3" t="s">
        <v>76</v>
      </c>
      <c r="K87" s="1">
        <v>316</v>
      </c>
      <c r="L87" s="1">
        <v>519873.7</v>
      </c>
      <c r="M87" s="8">
        <v>3.5896552361662035E-3</v>
      </c>
      <c r="N87" s="1">
        <v>236045.19477547638</v>
      </c>
      <c r="O87" s="6">
        <f t="shared" si="0"/>
        <v>-0.28014087274286903</v>
      </c>
      <c r="P87" s="6"/>
      <c r="Q87" s="6"/>
      <c r="R87" s="41"/>
      <c r="S87" s="3" t="s">
        <v>140</v>
      </c>
      <c r="T87" s="1">
        <v>393</v>
      </c>
      <c r="U87" s="1">
        <v>659318.90000000084</v>
      </c>
      <c r="V87" s="8">
        <v>4.0159446281213028E-3</v>
      </c>
      <c r="W87" s="1">
        <v>248580.06151345008</v>
      </c>
      <c r="X87" s="6">
        <f t="shared" si="1"/>
        <v>-0.21289146073132459</v>
      </c>
      <c r="Y87" s="6"/>
      <c r="Z87" s="41"/>
      <c r="AA87" s="41"/>
      <c r="AB87" s="3" t="s">
        <v>140</v>
      </c>
      <c r="AC87" s="1">
        <v>320</v>
      </c>
      <c r="AD87" s="1">
        <v>535181.80000000028</v>
      </c>
      <c r="AE87" s="8">
        <v>3.4779844762856771E-3</v>
      </c>
      <c r="AF87" s="1">
        <v>196371.038381455</v>
      </c>
      <c r="AG87" s="6">
        <f t="shared" si="2"/>
        <v>-0.21002900560136106</v>
      </c>
      <c r="AH87" s="6">
        <f t="shared" si="3"/>
        <v>1</v>
      </c>
      <c r="AI87" s="6" t="str">
        <f>VLOOKUP(AB87,'ABC расчет'!AC:AC,1,0)</f>
        <v>AQUA</v>
      </c>
      <c r="AJ87" s="6"/>
      <c r="AK87" s="6"/>
      <c r="AL87" s="6"/>
    </row>
    <row r="88" spans="1:38" x14ac:dyDescent="0.3">
      <c r="A88" s="3" t="s">
        <v>139</v>
      </c>
      <c r="B88" s="1">
        <v>81</v>
      </c>
      <c r="C88" s="1">
        <v>138977.76080000002</v>
      </c>
      <c r="D88" s="8">
        <v>1.6772565147113087E-3</v>
      </c>
      <c r="E88" s="1">
        <v>75799.603343269962</v>
      </c>
      <c r="F88" s="1"/>
      <c r="G88" s="1"/>
      <c r="I88" s="1"/>
      <c r="J88" s="3" t="s">
        <v>169</v>
      </c>
      <c r="K88" s="1">
        <v>102</v>
      </c>
      <c r="L88" s="1">
        <v>518034.35</v>
      </c>
      <c r="M88" s="8">
        <v>3.5769547815006908E-3</v>
      </c>
      <c r="N88" s="1">
        <v>229476.2760915769</v>
      </c>
      <c r="O88" s="6">
        <f t="shared" si="0"/>
        <v>1.7353764764196873</v>
      </c>
      <c r="P88" s="6"/>
      <c r="Q88" s="6"/>
      <c r="R88" s="41"/>
      <c r="S88" s="3" t="s">
        <v>67</v>
      </c>
      <c r="T88" s="1">
        <v>73</v>
      </c>
      <c r="U88" s="1">
        <v>635965.61670000001</v>
      </c>
      <c r="V88" s="8">
        <v>3.87369860329533E-3</v>
      </c>
      <c r="W88" s="1">
        <v>279423.69854574394</v>
      </c>
      <c r="X88" s="6">
        <f t="shared" si="1"/>
        <v>0.60809165719507896</v>
      </c>
      <c r="Y88" s="6"/>
      <c r="Z88" s="41"/>
      <c r="AA88" s="41"/>
      <c r="AB88" s="3" t="s">
        <v>169</v>
      </c>
      <c r="AC88" s="1">
        <v>95</v>
      </c>
      <c r="AD88" s="1">
        <v>530953.30999999994</v>
      </c>
      <c r="AE88" s="8">
        <v>3.4505048000744712E-3</v>
      </c>
      <c r="AF88" s="1">
        <v>267029.97258128138</v>
      </c>
      <c r="AG88" s="6">
        <f t="shared" si="2"/>
        <v>-0.40137455435848191</v>
      </c>
      <c r="AH88" s="6">
        <f t="shared" si="3"/>
        <v>2.1830196913529316</v>
      </c>
      <c r="AI88" s="6" t="str">
        <f>VLOOKUP(AB88,'ABC расчет'!AC:AC,1,0)</f>
        <v>MATRIX</v>
      </c>
      <c r="AJ88" s="6"/>
      <c r="AK88" s="6"/>
      <c r="AL88" s="6"/>
    </row>
    <row r="89" spans="1:38" x14ac:dyDescent="0.3">
      <c r="A89" s="3" t="s">
        <v>35</v>
      </c>
      <c r="B89" s="1">
        <v>50</v>
      </c>
      <c r="C89" s="1">
        <v>138052.71299999999</v>
      </c>
      <c r="D89" s="8">
        <v>1.6660925526497657E-3</v>
      </c>
      <c r="E89" s="1">
        <v>53378.714592526478</v>
      </c>
      <c r="F89" s="1"/>
      <c r="G89" s="1"/>
      <c r="I89" s="1"/>
      <c r="J89" s="3" t="s">
        <v>22</v>
      </c>
      <c r="K89" s="1">
        <v>50</v>
      </c>
      <c r="L89" s="1">
        <v>508800.64999999997</v>
      </c>
      <c r="M89" s="8">
        <v>3.5131973735875997E-3</v>
      </c>
      <c r="N89" s="1">
        <v>262563.51358692523</v>
      </c>
      <c r="O89" s="6">
        <f t="shared" si="0"/>
        <v>1</v>
      </c>
      <c r="P89" s="6"/>
      <c r="Q89" s="6"/>
      <c r="R89" s="41"/>
      <c r="S89" s="3" t="s">
        <v>263</v>
      </c>
      <c r="T89" s="1">
        <v>117</v>
      </c>
      <c r="U89" s="1">
        <v>619658.84</v>
      </c>
      <c r="V89" s="8">
        <v>3.774373205084633E-3</v>
      </c>
      <c r="W89" s="1">
        <v>254427.88751667933</v>
      </c>
      <c r="X89" s="6">
        <f t="shared" si="1"/>
        <v>4.7113599029120312</v>
      </c>
      <c r="Y89" s="6"/>
      <c r="Z89" s="41"/>
      <c r="AA89" s="41"/>
      <c r="AB89" s="3" t="s">
        <v>196</v>
      </c>
      <c r="AC89" s="1">
        <v>57</v>
      </c>
      <c r="AD89" s="1">
        <v>525632.05000000005</v>
      </c>
      <c r="AE89" s="8">
        <v>3.4159235425012882E-3</v>
      </c>
      <c r="AF89" s="1">
        <v>254117.93402553094</v>
      </c>
      <c r="AG89" s="6">
        <f t="shared" si="2"/>
        <v>0.3667769108077974</v>
      </c>
      <c r="AH89" s="6">
        <f t="shared" si="3"/>
        <v>10.857453908177185</v>
      </c>
      <c r="AI89" s="6" t="str">
        <f>VLOOKUP(AB89,'ABC расчет'!AC:AC,1,0)</f>
        <v>VISION</v>
      </c>
      <c r="AJ89" s="6"/>
      <c r="AK89" s="6"/>
      <c r="AL89" s="6"/>
    </row>
    <row r="90" spans="1:38" x14ac:dyDescent="0.3">
      <c r="A90" s="3" t="s">
        <v>92</v>
      </c>
      <c r="B90" s="1">
        <v>428</v>
      </c>
      <c r="C90" s="1">
        <v>136076.88290000003</v>
      </c>
      <c r="D90" s="8">
        <v>1.6422471986297315E-3</v>
      </c>
      <c r="E90" s="1">
        <v>52789.886161891336</v>
      </c>
      <c r="F90" s="1"/>
      <c r="G90" s="1"/>
      <c r="I90" s="1"/>
      <c r="J90" s="3" t="s">
        <v>229</v>
      </c>
      <c r="K90" s="1">
        <v>230</v>
      </c>
      <c r="L90" s="1">
        <v>506117.54000000004</v>
      </c>
      <c r="M90" s="8">
        <v>3.4946708740537522E-3</v>
      </c>
      <c r="N90" s="1">
        <v>225956.6060388468</v>
      </c>
      <c r="O90" s="6">
        <f t="shared" si="0"/>
        <v>285.24802680509094</v>
      </c>
      <c r="P90" s="6"/>
      <c r="Q90" s="6"/>
      <c r="R90" s="41"/>
      <c r="S90" s="3" t="s">
        <v>229</v>
      </c>
      <c r="T90" s="1">
        <v>266</v>
      </c>
      <c r="U90" s="1">
        <v>614215.28</v>
      </c>
      <c r="V90" s="8">
        <v>3.7412162069463181E-3</v>
      </c>
      <c r="W90" s="1">
        <v>193940.68685476642</v>
      </c>
      <c r="X90" s="6">
        <f t="shared" si="1"/>
        <v>-0.14169056503962607</v>
      </c>
      <c r="Y90" s="6"/>
      <c r="Z90" s="41"/>
      <c r="AA90" s="41"/>
      <c r="AB90" s="3" t="s">
        <v>28</v>
      </c>
      <c r="AC90" s="1">
        <v>118</v>
      </c>
      <c r="AD90" s="1">
        <v>520024.93000000005</v>
      </c>
      <c r="AE90" s="8">
        <v>3.3794845673405655E-3</v>
      </c>
      <c r="AF90" s="1">
        <v>277297.80938488909</v>
      </c>
      <c r="AG90" s="6">
        <f t="shared" si="2"/>
        <v>1</v>
      </c>
      <c r="AH90" s="6">
        <f t="shared" si="3"/>
        <v>75.042063126875462</v>
      </c>
      <c r="AI90" s="6" t="e">
        <f>VLOOKUP(AB90,'ABC расчет'!AC:AC,1,0)</f>
        <v>#N/A</v>
      </c>
      <c r="AJ90" s="6"/>
      <c r="AK90" s="6"/>
      <c r="AL90" s="6"/>
    </row>
    <row r="91" spans="1:38" x14ac:dyDescent="0.3">
      <c r="A91" s="3" t="s">
        <v>69</v>
      </c>
      <c r="B91" s="1">
        <v>184</v>
      </c>
      <c r="C91" s="1">
        <v>133649.9822</v>
      </c>
      <c r="D91" s="8">
        <v>1.6129580880108727E-3</v>
      </c>
      <c r="E91" s="1">
        <v>50347.078889286015</v>
      </c>
      <c r="F91" s="1"/>
      <c r="G91" s="1"/>
      <c r="I91" s="1"/>
      <c r="J91" s="3" t="s">
        <v>19</v>
      </c>
      <c r="K91" s="1">
        <v>718</v>
      </c>
      <c r="L91" s="1">
        <v>488779</v>
      </c>
      <c r="M91" s="8">
        <v>3.374950678747705E-3</v>
      </c>
      <c r="N91" s="1">
        <v>245772.054149937</v>
      </c>
      <c r="O91" s="6">
        <f t="shared" ref="O91:O154" si="4">IFERROR((N91/VLOOKUP(J91,A:E,5,0))-1,1)</f>
        <v>1</v>
      </c>
      <c r="P91" s="6"/>
      <c r="Q91" s="6"/>
      <c r="R91" s="41"/>
      <c r="S91" s="3" t="s">
        <v>291</v>
      </c>
      <c r="T91" s="1">
        <v>196</v>
      </c>
      <c r="U91" s="1">
        <v>610256.41999999993</v>
      </c>
      <c r="V91" s="8">
        <v>3.717102591288577E-3</v>
      </c>
      <c r="W91" s="1">
        <v>228390.01154822169</v>
      </c>
      <c r="X91" s="6">
        <f t="shared" ref="X91:X154" si="5">IFERROR((W91/VLOOKUP(S91,J:N,5,0))-1,1)</f>
        <v>-0.69254915483451907</v>
      </c>
      <c r="Y91" s="6"/>
      <c r="Z91" s="41"/>
      <c r="AA91" s="41"/>
      <c r="AB91" s="3" t="s">
        <v>158</v>
      </c>
      <c r="AC91" s="1">
        <v>107</v>
      </c>
      <c r="AD91" s="1">
        <v>511430.01</v>
      </c>
      <c r="AE91" s="8">
        <v>3.3236287846235197E-3</v>
      </c>
      <c r="AF91" s="1">
        <v>109539.60704904544</v>
      </c>
      <c r="AG91" s="6">
        <f t="shared" ref="AG91:AG154" si="6">IFERROR((AF91/VLOOKUP(AB91,S:W,5,0))-1,1)</f>
        <v>-0.14695480246278181</v>
      </c>
      <c r="AH91" s="6">
        <f t="shared" si="3"/>
        <v>3.3388796043681683</v>
      </c>
      <c r="AI91" s="6" t="str">
        <f>VLOOKUP(AB91,'ABC расчет'!AC:AC,1,0)</f>
        <v>HEXTER ML</v>
      </c>
      <c r="AJ91" s="6"/>
      <c r="AK91" s="6"/>
      <c r="AL91" s="6"/>
    </row>
    <row r="92" spans="1:38" x14ac:dyDescent="0.3">
      <c r="A92" s="3" t="s">
        <v>149</v>
      </c>
      <c r="B92" s="1">
        <v>32</v>
      </c>
      <c r="C92" s="1">
        <v>132199.92320000002</v>
      </c>
      <c r="D92" s="8">
        <v>1.5954580154059778E-3</v>
      </c>
      <c r="E92" s="1">
        <v>57600.9909613458</v>
      </c>
      <c r="F92" s="1"/>
      <c r="G92" s="1"/>
      <c r="I92" s="1"/>
      <c r="J92" s="3" t="s">
        <v>327</v>
      </c>
      <c r="K92" s="1">
        <v>169</v>
      </c>
      <c r="L92" s="1">
        <v>484054.3</v>
      </c>
      <c r="M92" s="8">
        <v>3.3423272856152684E-3</v>
      </c>
      <c r="N92" s="1">
        <v>223884.07633790956</v>
      </c>
      <c r="O92" s="6">
        <f t="shared" si="4"/>
        <v>0.61713372816607315</v>
      </c>
      <c r="P92" s="6"/>
      <c r="Q92" s="6"/>
      <c r="R92" s="41"/>
      <c r="S92" s="3" t="s">
        <v>191</v>
      </c>
      <c r="T92" s="1">
        <v>233</v>
      </c>
      <c r="U92" s="1">
        <v>606927.45000000007</v>
      </c>
      <c r="V92" s="8">
        <v>3.6968256673467997E-3</v>
      </c>
      <c r="W92" s="1">
        <v>268367.79665039247</v>
      </c>
      <c r="X92" s="6">
        <f t="shared" si="5"/>
        <v>0.3876575511445135</v>
      </c>
      <c r="Y92" s="6"/>
      <c r="Z92" s="41"/>
      <c r="AA92" s="41"/>
      <c r="AB92" s="3" t="s">
        <v>191</v>
      </c>
      <c r="AC92" s="1">
        <v>193</v>
      </c>
      <c r="AD92" s="1">
        <v>501394.20000000007</v>
      </c>
      <c r="AE92" s="8">
        <v>3.2584090940679885E-3</v>
      </c>
      <c r="AF92" s="1">
        <v>220857.34475307708</v>
      </c>
      <c r="AG92" s="6">
        <f t="shared" si="6"/>
        <v>-0.17703484728910346</v>
      </c>
      <c r="AH92" s="6">
        <f t="shared" ref="AH92:AH155" si="7">IFERROR((AF92/VLOOKUP(AB92,A:E,5,0))-1,1)</f>
        <v>1</v>
      </c>
      <c r="AI92" s="6" t="str">
        <f>VLOOKUP(AB92,'ABC расчет'!AC:AC,1,0)</f>
        <v>TASK GTP</v>
      </c>
      <c r="AJ92" s="6"/>
      <c r="AK92" s="6"/>
      <c r="AL92" s="6"/>
    </row>
    <row r="93" spans="1:38" x14ac:dyDescent="0.3">
      <c r="A93" s="3" t="s">
        <v>219</v>
      </c>
      <c r="B93" s="1">
        <v>127</v>
      </c>
      <c r="C93" s="1">
        <v>130407.57319999998</v>
      </c>
      <c r="D93" s="8">
        <v>1.5738269954727305E-3</v>
      </c>
      <c r="E93" s="1">
        <v>46883.654631878744</v>
      </c>
      <c r="F93" s="1"/>
      <c r="G93" s="1"/>
      <c r="I93" s="1"/>
      <c r="J93" s="3" t="s">
        <v>10</v>
      </c>
      <c r="K93" s="1">
        <v>782</v>
      </c>
      <c r="L93" s="1">
        <v>477823.7</v>
      </c>
      <c r="M93" s="8">
        <v>3.2993058634612779E-3</v>
      </c>
      <c r="N93" s="1">
        <v>212369.01766594045</v>
      </c>
      <c r="O93" s="6">
        <f t="shared" si="4"/>
        <v>0.23914581581380689</v>
      </c>
      <c r="P93" s="6"/>
      <c r="Q93" s="6"/>
      <c r="R93" s="41"/>
      <c r="S93" s="3" t="s">
        <v>70</v>
      </c>
      <c r="T93" s="1">
        <v>251</v>
      </c>
      <c r="U93" s="1">
        <v>590327.90000000014</v>
      </c>
      <c r="V93" s="8">
        <v>3.5957169722195545E-3</v>
      </c>
      <c r="W93" s="1">
        <v>235061.37926161059</v>
      </c>
      <c r="X93" s="6">
        <f t="shared" si="5"/>
        <v>0.29051373997400831</v>
      </c>
      <c r="Y93" s="6"/>
      <c r="Z93" s="41"/>
      <c r="AA93" s="41"/>
      <c r="AB93" s="3" t="s">
        <v>67</v>
      </c>
      <c r="AC93" s="1">
        <v>56</v>
      </c>
      <c r="AD93" s="1">
        <v>500569.3</v>
      </c>
      <c r="AE93" s="8">
        <v>3.2530483187305456E-3</v>
      </c>
      <c r="AF93" s="1">
        <v>212419.35129625007</v>
      </c>
      <c r="AG93" s="6">
        <f t="shared" si="6"/>
        <v>-0.23979479048562058</v>
      </c>
      <c r="AH93" s="6">
        <f t="shared" si="7"/>
        <v>63.629725376088047</v>
      </c>
      <c r="AI93" s="6" t="str">
        <f>VLOOKUP(AB93,'ABC расчет'!AC:AC,1,0)</f>
        <v>MODUS</v>
      </c>
      <c r="AJ93" s="6"/>
      <c r="AK93" s="6"/>
      <c r="AL93" s="6"/>
    </row>
    <row r="94" spans="1:38" x14ac:dyDescent="0.3">
      <c r="A94" s="3" t="s">
        <v>225</v>
      </c>
      <c r="B94" s="1">
        <v>192</v>
      </c>
      <c r="C94" s="1">
        <v>130327.7414</v>
      </c>
      <c r="D94" s="8">
        <v>1.5728635434365172E-3</v>
      </c>
      <c r="E94" s="1">
        <v>44639.111652336032</v>
      </c>
      <c r="F94" s="1"/>
      <c r="G94" s="1"/>
      <c r="I94" s="1"/>
      <c r="J94" s="3" t="s">
        <v>182</v>
      </c>
      <c r="K94" s="1">
        <v>176</v>
      </c>
      <c r="L94" s="1">
        <v>452528.4</v>
      </c>
      <c r="M94" s="8">
        <v>3.1246453524652515E-3</v>
      </c>
      <c r="N94" s="1">
        <v>194962.87458967848</v>
      </c>
      <c r="O94" s="6">
        <f t="shared" si="4"/>
        <v>2.7806402786386473</v>
      </c>
      <c r="P94" s="6"/>
      <c r="Q94" s="6"/>
      <c r="R94" s="41"/>
      <c r="S94" s="3" t="s">
        <v>195</v>
      </c>
      <c r="T94" s="1">
        <v>110</v>
      </c>
      <c r="U94" s="1">
        <v>585024</v>
      </c>
      <c r="V94" s="8">
        <v>3.5634106501755587E-3</v>
      </c>
      <c r="W94" s="1">
        <v>207412.09992166018</v>
      </c>
      <c r="X94" s="6">
        <f t="shared" si="5"/>
        <v>2.4754896209468851</v>
      </c>
      <c r="Y94" s="6"/>
      <c r="Z94" s="41"/>
      <c r="AA94" s="41"/>
      <c r="AB94" s="3" t="s">
        <v>23</v>
      </c>
      <c r="AC94" s="1">
        <v>1139</v>
      </c>
      <c r="AD94" s="1">
        <v>497309</v>
      </c>
      <c r="AE94" s="8">
        <v>3.2318606161815533E-3</v>
      </c>
      <c r="AF94" s="1">
        <v>280529.62968920585</v>
      </c>
      <c r="AG94" s="6">
        <f t="shared" si="6"/>
        <v>0.21006614701731308</v>
      </c>
      <c r="AH94" s="6">
        <f t="shared" si="7"/>
        <v>-0.25731353088376452</v>
      </c>
      <c r="AI94" s="6" t="str">
        <f>VLOOKUP(AB94,'ABC расчет'!AC:AC,1,0)</f>
        <v>CHICO</v>
      </c>
      <c r="AJ94" s="6"/>
      <c r="AK94" s="6"/>
      <c r="AL94" s="6"/>
    </row>
    <row r="95" spans="1:38" x14ac:dyDescent="0.3">
      <c r="A95" s="3" t="s">
        <v>14</v>
      </c>
      <c r="B95" s="1">
        <v>70</v>
      </c>
      <c r="C95" s="1">
        <v>120233.8906</v>
      </c>
      <c r="D95" s="8">
        <v>1.4510456575001658E-3</v>
      </c>
      <c r="E95" s="1">
        <v>56980.36695223274</v>
      </c>
      <c r="F95" s="1"/>
      <c r="G95" s="1"/>
      <c r="I95" s="1"/>
      <c r="J95" s="3" t="s">
        <v>194</v>
      </c>
      <c r="K95" s="1">
        <v>155</v>
      </c>
      <c r="L95" s="1">
        <v>451577.47</v>
      </c>
      <c r="M95" s="8">
        <v>3.1180793137259811E-3</v>
      </c>
      <c r="N95" s="1">
        <v>157257.26284575721</v>
      </c>
      <c r="O95" s="6">
        <f t="shared" si="4"/>
        <v>2.6634272162977735</v>
      </c>
      <c r="P95" s="6"/>
      <c r="Q95" s="6"/>
      <c r="R95" s="41"/>
      <c r="S95" s="3" t="s">
        <v>24</v>
      </c>
      <c r="T95" s="1">
        <v>161</v>
      </c>
      <c r="U95" s="1">
        <v>582947.40999999992</v>
      </c>
      <c r="V95" s="8">
        <v>3.550762035892985E-3</v>
      </c>
      <c r="W95" s="1">
        <v>279555.4811635738</v>
      </c>
      <c r="X95" s="6">
        <f t="shared" si="5"/>
        <v>1.2275762264578089</v>
      </c>
      <c r="Y95" s="6"/>
      <c r="Z95" s="41"/>
      <c r="AA95" s="41"/>
      <c r="AB95" s="3" t="s">
        <v>278</v>
      </c>
      <c r="AC95" s="1">
        <v>310</v>
      </c>
      <c r="AD95" s="1">
        <v>496491.2</v>
      </c>
      <c r="AE95" s="8">
        <v>3.2265459815943786E-3</v>
      </c>
      <c r="AF95" s="1">
        <v>151894.78033263452</v>
      </c>
      <c r="AG95" s="6">
        <f t="shared" si="6"/>
        <v>0.57131392062336483</v>
      </c>
      <c r="AH95" s="6">
        <f t="shared" si="7"/>
        <v>15.155043865365222</v>
      </c>
      <c r="AI95" s="6" t="str">
        <f>VLOOKUP(AB95,'ABC расчет'!AC:AC,1,0)</f>
        <v>VERONIKA</v>
      </c>
      <c r="AJ95" s="6"/>
      <c r="AK95" s="6"/>
      <c r="AL95" s="6"/>
    </row>
    <row r="96" spans="1:38" x14ac:dyDescent="0.3">
      <c r="A96" s="3" t="s">
        <v>32</v>
      </c>
      <c r="B96" s="1">
        <v>205</v>
      </c>
      <c r="C96" s="1">
        <v>119001.0414</v>
      </c>
      <c r="D96" s="8">
        <v>1.4361669866937454E-3</v>
      </c>
      <c r="E96" s="1">
        <v>45805.292400213111</v>
      </c>
      <c r="F96" s="1"/>
      <c r="G96" s="1"/>
      <c r="I96" s="1"/>
      <c r="J96" s="3" t="s">
        <v>70</v>
      </c>
      <c r="K96" s="1">
        <v>202</v>
      </c>
      <c r="L96" s="1">
        <v>445019.50000000012</v>
      </c>
      <c r="M96" s="8">
        <v>3.0727974474782363E-3</v>
      </c>
      <c r="N96" s="1">
        <v>182145.58433631621</v>
      </c>
      <c r="O96" s="6">
        <f t="shared" si="4"/>
        <v>25.701332230130134</v>
      </c>
      <c r="P96" s="6"/>
      <c r="Q96" s="6"/>
      <c r="R96" s="41"/>
      <c r="S96" s="3" t="s">
        <v>15</v>
      </c>
      <c r="T96" s="1">
        <v>208</v>
      </c>
      <c r="U96" s="1">
        <v>577671.4</v>
      </c>
      <c r="V96" s="8">
        <v>3.5186255932437393E-3</v>
      </c>
      <c r="W96" s="1">
        <v>240345.22506782861</v>
      </c>
      <c r="X96" s="6">
        <f t="shared" si="5"/>
        <v>2.0584572059175783</v>
      </c>
      <c r="Y96" s="6"/>
      <c r="Z96" s="41"/>
      <c r="AA96" s="41"/>
      <c r="AB96" s="3" t="s">
        <v>126</v>
      </c>
      <c r="AC96" s="1">
        <v>171</v>
      </c>
      <c r="AD96" s="1">
        <v>496168.2</v>
      </c>
      <c r="AE96" s="8">
        <v>3.2244469023920584E-3</v>
      </c>
      <c r="AF96" s="1">
        <v>204215.61432009179</v>
      </c>
      <c r="AG96" s="6">
        <f t="shared" si="6"/>
        <v>-0.39732545660043905</v>
      </c>
      <c r="AH96" s="6">
        <f t="shared" si="7"/>
        <v>2.5824215965178068</v>
      </c>
      <c r="AI96" s="6" t="str">
        <f>VLOOKUP(AB96,'ABC расчет'!AC:AC,1,0)</f>
        <v>BOOSTER</v>
      </c>
      <c r="AJ96" s="6"/>
      <c r="AK96" s="6"/>
      <c r="AL96" s="6"/>
    </row>
    <row r="97" spans="1:38" x14ac:dyDescent="0.3">
      <c r="A97" s="3" t="s">
        <v>178</v>
      </c>
      <c r="B97" s="1">
        <v>144</v>
      </c>
      <c r="C97" s="1">
        <v>118028.9065</v>
      </c>
      <c r="D97" s="8">
        <v>1.4244347528110188E-3</v>
      </c>
      <c r="E97" s="1">
        <v>24760.418241764473</v>
      </c>
      <c r="F97" s="1"/>
      <c r="G97" s="1"/>
      <c r="I97" s="1"/>
      <c r="J97" s="3" t="s">
        <v>85</v>
      </c>
      <c r="K97" s="1">
        <v>60</v>
      </c>
      <c r="L97" s="1">
        <v>441038.30000000005</v>
      </c>
      <c r="M97" s="8">
        <v>3.0453078179273948E-3</v>
      </c>
      <c r="N97" s="1">
        <v>243986.59734193853</v>
      </c>
      <c r="O97" s="6">
        <f t="shared" si="4"/>
        <v>-0.48984226230535288</v>
      </c>
      <c r="P97" s="6"/>
      <c r="Q97" s="6"/>
      <c r="R97" s="41"/>
      <c r="S97" s="3" t="s">
        <v>106</v>
      </c>
      <c r="T97" s="1">
        <v>374</v>
      </c>
      <c r="U97" s="1">
        <v>568407.56999999983</v>
      </c>
      <c r="V97" s="8">
        <v>3.4621991381181094E-3</v>
      </c>
      <c r="W97" s="1">
        <v>241582.8919008786</v>
      </c>
      <c r="X97" s="6">
        <f t="shared" si="5"/>
        <v>0.71910427085023509</v>
      </c>
      <c r="Y97" s="6"/>
      <c r="Z97" s="41"/>
      <c r="AA97" s="41"/>
      <c r="AB97" s="3" t="s">
        <v>26</v>
      </c>
      <c r="AC97" s="1">
        <v>275</v>
      </c>
      <c r="AD97" s="1">
        <v>488648.19999999995</v>
      </c>
      <c r="AE97" s="8">
        <v>3.175576699291601E-3</v>
      </c>
      <c r="AF97" s="1">
        <v>188110.30486681539</v>
      </c>
      <c r="AG97" s="6">
        <f t="shared" si="6"/>
        <v>-0.39055220584141537</v>
      </c>
      <c r="AH97" s="6">
        <f t="shared" si="7"/>
        <v>4.5389486955349581</v>
      </c>
      <c r="AI97" s="6" t="str">
        <f>VLOOKUP(AB97,'ABC расчет'!AC:AC,1,0)</f>
        <v>COMFORT</v>
      </c>
      <c r="AJ97" s="6"/>
      <c r="AK97" s="6"/>
      <c r="AL97" s="6"/>
    </row>
    <row r="98" spans="1:38" x14ac:dyDescent="0.3">
      <c r="A98" s="3" t="s">
        <v>182</v>
      </c>
      <c r="B98" s="1">
        <v>40</v>
      </c>
      <c r="C98" s="1">
        <v>102709.9624</v>
      </c>
      <c r="D98" s="8">
        <v>1.2395577002356881E-3</v>
      </c>
      <c r="E98" s="1">
        <v>51568.745032754538</v>
      </c>
      <c r="F98" s="1"/>
      <c r="G98" s="1"/>
      <c r="I98" s="1"/>
      <c r="J98" s="3" t="s">
        <v>30</v>
      </c>
      <c r="K98" s="1">
        <v>210</v>
      </c>
      <c r="L98" s="1">
        <v>428124</v>
      </c>
      <c r="M98" s="8">
        <v>2.9561363814488398E-3</v>
      </c>
      <c r="N98" s="1">
        <v>169350.27421908415</v>
      </c>
      <c r="O98" s="6">
        <f t="shared" si="4"/>
        <v>22.599256892936982</v>
      </c>
      <c r="P98" s="6"/>
      <c r="Q98" s="6"/>
      <c r="R98" s="41"/>
      <c r="S98" s="3" t="s">
        <v>42</v>
      </c>
      <c r="T98" s="1">
        <v>305</v>
      </c>
      <c r="U98" s="1">
        <v>563132.88999999978</v>
      </c>
      <c r="V98" s="8">
        <v>3.4300707965658514E-3</v>
      </c>
      <c r="W98" s="1">
        <v>262913.30239142897</v>
      </c>
      <c r="X98" s="6">
        <f t="shared" si="5"/>
        <v>3.7242083354892772</v>
      </c>
      <c r="Y98" s="6"/>
      <c r="Z98" s="41"/>
      <c r="AA98" s="41"/>
      <c r="AB98" s="3" t="s">
        <v>312</v>
      </c>
      <c r="AC98" s="1">
        <v>199</v>
      </c>
      <c r="AD98" s="1">
        <v>483196.96999999986</v>
      </c>
      <c r="AE98" s="8">
        <v>3.1401508060406287E-3</v>
      </c>
      <c r="AF98" s="1">
        <v>161508.59941283864</v>
      </c>
      <c r="AG98" s="6">
        <f t="shared" si="6"/>
        <v>0.50933777745728626</v>
      </c>
      <c r="AH98" s="6">
        <f t="shared" si="7"/>
        <v>24.992860925921292</v>
      </c>
      <c r="AI98" s="6" t="str">
        <f>VLOOKUP(AB98,'ABC расчет'!AC:AC,1,0)</f>
        <v>LENARD</v>
      </c>
      <c r="AJ98" s="6"/>
      <c r="AK98" s="6"/>
      <c r="AL98" s="6"/>
    </row>
    <row r="99" spans="1:38" x14ac:dyDescent="0.3">
      <c r="A99" s="3" t="s">
        <v>39</v>
      </c>
      <c r="B99" s="1">
        <v>119</v>
      </c>
      <c r="C99" s="1">
        <v>99243.743799999997</v>
      </c>
      <c r="D99" s="8">
        <v>1.1977255560509075E-3</v>
      </c>
      <c r="E99" s="1">
        <v>46748.753903477947</v>
      </c>
      <c r="F99" s="1"/>
      <c r="G99" s="1"/>
      <c r="I99" s="1"/>
      <c r="J99" s="3" t="s">
        <v>97</v>
      </c>
      <c r="K99" s="1">
        <v>60</v>
      </c>
      <c r="L99" s="1">
        <v>427493.4</v>
      </c>
      <c r="M99" s="8">
        <v>2.9517821765873008E-3</v>
      </c>
      <c r="N99" s="1">
        <v>174403.24673016049</v>
      </c>
      <c r="O99" s="6">
        <f t="shared" si="4"/>
        <v>1</v>
      </c>
      <c r="P99" s="6"/>
      <c r="Q99" s="6"/>
      <c r="R99" s="41"/>
      <c r="S99" s="3" t="s">
        <v>285</v>
      </c>
      <c r="T99" s="1">
        <v>202</v>
      </c>
      <c r="U99" s="1">
        <v>554218.92000000004</v>
      </c>
      <c r="V99" s="8">
        <v>3.3757753563217851E-3</v>
      </c>
      <c r="W99" s="1">
        <v>186728.72932812385</v>
      </c>
      <c r="X99" s="6">
        <f t="shared" si="5"/>
        <v>-0.46161352201080041</v>
      </c>
      <c r="Y99" s="6"/>
      <c r="Z99" s="41"/>
      <c r="AA99" s="41"/>
      <c r="AB99" s="3" t="s">
        <v>150</v>
      </c>
      <c r="AC99" s="1">
        <v>90</v>
      </c>
      <c r="AD99" s="1">
        <v>482977.85</v>
      </c>
      <c r="AE99" s="8">
        <v>3.1387268115056067E-3</v>
      </c>
      <c r="AF99" s="1">
        <v>234151.53250179702</v>
      </c>
      <c r="AG99" s="6">
        <f t="shared" si="6"/>
        <v>-0.55742448430616198</v>
      </c>
      <c r="AH99" s="6">
        <f t="shared" si="7"/>
        <v>28.951346462738289</v>
      </c>
      <c r="AI99" s="6" t="str">
        <f>VLOOKUP(AB99,'ABC расчет'!AC:AC,1,0)</f>
        <v>ELLY</v>
      </c>
      <c r="AJ99" s="6"/>
      <c r="AK99" s="6"/>
      <c r="AL99" s="6"/>
    </row>
    <row r="100" spans="1:38" x14ac:dyDescent="0.3">
      <c r="A100" s="3" t="s">
        <v>265</v>
      </c>
      <c r="B100" s="1">
        <v>20</v>
      </c>
      <c r="C100" s="1">
        <v>97217.955999999991</v>
      </c>
      <c r="D100" s="8">
        <v>1.1732772863031862E-3</v>
      </c>
      <c r="E100" s="1">
        <v>17903.672906531512</v>
      </c>
      <c r="F100" s="1"/>
      <c r="G100" s="1"/>
      <c r="I100" s="1"/>
      <c r="J100" s="3" t="s">
        <v>191</v>
      </c>
      <c r="K100" s="1">
        <v>148</v>
      </c>
      <c r="L100" s="1">
        <v>420447.2</v>
      </c>
      <c r="M100" s="8">
        <v>2.9031291504290737E-3</v>
      </c>
      <c r="N100" s="1">
        <v>193396.27160105016</v>
      </c>
      <c r="O100" s="6">
        <f t="shared" si="4"/>
        <v>1</v>
      </c>
      <c r="P100" s="6"/>
      <c r="Q100" s="6"/>
      <c r="R100" s="41"/>
      <c r="S100" s="3" t="s">
        <v>37</v>
      </c>
      <c r="T100" s="1">
        <v>47</v>
      </c>
      <c r="U100" s="1">
        <v>535392.33000000007</v>
      </c>
      <c r="V100" s="8">
        <v>3.2611016483841816E-3</v>
      </c>
      <c r="W100" s="1">
        <v>294121.68784192472</v>
      </c>
      <c r="X100" s="6">
        <f t="shared" si="5"/>
        <v>4.3195791152710328E-2</v>
      </c>
      <c r="Y100" s="6"/>
      <c r="Z100" s="41"/>
      <c r="AA100" s="41"/>
      <c r="AB100" s="3" t="s">
        <v>94</v>
      </c>
      <c r="AC100" s="1">
        <v>726</v>
      </c>
      <c r="AD100" s="1">
        <v>473996.60000000003</v>
      </c>
      <c r="AE100" s="8">
        <v>3.0803603870912478E-3</v>
      </c>
      <c r="AF100" s="1">
        <v>176235.05078183123</v>
      </c>
      <c r="AG100" s="6">
        <f t="shared" si="6"/>
        <v>0.25876876366958501</v>
      </c>
      <c r="AH100" s="6">
        <f t="shared" si="7"/>
        <v>0.36574488096820734</v>
      </c>
      <c r="AI100" s="6" t="str">
        <f>VLOOKUP(AB100,'ABC расчет'!AC:AC,1,0)</f>
        <v>TULIPAN</v>
      </c>
      <c r="AJ100" s="6"/>
      <c r="AK100" s="6"/>
      <c r="AL100" s="6"/>
    </row>
    <row r="101" spans="1:38" x14ac:dyDescent="0.3">
      <c r="A101" s="3" t="s">
        <v>86</v>
      </c>
      <c r="B101" s="1">
        <v>17</v>
      </c>
      <c r="C101" s="1">
        <v>96299.424100000004</v>
      </c>
      <c r="D101" s="8">
        <v>1.1621919615405992E-3</v>
      </c>
      <c r="E101" s="1">
        <v>49725.527520329961</v>
      </c>
      <c r="F101" s="1"/>
      <c r="G101" s="1"/>
      <c r="I101" s="1"/>
      <c r="J101" s="3" t="s">
        <v>67</v>
      </c>
      <c r="K101" s="1">
        <v>49</v>
      </c>
      <c r="L101" s="1">
        <v>413159.4</v>
      </c>
      <c r="M101" s="8">
        <v>2.8528079100390864E-3</v>
      </c>
      <c r="N101" s="1">
        <v>173761.05229793306</v>
      </c>
      <c r="O101" s="6">
        <f t="shared" si="4"/>
        <v>51.867730847240082</v>
      </c>
      <c r="P101" s="6"/>
      <c r="Q101" s="6"/>
      <c r="R101" s="41"/>
      <c r="S101" s="3" t="s">
        <v>8</v>
      </c>
      <c r="T101" s="1">
        <v>388</v>
      </c>
      <c r="U101" s="1">
        <v>530989.6</v>
      </c>
      <c r="V101" s="8">
        <v>3.2342843981998338E-3</v>
      </c>
      <c r="W101" s="1">
        <v>223390.60513130075</v>
      </c>
      <c r="X101" s="6">
        <f t="shared" si="5"/>
        <v>0.34945997107711624</v>
      </c>
      <c r="Y101" s="6"/>
      <c r="Z101" s="41"/>
      <c r="AA101" s="41"/>
      <c r="AB101" s="3" t="s">
        <v>149</v>
      </c>
      <c r="AC101" s="1">
        <v>83</v>
      </c>
      <c r="AD101" s="1">
        <v>470243.16000000003</v>
      </c>
      <c r="AE101" s="8">
        <v>3.0559679169947875E-3</v>
      </c>
      <c r="AF101" s="1">
        <v>189830.15945702977</v>
      </c>
      <c r="AG101" s="6">
        <f t="shared" si="6"/>
        <v>-0.34419888824293476</v>
      </c>
      <c r="AH101" s="6">
        <f t="shared" si="7"/>
        <v>2.2956057923451141</v>
      </c>
      <c r="AI101" s="6" t="str">
        <f>VLOOKUP(AB101,'ABC расчет'!AC:AC,1,0)</f>
        <v>DOLCE</v>
      </c>
      <c r="AJ101" s="6"/>
      <c r="AK101" s="6"/>
      <c r="AL101" s="6"/>
    </row>
    <row r="102" spans="1:38" x14ac:dyDescent="0.3">
      <c r="A102" s="3" t="s">
        <v>52</v>
      </c>
      <c r="B102" s="1">
        <v>50</v>
      </c>
      <c r="C102" s="1">
        <v>92489.895099999994</v>
      </c>
      <c r="D102" s="8">
        <v>1.1162165673735658E-3</v>
      </c>
      <c r="E102" s="1">
        <v>38250.163801851799</v>
      </c>
      <c r="F102" s="1"/>
      <c r="G102" s="1"/>
      <c r="I102" s="1"/>
      <c r="J102" s="3" t="s">
        <v>94</v>
      </c>
      <c r="K102" s="1">
        <v>642</v>
      </c>
      <c r="L102" s="1">
        <v>406849.6</v>
      </c>
      <c r="M102" s="8">
        <v>2.8092396229548165E-3</v>
      </c>
      <c r="N102" s="1">
        <v>162284.24891905801</v>
      </c>
      <c r="O102" s="6">
        <f t="shared" si="4"/>
        <v>0.25763224307376786</v>
      </c>
      <c r="P102" s="6"/>
      <c r="Q102" s="6"/>
      <c r="R102" s="41"/>
      <c r="S102" s="3" t="s">
        <v>33</v>
      </c>
      <c r="T102" s="1">
        <v>150</v>
      </c>
      <c r="U102" s="1">
        <v>530427.15</v>
      </c>
      <c r="V102" s="8">
        <v>3.2308584869206541E-3</v>
      </c>
      <c r="W102" s="1">
        <v>203441.5386629866</v>
      </c>
      <c r="X102" s="6">
        <f t="shared" si="5"/>
        <v>10.307911660221899</v>
      </c>
      <c r="Y102" s="6"/>
      <c r="Z102" s="41"/>
      <c r="AA102" s="41"/>
      <c r="AB102" s="3" t="s">
        <v>466</v>
      </c>
      <c r="AC102" s="1">
        <v>173</v>
      </c>
      <c r="AD102" s="1">
        <v>458277</v>
      </c>
      <c r="AE102" s="8">
        <v>2.9782034662590739E-3</v>
      </c>
      <c r="AF102" s="1">
        <v>165212.41302148119</v>
      </c>
      <c r="AG102" s="6">
        <f t="shared" si="6"/>
        <v>-0.11980686085737136</v>
      </c>
      <c r="AH102" s="6">
        <f t="shared" si="7"/>
        <v>1</v>
      </c>
      <c r="AI102" s="6" t="e">
        <f>VLOOKUP(AB102,'ABC расчет'!AC:AC,1,0)</f>
        <v>#N/A</v>
      </c>
      <c r="AJ102" s="6"/>
      <c r="AK102" s="6"/>
      <c r="AL102" s="6"/>
    </row>
    <row r="103" spans="1:38" x14ac:dyDescent="0.3">
      <c r="A103" s="3" t="s">
        <v>418</v>
      </c>
      <c r="B103" s="1">
        <v>96</v>
      </c>
      <c r="C103" s="1">
        <v>91191.761299999998</v>
      </c>
      <c r="D103" s="8">
        <v>1.1005500077709094E-3</v>
      </c>
      <c r="E103" s="1">
        <v>42709.27103935444</v>
      </c>
      <c r="F103" s="1"/>
      <c r="G103" s="1"/>
      <c r="I103" s="1"/>
      <c r="J103" s="3" t="s">
        <v>158</v>
      </c>
      <c r="K103" s="1">
        <v>76</v>
      </c>
      <c r="L103" s="1">
        <v>395221.65</v>
      </c>
      <c r="M103" s="8">
        <v>2.7289502534341451E-3</v>
      </c>
      <c r="N103" s="1">
        <v>124151.1652845054</v>
      </c>
      <c r="O103" s="6">
        <f t="shared" si="4"/>
        <v>3.9176455295324706</v>
      </c>
      <c r="P103" s="6"/>
      <c r="Q103" s="6"/>
      <c r="R103" s="41"/>
      <c r="S103" s="3" t="s">
        <v>194</v>
      </c>
      <c r="T103" s="1">
        <v>169</v>
      </c>
      <c r="U103" s="1">
        <v>510790.50000000006</v>
      </c>
      <c r="V103" s="8">
        <v>3.111250662722382E-3</v>
      </c>
      <c r="W103" s="1">
        <v>166156.76334225119</v>
      </c>
      <c r="X103" s="6">
        <f t="shared" si="5"/>
        <v>5.659198395957632E-2</v>
      </c>
      <c r="Y103" s="6"/>
      <c r="Z103" s="41"/>
      <c r="AA103" s="41"/>
      <c r="AB103" s="3" t="s">
        <v>226</v>
      </c>
      <c r="AC103" s="1">
        <v>1382.9690000000001</v>
      </c>
      <c r="AD103" s="1">
        <v>450262.1264999999</v>
      </c>
      <c r="AE103" s="8">
        <v>2.9261172301195157E-3</v>
      </c>
      <c r="AF103" s="1">
        <v>395212.0809077858</v>
      </c>
      <c r="AG103" s="6">
        <f t="shared" si="6"/>
        <v>0.1276583505250426</v>
      </c>
      <c r="AH103" s="6">
        <f t="shared" si="7"/>
        <v>1</v>
      </c>
      <c r="AI103" s="6" t="e">
        <f>VLOOKUP(AB103,'ABC расчет'!AC:AC,1,0)</f>
        <v>#N/A</v>
      </c>
      <c r="AJ103" s="6"/>
      <c r="AK103" s="6"/>
      <c r="AL103" s="6"/>
    </row>
    <row r="104" spans="1:38" x14ac:dyDescent="0.3">
      <c r="A104" s="3" t="s">
        <v>194</v>
      </c>
      <c r="B104" s="1">
        <v>29</v>
      </c>
      <c r="C104" s="1">
        <v>90704.425499999998</v>
      </c>
      <c r="D104" s="8">
        <v>1.0946685837164641E-3</v>
      </c>
      <c r="E104" s="1">
        <v>42926.269190269319</v>
      </c>
      <c r="F104" s="1"/>
      <c r="G104" s="1"/>
      <c r="I104" s="1"/>
      <c r="J104" s="3" t="s">
        <v>279</v>
      </c>
      <c r="K104" s="1">
        <v>515</v>
      </c>
      <c r="L104" s="1">
        <v>384141.80000000005</v>
      </c>
      <c r="M104" s="8">
        <v>2.6524454378059723E-3</v>
      </c>
      <c r="N104" s="1">
        <v>143807.19198991742</v>
      </c>
      <c r="O104" s="6">
        <f t="shared" si="4"/>
        <v>8.8647364327429923E-2</v>
      </c>
      <c r="P104" s="6"/>
      <c r="Q104" s="6"/>
      <c r="R104" s="41"/>
      <c r="S104" s="3" t="s">
        <v>466</v>
      </c>
      <c r="T104" s="1">
        <v>204</v>
      </c>
      <c r="U104" s="1">
        <v>510476</v>
      </c>
      <c r="V104" s="8">
        <v>3.1093350273818142E-3</v>
      </c>
      <c r="W104" s="1">
        <v>187700.18269218726</v>
      </c>
      <c r="X104" s="6">
        <f t="shared" si="5"/>
        <v>4.4271569332421334</v>
      </c>
      <c r="Y104" s="6"/>
      <c r="Z104" s="41"/>
      <c r="AA104" s="41"/>
      <c r="AB104" s="3" t="s">
        <v>327</v>
      </c>
      <c r="AC104" s="1">
        <v>143</v>
      </c>
      <c r="AD104" s="1">
        <v>450023.6</v>
      </c>
      <c r="AE104" s="8">
        <v>2.9245671186168775E-3</v>
      </c>
      <c r="AF104" s="1">
        <v>203674.94142299</v>
      </c>
      <c r="AG104" s="6">
        <f t="shared" si="6"/>
        <v>0.12084967573468308</v>
      </c>
      <c r="AH104" s="6">
        <f t="shared" si="7"/>
        <v>0.47116142757847079</v>
      </c>
      <c r="AI104" s="6" t="str">
        <f>VLOOKUP(AB104,'ABC расчет'!AC:AC,1,0)</f>
        <v>DIRECTOR</v>
      </c>
      <c r="AJ104" s="6"/>
      <c r="AK104" s="6"/>
      <c r="AL104" s="6"/>
    </row>
    <row r="105" spans="1:38" x14ac:dyDescent="0.3">
      <c r="A105" s="3" t="s">
        <v>161</v>
      </c>
      <c r="B105" s="1">
        <v>110</v>
      </c>
      <c r="C105" s="1">
        <v>89285.367700000003</v>
      </c>
      <c r="D105" s="8">
        <v>1.0775426498540884E-3</v>
      </c>
      <c r="E105" s="1">
        <v>29960.246330430942</v>
      </c>
      <c r="F105" s="1"/>
      <c r="G105" s="1"/>
      <c r="I105" s="1"/>
      <c r="J105" s="3" t="s">
        <v>78</v>
      </c>
      <c r="K105" s="1">
        <v>214</v>
      </c>
      <c r="L105" s="1">
        <v>382500.22</v>
      </c>
      <c r="M105" s="8">
        <v>2.6411105573483037E-3</v>
      </c>
      <c r="N105" s="1">
        <v>167673.61429243785</v>
      </c>
      <c r="O105" s="6">
        <f t="shared" si="4"/>
        <v>0.26395263813556857</v>
      </c>
      <c r="P105" s="6"/>
      <c r="Q105" s="6"/>
      <c r="R105" s="41"/>
      <c r="S105" s="3" t="s">
        <v>103</v>
      </c>
      <c r="T105" s="1">
        <v>75</v>
      </c>
      <c r="U105" s="1">
        <v>489655.05099999992</v>
      </c>
      <c r="V105" s="8">
        <v>2.982513578324404E-3</v>
      </c>
      <c r="W105" s="1">
        <v>213530.94306526583</v>
      </c>
      <c r="X105" s="6">
        <f t="shared" si="5"/>
        <v>-9.2680835310944953E-2</v>
      </c>
      <c r="Y105" s="6"/>
      <c r="Z105" s="41"/>
      <c r="AA105" s="41"/>
      <c r="AB105" s="3" t="s">
        <v>19</v>
      </c>
      <c r="AC105" s="1">
        <v>608</v>
      </c>
      <c r="AD105" s="1">
        <v>432385.4</v>
      </c>
      <c r="AE105" s="8">
        <v>2.8099417972968668E-3</v>
      </c>
      <c r="AF105" s="1">
        <v>190533.40278997217</v>
      </c>
      <c r="AG105" s="6">
        <f t="shared" si="6"/>
        <v>0.32874662083256334</v>
      </c>
      <c r="AH105" s="6">
        <f t="shared" si="7"/>
        <v>1</v>
      </c>
      <c r="AI105" s="6" t="str">
        <f>VLOOKUP(AB105,'ABC расчет'!AC:AC,1,0)</f>
        <v>CADDY</v>
      </c>
      <c r="AJ105" s="6"/>
      <c r="AK105" s="6"/>
      <c r="AL105" s="6"/>
    </row>
    <row r="106" spans="1:38" x14ac:dyDescent="0.3">
      <c r="A106" s="3" t="s">
        <v>79</v>
      </c>
      <c r="B106" s="1">
        <v>25</v>
      </c>
      <c r="C106" s="1">
        <v>87383.071100000001</v>
      </c>
      <c r="D106" s="8">
        <v>1.0545847366822481E-3</v>
      </c>
      <c r="E106" s="1">
        <v>37158.675140481231</v>
      </c>
      <c r="F106" s="1"/>
      <c r="G106" s="1"/>
      <c r="I106" s="1"/>
      <c r="J106" s="3" t="s">
        <v>228</v>
      </c>
      <c r="K106" s="1">
        <v>160</v>
      </c>
      <c r="L106" s="1">
        <v>380757.9</v>
      </c>
      <c r="M106" s="8">
        <v>2.6290800812709854E-3</v>
      </c>
      <c r="N106" s="1">
        <v>152073.89056671434</v>
      </c>
      <c r="O106" s="6">
        <f t="shared" si="4"/>
        <v>3.9265290748056838</v>
      </c>
      <c r="P106" s="6"/>
      <c r="Q106" s="6"/>
      <c r="R106" s="41"/>
      <c r="S106" s="3" t="s">
        <v>134</v>
      </c>
      <c r="T106" s="1">
        <v>72</v>
      </c>
      <c r="U106" s="1">
        <v>486401.4</v>
      </c>
      <c r="V106" s="8">
        <v>2.9626954262052534E-3</v>
      </c>
      <c r="W106" s="1">
        <v>247298.57805600503</v>
      </c>
      <c r="X106" s="6">
        <f t="shared" si="5"/>
        <v>0.11736724676974331</v>
      </c>
      <c r="Y106" s="6"/>
      <c r="Z106" s="41"/>
      <c r="AA106" s="41"/>
      <c r="AB106" s="3" t="s">
        <v>145</v>
      </c>
      <c r="AC106" s="1">
        <v>67</v>
      </c>
      <c r="AD106" s="1">
        <v>430711.4</v>
      </c>
      <c r="AE106" s="8">
        <v>2.7990629781492384E-3</v>
      </c>
      <c r="AF106" s="1">
        <v>199011.98346148053</v>
      </c>
      <c r="AG106" s="6">
        <f t="shared" si="6"/>
        <v>-0.40615644048317778</v>
      </c>
      <c r="AH106" s="6">
        <f t="shared" si="7"/>
        <v>24.7817988020272</v>
      </c>
      <c r="AI106" s="6" t="str">
        <f>VLOOKUP(AB106,'ABC расчет'!AC:AC,1,0)</f>
        <v>BRUNO</v>
      </c>
      <c r="AJ106" s="6"/>
      <c r="AK106" s="6"/>
      <c r="AL106" s="6"/>
    </row>
    <row r="107" spans="1:38" x14ac:dyDescent="0.3">
      <c r="A107" s="3" t="s">
        <v>48</v>
      </c>
      <c r="B107" s="1">
        <v>30</v>
      </c>
      <c r="C107" s="1">
        <v>86468.759699999995</v>
      </c>
      <c r="D107" s="8">
        <v>1.0435503471274206E-3</v>
      </c>
      <c r="E107" s="1">
        <v>41906.760123339474</v>
      </c>
      <c r="F107" s="1"/>
      <c r="G107" s="1"/>
      <c r="I107" s="1"/>
      <c r="J107" s="3" t="s">
        <v>8</v>
      </c>
      <c r="K107" s="1">
        <v>284</v>
      </c>
      <c r="L107" s="1">
        <v>374550.6</v>
      </c>
      <c r="M107" s="8">
        <v>2.5862195423603717E-3</v>
      </c>
      <c r="N107" s="1">
        <v>165540.74216295138</v>
      </c>
      <c r="O107" s="6">
        <f t="shared" si="4"/>
        <v>7.3560444037134349</v>
      </c>
      <c r="P107" s="6"/>
      <c r="Q107" s="6"/>
      <c r="R107" s="41"/>
      <c r="S107" s="3" t="s">
        <v>23</v>
      </c>
      <c r="T107" s="1">
        <v>1258</v>
      </c>
      <c r="U107" s="1">
        <v>426021.99999999988</v>
      </c>
      <c r="V107" s="8">
        <v>2.5949214596479656E-3</v>
      </c>
      <c r="W107" s="1">
        <v>231829.9957243512</v>
      </c>
      <c r="X107" s="6">
        <f t="shared" si="5"/>
        <v>0.21789679422196251</v>
      </c>
      <c r="Y107" s="6"/>
      <c r="Z107" s="41"/>
      <c r="AA107" s="41"/>
      <c r="AB107" s="3" t="s">
        <v>134</v>
      </c>
      <c r="AC107" s="1">
        <v>37</v>
      </c>
      <c r="AD107" s="1">
        <v>423262.7</v>
      </c>
      <c r="AE107" s="8">
        <v>2.7506561321606247E-3</v>
      </c>
      <c r="AF107" s="1">
        <v>162512.77046026586</v>
      </c>
      <c r="AG107" s="6">
        <f t="shared" si="6"/>
        <v>-0.34284793815732317</v>
      </c>
      <c r="AH107" s="6">
        <f t="shared" si="7"/>
        <v>1</v>
      </c>
      <c r="AI107" s="6" t="e">
        <f>VLOOKUP(AB107,'ABC расчет'!AC:AC,1,0)</f>
        <v>#N/A</v>
      </c>
      <c r="AJ107" s="6"/>
      <c r="AK107" s="6"/>
      <c r="AL107" s="6"/>
    </row>
    <row r="108" spans="1:38" x14ac:dyDescent="0.3">
      <c r="A108" s="3" t="s">
        <v>196</v>
      </c>
      <c r="B108" s="1">
        <v>23</v>
      </c>
      <c r="C108" s="1">
        <v>85412.019199999995</v>
      </c>
      <c r="D108" s="8">
        <v>1.0307970484861012E-3</v>
      </c>
      <c r="E108" s="1">
        <v>21431.070784115393</v>
      </c>
      <c r="F108" s="1"/>
      <c r="G108" s="1"/>
      <c r="I108" s="1"/>
      <c r="J108" s="3" t="s">
        <v>134</v>
      </c>
      <c r="K108" s="1">
        <v>33</v>
      </c>
      <c r="L108" s="1">
        <v>374324.53</v>
      </c>
      <c r="M108" s="8">
        <v>2.5846585606079963E-3</v>
      </c>
      <c r="N108" s="1">
        <v>221322.55869404954</v>
      </c>
      <c r="O108" s="6">
        <f t="shared" si="4"/>
        <v>1</v>
      </c>
      <c r="P108" s="6"/>
      <c r="Q108" s="6"/>
      <c r="R108" s="41"/>
      <c r="S108" s="3" t="s">
        <v>49</v>
      </c>
      <c r="T108" s="1">
        <v>56</v>
      </c>
      <c r="U108" s="1">
        <v>421410.8</v>
      </c>
      <c r="V108" s="8">
        <v>2.5668344081935138E-3</v>
      </c>
      <c r="W108" s="1">
        <v>158302.7044914373</v>
      </c>
      <c r="X108" s="6">
        <f t="shared" si="5"/>
        <v>8.9123303725440195E-2</v>
      </c>
      <c r="Y108" s="6"/>
      <c r="Z108" s="41"/>
      <c r="AA108" s="41"/>
      <c r="AB108" s="3" t="s">
        <v>45</v>
      </c>
      <c r="AC108" s="1">
        <v>53</v>
      </c>
      <c r="AD108" s="1">
        <v>400303.59999999992</v>
      </c>
      <c r="AE108" s="8">
        <v>2.6014518927984288E-3</v>
      </c>
      <c r="AF108" s="1">
        <v>184104.4640494849</v>
      </c>
      <c r="AG108" s="6">
        <f t="shared" si="6"/>
        <v>0.43023722309335932</v>
      </c>
      <c r="AH108" s="6">
        <f t="shared" si="7"/>
        <v>10.106607363143587</v>
      </c>
      <c r="AI108" s="6" t="str">
        <f>VLOOKUP(AB108,'ABC расчет'!AC:AC,1,0)</f>
        <v>GERMES</v>
      </c>
      <c r="AJ108" s="6"/>
      <c r="AK108" s="6"/>
      <c r="AL108" s="6"/>
    </row>
    <row r="109" spans="1:38" x14ac:dyDescent="0.3">
      <c r="A109" s="3" t="s">
        <v>36</v>
      </c>
      <c r="B109" s="1">
        <v>28</v>
      </c>
      <c r="C109" s="1">
        <v>80329.972500000003</v>
      </c>
      <c r="D109" s="8">
        <v>9.6946424324750858E-4</v>
      </c>
      <c r="E109" s="1">
        <v>31286.78688304999</v>
      </c>
      <c r="F109" s="1"/>
      <c r="G109" s="1"/>
      <c r="I109" s="1"/>
      <c r="J109" s="3" t="s">
        <v>167</v>
      </c>
      <c r="K109" s="1">
        <v>274</v>
      </c>
      <c r="L109" s="1">
        <v>369409.19999999995</v>
      </c>
      <c r="M109" s="8">
        <v>2.5507188939697628E-3</v>
      </c>
      <c r="N109" s="1">
        <v>168805.36010275531</v>
      </c>
      <c r="O109" s="6">
        <f t="shared" si="4"/>
        <v>1</v>
      </c>
      <c r="P109" s="6"/>
      <c r="Q109" s="6"/>
      <c r="R109" s="41"/>
      <c r="S109" s="3" t="s">
        <v>241</v>
      </c>
      <c r="T109" s="1">
        <v>264</v>
      </c>
      <c r="U109" s="1">
        <v>414706.2</v>
      </c>
      <c r="V109" s="8">
        <v>2.5259963518998113E-3</v>
      </c>
      <c r="W109" s="1">
        <v>124715.64482261623</v>
      </c>
      <c r="X109" s="6">
        <f t="shared" si="5"/>
        <v>2.5618578605528741E-2</v>
      </c>
      <c r="Y109" s="6"/>
      <c r="Z109" s="41"/>
      <c r="AA109" s="41"/>
      <c r="AB109" s="3" t="s">
        <v>135</v>
      </c>
      <c r="AC109" s="1">
        <v>82</v>
      </c>
      <c r="AD109" s="1">
        <v>398543.4</v>
      </c>
      <c r="AE109" s="8">
        <v>2.5900128859503678E-3</v>
      </c>
      <c r="AF109" s="1">
        <v>154297.64984127338</v>
      </c>
      <c r="AG109" s="6">
        <f t="shared" si="6"/>
        <v>0.37406806510180823</v>
      </c>
      <c r="AH109" s="6">
        <f t="shared" si="7"/>
        <v>3.8634192714914048</v>
      </c>
      <c r="AI109" s="6" t="str">
        <f>VLOOKUP(AB109,'ABC расчет'!AC:AC,1,0)</f>
        <v>AIR</v>
      </c>
      <c r="AJ109" s="6"/>
      <c r="AK109" s="6"/>
      <c r="AL109" s="6"/>
    </row>
    <row r="110" spans="1:38" x14ac:dyDescent="0.3">
      <c r="A110" s="3" t="s">
        <v>281</v>
      </c>
      <c r="B110" s="1">
        <v>96</v>
      </c>
      <c r="C110" s="1">
        <v>78042.848599999998</v>
      </c>
      <c r="D110" s="8">
        <v>9.4186203236754356E-4</v>
      </c>
      <c r="E110" s="1">
        <v>20345.976487201697</v>
      </c>
      <c r="F110" s="1"/>
      <c r="G110" s="1"/>
      <c r="I110" s="1"/>
      <c r="J110" s="3" t="s">
        <v>292</v>
      </c>
      <c r="K110" s="1">
        <v>166</v>
      </c>
      <c r="L110" s="1">
        <v>360673</v>
      </c>
      <c r="M110" s="8">
        <v>2.4903966540214925E-3</v>
      </c>
      <c r="N110" s="1">
        <v>129412.13279874191</v>
      </c>
      <c r="O110" s="6">
        <f t="shared" si="4"/>
        <v>1</v>
      </c>
      <c r="P110" s="6"/>
      <c r="Q110" s="6"/>
      <c r="R110" s="41"/>
      <c r="S110" s="3" t="s">
        <v>158</v>
      </c>
      <c r="T110" s="1">
        <v>77</v>
      </c>
      <c r="U110" s="1">
        <v>407435.76999999984</v>
      </c>
      <c r="V110" s="8">
        <v>2.4817117965766854E-3</v>
      </c>
      <c r="W110" s="1">
        <v>128410.08584925097</v>
      </c>
      <c r="X110" s="6">
        <f t="shared" si="5"/>
        <v>3.430431405928247E-2</v>
      </c>
      <c r="Y110" s="6"/>
      <c r="Z110" s="41"/>
      <c r="AA110" s="41"/>
      <c r="AB110" s="3" t="s">
        <v>154</v>
      </c>
      <c r="AC110" s="1">
        <v>115</v>
      </c>
      <c r="AD110" s="1">
        <v>388784.2</v>
      </c>
      <c r="AE110" s="8">
        <v>2.5265908000330827E-3</v>
      </c>
      <c r="AF110" s="1">
        <v>189150.64791944521</v>
      </c>
      <c r="AG110" s="6">
        <f t="shared" si="6"/>
        <v>0.14342941178567914</v>
      </c>
      <c r="AH110" s="6">
        <f t="shared" si="7"/>
        <v>28.349890329379868</v>
      </c>
      <c r="AI110" s="6" t="str">
        <f>VLOOKUP(AB110,'ABC расчет'!AC:AC,1,0)</f>
        <v>FLY HB</v>
      </c>
      <c r="AJ110" s="6"/>
      <c r="AK110" s="6"/>
      <c r="AL110" s="6"/>
    </row>
    <row r="111" spans="1:38" x14ac:dyDescent="0.3">
      <c r="A111" s="3" t="s">
        <v>26</v>
      </c>
      <c r="B111" s="1">
        <v>48</v>
      </c>
      <c r="C111" s="1">
        <v>75532.068199999994</v>
      </c>
      <c r="D111" s="8">
        <v>9.1156061753204509E-4</v>
      </c>
      <c r="E111" s="1">
        <v>33961.373395361894</v>
      </c>
      <c r="F111" s="1"/>
      <c r="G111" s="1"/>
      <c r="I111" s="1"/>
      <c r="J111" s="3" t="s">
        <v>226</v>
      </c>
      <c r="K111" s="1">
        <v>1128.3689999999999</v>
      </c>
      <c r="L111" s="1">
        <v>358358.39019999997</v>
      </c>
      <c r="M111" s="8">
        <v>2.4744145968636638E-3</v>
      </c>
      <c r="N111" s="1">
        <v>300366.60556467343</v>
      </c>
      <c r="O111" s="6">
        <f t="shared" si="4"/>
        <v>1</v>
      </c>
      <c r="P111" s="6"/>
      <c r="Q111" s="6"/>
      <c r="R111" s="41"/>
      <c r="S111" s="3" t="s">
        <v>327</v>
      </c>
      <c r="T111" s="1">
        <v>134</v>
      </c>
      <c r="U111" s="1">
        <v>404400.60000000003</v>
      </c>
      <c r="V111" s="8">
        <v>2.4632244232328693E-3</v>
      </c>
      <c r="W111" s="1">
        <v>181714.77034999116</v>
      </c>
      <c r="X111" s="6">
        <f t="shared" si="5"/>
        <v>-0.18835330621849145</v>
      </c>
      <c r="Y111" s="6"/>
      <c r="Z111" s="41"/>
      <c r="AA111" s="41"/>
      <c r="AB111" s="3" t="s">
        <v>170</v>
      </c>
      <c r="AC111" s="1">
        <v>117</v>
      </c>
      <c r="AD111" s="1">
        <v>387454.4</v>
      </c>
      <c r="AE111" s="8">
        <v>2.5179488324688555E-3</v>
      </c>
      <c r="AF111" s="1">
        <v>200725.66384675886</v>
      </c>
      <c r="AG111" s="6">
        <f t="shared" si="6"/>
        <v>0.18926373079467695</v>
      </c>
      <c r="AH111" s="6">
        <f t="shared" si="7"/>
        <v>0.44425628972433517</v>
      </c>
      <c r="AI111" s="6" t="str">
        <f>VLOOKUP(AB111,'ABC расчет'!AC:AC,1,0)</f>
        <v>MEDICO</v>
      </c>
      <c r="AJ111" s="6"/>
      <c r="AK111" s="6"/>
      <c r="AL111" s="6"/>
    </row>
    <row r="112" spans="1:38" x14ac:dyDescent="0.3">
      <c r="A112" s="3" t="s">
        <v>135</v>
      </c>
      <c r="B112" s="1">
        <v>13</v>
      </c>
      <c r="C112" s="1">
        <v>67503.61069999999</v>
      </c>
      <c r="D112" s="8">
        <v>8.1466898129150872E-4</v>
      </c>
      <c r="E112" s="1">
        <v>31726.166556468164</v>
      </c>
      <c r="F112" s="1"/>
      <c r="G112" s="1"/>
      <c r="I112" s="1"/>
      <c r="J112" s="3" t="s">
        <v>145</v>
      </c>
      <c r="K112" s="1">
        <v>67</v>
      </c>
      <c r="L112" s="1">
        <v>357585.9</v>
      </c>
      <c r="M112" s="8">
        <v>2.4690806600030056E-3</v>
      </c>
      <c r="N112" s="1">
        <v>160867.64721987597</v>
      </c>
      <c r="O112" s="6">
        <f t="shared" si="4"/>
        <v>19.840239076261895</v>
      </c>
      <c r="P112" s="6"/>
      <c r="Q112" s="6"/>
      <c r="R112" s="41"/>
      <c r="S112" s="3" t="s">
        <v>167</v>
      </c>
      <c r="T112" s="1">
        <v>290</v>
      </c>
      <c r="U112" s="1">
        <v>403336.24</v>
      </c>
      <c r="V112" s="8">
        <v>2.4567413528637544E-3</v>
      </c>
      <c r="W112" s="1">
        <v>132236.94318602723</v>
      </c>
      <c r="X112" s="6">
        <f t="shared" si="5"/>
        <v>-0.21663066205047121</v>
      </c>
      <c r="Y112" s="6"/>
      <c r="Z112" s="41"/>
      <c r="AA112" s="41"/>
      <c r="AB112" s="3" t="s">
        <v>37</v>
      </c>
      <c r="AC112" s="1">
        <v>33</v>
      </c>
      <c r="AD112" s="1">
        <v>382478</v>
      </c>
      <c r="AE112" s="8">
        <v>2.485608715619239E-3</v>
      </c>
      <c r="AF112" s="1">
        <v>205358.98501052576</v>
      </c>
      <c r="AG112" s="6">
        <f t="shared" si="6"/>
        <v>-0.30178904344892898</v>
      </c>
      <c r="AH112" s="6">
        <f t="shared" si="7"/>
        <v>1.308696560649838</v>
      </c>
      <c r="AI112" s="6" t="str">
        <f>VLOOKUP(AB112,'ABC расчет'!AC:AC,1,0)</f>
        <v>FIDEL</v>
      </c>
      <c r="AJ112" s="6"/>
      <c r="AK112" s="6"/>
      <c r="AL112" s="6"/>
    </row>
    <row r="113" spans="1:38" x14ac:dyDescent="0.3">
      <c r="A113" s="3" t="s">
        <v>104</v>
      </c>
      <c r="B113" s="1">
        <v>67</v>
      </c>
      <c r="C113" s="1">
        <v>66495.336800000005</v>
      </c>
      <c r="D113" s="8">
        <v>8.0250060300095596E-4</v>
      </c>
      <c r="E113" s="1">
        <v>31938.002422878693</v>
      </c>
      <c r="F113" s="1"/>
      <c r="G113" s="1"/>
      <c r="I113" s="1"/>
      <c r="J113" s="3" t="s">
        <v>132</v>
      </c>
      <c r="K113" s="1">
        <v>84</v>
      </c>
      <c r="L113" s="1">
        <v>351939.3</v>
      </c>
      <c r="M113" s="8">
        <v>2.4300916762237989E-3</v>
      </c>
      <c r="N113" s="1">
        <v>139549.05899714658</v>
      </c>
      <c r="O113" s="6">
        <f t="shared" si="4"/>
        <v>1</v>
      </c>
      <c r="P113" s="6"/>
      <c r="Q113" s="6"/>
      <c r="R113" s="41"/>
      <c r="S113" s="3" t="s">
        <v>128</v>
      </c>
      <c r="T113" s="1">
        <v>56</v>
      </c>
      <c r="U113" s="1">
        <v>396576.33</v>
      </c>
      <c r="V113" s="8">
        <v>2.4155664005742275E-3</v>
      </c>
      <c r="W113" s="1">
        <v>165780.86341005002</v>
      </c>
      <c r="X113" s="6">
        <f t="shared" si="5"/>
        <v>0.96301304831911128</v>
      </c>
      <c r="Y113" s="6"/>
      <c r="Z113" s="41"/>
      <c r="AA113" s="41"/>
      <c r="AB113" s="3" t="s">
        <v>146</v>
      </c>
      <c r="AC113" s="1">
        <v>109</v>
      </c>
      <c r="AD113" s="1">
        <v>371472</v>
      </c>
      <c r="AE113" s="8">
        <v>2.414084054007054E-3</v>
      </c>
      <c r="AF113" s="1">
        <v>130612.94184119966</v>
      </c>
      <c r="AG113" s="6">
        <f t="shared" si="6"/>
        <v>1</v>
      </c>
      <c r="AH113" s="6">
        <f t="shared" si="7"/>
        <v>1</v>
      </c>
      <c r="AI113" s="6" t="e">
        <f>VLOOKUP(AB113,'ABC расчет'!AC:AC,1,0)</f>
        <v>#N/A</v>
      </c>
      <c r="AJ113" s="6"/>
      <c r="AK113" s="6"/>
      <c r="AL113" s="6"/>
    </row>
    <row r="114" spans="1:38" x14ac:dyDescent="0.3">
      <c r="A114" s="3" t="s">
        <v>148</v>
      </c>
      <c r="B114" s="1">
        <v>15</v>
      </c>
      <c r="C114" s="1">
        <v>65690.805699999997</v>
      </c>
      <c r="D114" s="8">
        <v>7.9279109968909329E-4</v>
      </c>
      <c r="E114" s="1">
        <v>28887.152608709504</v>
      </c>
      <c r="F114" s="1"/>
      <c r="G114" s="1"/>
      <c r="I114" s="1"/>
      <c r="J114" s="3" t="s">
        <v>29</v>
      </c>
      <c r="K114" s="1">
        <v>67</v>
      </c>
      <c r="L114" s="1">
        <v>339910.05000000005</v>
      </c>
      <c r="M114" s="8">
        <v>2.3470313862925096E-3</v>
      </c>
      <c r="N114" s="1">
        <v>146599.07407856916</v>
      </c>
      <c r="O114" s="6">
        <f t="shared" si="4"/>
        <v>90.151498982438653</v>
      </c>
      <c r="P114" s="6"/>
      <c r="Q114" s="6"/>
      <c r="R114" s="41"/>
      <c r="S114" s="3" t="s">
        <v>286</v>
      </c>
      <c r="T114" s="1">
        <v>333</v>
      </c>
      <c r="U114" s="1">
        <v>390475</v>
      </c>
      <c r="V114" s="8">
        <v>2.3784028922357054E-3</v>
      </c>
      <c r="W114" s="1">
        <v>143890.21810378821</v>
      </c>
      <c r="X114" s="6">
        <f t="shared" si="5"/>
        <v>1.5886480789648152</v>
      </c>
      <c r="Y114" s="6"/>
      <c r="Z114" s="41"/>
      <c r="AA114" s="41"/>
      <c r="AB114" s="3" t="s">
        <v>194</v>
      </c>
      <c r="AC114" s="1">
        <v>110</v>
      </c>
      <c r="AD114" s="1">
        <v>370547.36999999994</v>
      </c>
      <c r="AE114" s="8">
        <v>2.4080751635957801E-3</v>
      </c>
      <c r="AF114" s="1">
        <v>146592.3636962357</v>
      </c>
      <c r="AG114" s="6">
        <f t="shared" si="6"/>
        <v>-0.11774663427763432</v>
      </c>
      <c r="AH114" s="6">
        <f t="shared" si="7"/>
        <v>2.4149803013737281</v>
      </c>
      <c r="AI114" s="6" t="str">
        <f>VLOOKUP(AB114,'ABC расчет'!AC:AC,1,0)</f>
        <v>VENSAN</v>
      </c>
      <c r="AJ114" s="6"/>
      <c r="AK114" s="6"/>
      <c r="AL114" s="6"/>
    </row>
    <row r="115" spans="1:38" x14ac:dyDescent="0.3">
      <c r="A115" s="3" t="s">
        <v>190</v>
      </c>
      <c r="B115" s="1">
        <v>13</v>
      </c>
      <c r="C115" s="1">
        <v>65148.373800000001</v>
      </c>
      <c r="D115" s="8">
        <v>7.8624474700053973E-4</v>
      </c>
      <c r="E115" s="1">
        <v>20635.900155818239</v>
      </c>
      <c r="F115" s="1"/>
      <c r="G115" s="1"/>
      <c r="I115" s="1"/>
      <c r="J115" s="3" t="s">
        <v>39</v>
      </c>
      <c r="K115" s="1">
        <v>288</v>
      </c>
      <c r="L115" s="1">
        <v>337750.4</v>
      </c>
      <c r="M115" s="8">
        <v>2.3321193048950733E-3</v>
      </c>
      <c r="N115" s="1">
        <v>171568.31440573797</v>
      </c>
      <c r="O115" s="6">
        <f t="shared" si="4"/>
        <v>2.6700082907017095</v>
      </c>
      <c r="P115" s="6"/>
      <c r="Q115" s="6"/>
      <c r="R115" s="41"/>
      <c r="S115" s="3" t="s">
        <v>94</v>
      </c>
      <c r="T115" s="1">
        <v>570</v>
      </c>
      <c r="U115" s="1">
        <v>366786.96000000014</v>
      </c>
      <c r="V115" s="8">
        <v>2.234117847489192E-3</v>
      </c>
      <c r="W115" s="1">
        <v>140005.89772188792</v>
      </c>
      <c r="X115" s="6">
        <f t="shared" si="5"/>
        <v>-0.13727981209243412</v>
      </c>
      <c r="Y115" s="6"/>
      <c r="Z115" s="41"/>
      <c r="AA115" s="41"/>
      <c r="AB115" s="3" t="s">
        <v>86</v>
      </c>
      <c r="AC115" s="1">
        <v>46</v>
      </c>
      <c r="AD115" s="1">
        <v>364751.45999999996</v>
      </c>
      <c r="AE115" s="8">
        <v>2.3704092993867415E-3</v>
      </c>
      <c r="AF115" s="1">
        <v>167134.25975388888</v>
      </c>
      <c r="AG115" s="6">
        <f t="shared" si="6"/>
        <v>0.2225563459260318</v>
      </c>
      <c r="AH115" s="6">
        <f t="shared" si="7"/>
        <v>2.3611359816254764</v>
      </c>
      <c r="AI115" s="6" t="str">
        <f>VLOOKUP(AB115,'ABC расчет'!AC:AC,1,0)</f>
        <v>STAFF</v>
      </c>
      <c r="AJ115" s="6"/>
      <c r="AK115" s="6"/>
      <c r="AL115" s="6"/>
    </row>
    <row r="116" spans="1:38" x14ac:dyDescent="0.3">
      <c r="A116" s="3" t="s">
        <v>419</v>
      </c>
      <c r="B116" s="1">
        <v>42</v>
      </c>
      <c r="C116" s="1">
        <v>64790.942600000002</v>
      </c>
      <c r="D116" s="8">
        <v>7.819310797971675E-4</v>
      </c>
      <c r="E116" s="1">
        <v>24571.869477351007</v>
      </c>
      <c r="F116" s="1"/>
      <c r="G116" s="1"/>
      <c r="I116" s="1"/>
      <c r="J116" s="3" t="s">
        <v>57</v>
      </c>
      <c r="K116" s="1">
        <v>41</v>
      </c>
      <c r="L116" s="1">
        <v>335729.5</v>
      </c>
      <c r="M116" s="8">
        <v>2.3181652728546595E-3</v>
      </c>
      <c r="N116" s="1">
        <v>160390.65859253457</v>
      </c>
      <c r="O116" s="6">
        <f t="shared" si="4"/>
        <v>0.62306069360255134</v>
      </c>
      <c r="P116" s="6"/>
      <c r="Q116" s="6"/>
      <c r="R116" s="41"/>
      <c r="S116" s="3" t="s">
        <v>278</v>
      </c>
      <c r="T116" s="1">
        <v>231</v>
      </c>
      <c r="U116" s="1">
        <v>362606.14</v>
      </c>
      <c r="V116" s="8">
        <v>2.2086522622918885E-3</v>
      </c>
      <c r="W116" s="1">
        <v>96667.367569922295</v>
      </c>
      <c r="X116" s="6">
        <f t="shared" si="5"/>
        <v>-0.70995900169220449</v>
      </c>
      <c r="Y116" s="6"/>
      <c r="Z116" s="41"/>
      <c r="AA116" s="41"/>
      <c r="AB116" s="3" t="s">
        <v>284</v>
      </c>
      <c r="AC116" s="1">
        <v>73</v>
      </c>
      <c r="AD116" s="1">
        <v>362599</v>
      </c>
      <c r="AE116" s="8">
        <v>2.3564211135668469E-3</v>
      </c>
      <c r="AF116" s="1">
        <v>115304.05838000437</v>
      </c>
      <c r="AG116" s="6">
        <f t="shared" si="6"/>
        <v>-0.59562214331781571</v>
      </c>
      <c r="AH116" s="6">
        <f t="shared" si="7"/>
        <v>82.602279147010009</v>
      </c>
      <c r="AI116" s="6" t="str">
        <f>VLOOKUP(AB116,'ABC расчет'!AC:AC,1,0)</f>
        <v>ARGON</v>
      </c>
      <c r="AJ116" s="6"/>
      <c r="AK116" s="6"/>
      <c r="AL116" s="6"/>
    </row>
    <row r="117" spans="1:38" x14ac:dyDescent="0.3">
      <c r="A117" s="3" t="s">
        <v>322</v>
      </c>
      <c r="B117" s="1">
        <v>15</v>
      </c>
      <c r="C117" s="1">
        <v>63953.136800000007</v>
      </c>
      <c r="D117" s="8">
        <v>7.7181999995227677E-4</v>
      </c>
      <c r="E117" s="1">
        <v>20033.405031266731</v>
      </c>
      <c r="F117" s="1"/>
      <c r="G117" s="1"/>
      <c r="I117" s="1"/>
      <c r="J117" s="3" t="s">
        <v>212</v>
      </c>
      <c r="K117" s="1">
        <v>1654</v>
      </c>
      <c r="L117" s="1">
        <v>330054</v>
      </c>
      <c r="M117" s="8">
        <v>2.2789767386147829E-3</v>
      </c>
      <c r="N117" s="1">
        <v>167217.79591777732</v>
      </c>
      <c r="O117" s="6">
        <f t="shared" si="4"/>
        <v>1</v>
      </c>
      <c r="P117" s="6"/>
      <c r="Q117" s="6"/>
      <c r="R117" s="41"/>
      <c r="S117" s="3" t="s">
        <v>79</v>
      </c>
      <c r="T117" s="1">
        <v>71</v>
      </c>
      <c r="U117" s="1">
        <v>352747.35</v>
      </c>
      <c r="V117" s="8">
        <v>2.1486018758396326E-3</v>
      </c>
      <c r="W117" s="1">
        <v>151385.74562438671</v>
      </c>
      <c r="X117" s="6">
        <f t="shared" si="5"/>
        <v>-0.41155092563032802</v>
      </c>
      <c r="Y117" s="6"/>
      <c r="Z117" s="41"/>
      <c r="AA117" s="41"/>
      <c r="AB117" s="3" t="s">
        <v>97</v>
      </c>
      <c r="AC117" s="1">
        <v>49</v>
      </c>
      <c r="AD117" s="1">
        <v>361434.64999999997</v>
      </c>
      <c r="AE117" s="8">
        <v>2.3488543554578017E-3</v>
      </c>
      <c r="AF117" s="1">
        <v>134811.39157252212</v>
      </c>
      <c r="AG117" s="6">
        <f t="shared" si="6"/>
        <v>46.620554784287734</v>
      </c>
      <c r="AH117" s="6">
        <f t="shared" si="7"/>
        <v>1</v>
      </c>
      <c r="AI117" s="6" t="str">
        <f>VLOOKUP(AB117,'ABC расчет'!AC:AC,1,0)</f>
        <v>VERONA</v>
      </c>
      <c r="AJ117" s="6"/>
      <c r="AK117" s="6"/>
      <c r="AL117" s="6"/>
    </row>
    <row r="118" spans="1:38" x14ac:dyDescent="0.3">
      <c r="A118" s="3" t="s">
        <v>280</v>
      </c>
      <c r="B118" s="1">
        <v>24</v>
      </c>
      <c r="C118" s="1">
        <v>62903.829099999995</v>
      </c>
      <c r="D118" s="8">
        <v>7.5915640424005005E-4</v>
      </c>
      <c r="E118" s="1">
        <v>24784.209416397789</v>
      </c>
      <c r="F118" s="1"/>
      <c r="G118" s="1"/>
      <c r="I118" s="1"/>
      <c r="J118" s="3" t="s">
        <v>23</v>
      </c>
      <c r="K118" s="1">
        <v>842</v>
      </c>
      <c r="L118" s="1">
        <v>329473.20000000007</v>
      </c>
      <c r="M118" s="8">
        <v>2.2749663957927378E-3</v>
      </c>
      <c r="N118" s="1">
        <v>190352.74320797663</v>
      </c>
      <c r="O118" s="6">
        <f t="shared" si="4"/>
        <v>-0.49605178284965545</v>
      </c>
      <c r="P118" s="6"/>
      <c r="Q118" s="6"/>
      <c r="R118" s="41"/>
      <c r="S118" s="3" t="s">
        <v>196</v>
      </c>
      <c r="T118" s="1">
        <v>44</v>
      </c>
      <c r="U118" s="1">
        <v>352725.69999999995</v>
      </c>
      <c r="V118" s="8">
        <v>2.1484700045991769E-3</v>
      </c>
      <c r="W118" s="1">
        <v>185924.95382098696</v>
      </c>
      <c r="X118" s="6">
        <f t="shared" si="5"/>
        <v>-0.6666819748566285</v>
      </c>
      <c r="Y118" s="6"/>
      <c r="Z118" s="41"/>
      <c r="AA118" s="41"/>
      <c r="AB118" s="3" t="s">
        <v>105</v>
      </c>
      <c r="AC118" s="1">
        <v>313</v>
      </c>
      <c r="AD118" s="1">
        <v>354117.80999999988</v>
      </c>
      <c r="AE118" s="8">
        <v>2.3013044276847228E-3</v>
      </c>
      <c r="AF118" s="1">
        <v>172719.51809417384</v>
      </c>
      <c r="AG118" s="6">
        <f t="shared" si="6"/>
        <v>1.3333656901035793</v>
      </c>
      <c r="AH118" s="6">
        <f t="shared" si="7"/>
        <v>4.6151428931318383</v>
      </c>
      <c r="AI118" s="6" t="str">
        <f>VLOOKUP(AB118,'ABC расчет'!AC:AC,1,0)</f>
        <v>CACTUS</v>
      </c>
      <c r="AJ118" s="6"/>
      <c r="AK118" s="6"/>
      <c r="AL118" s="6"/>
    </row>
    <row r="119" spans="1:38" x14ac:dyDescent="0.3">
      <c r="A119" s="3" t="s">
        <v>84</v>
      </c>
      <c r="B119" s="1">
        <v>58</v>
      </c>
      <c r="C119" s="1">
        <v>62196.559699999998</v>
      </c>
      <c r="D119" s="8">
        <v>7.5062070614002744E-4</v>
      </c>
      <c r="E119" s="1">
        <v>28463.293982459974</v>
      </c>
      <c r="F119" s="1"/>
      <c r="G119" s="1"/>
      <c r="I119" s="1"/>
      <c r="J119" s="3" t="s">
        <v>50</v>
      </c>
      <c r="K119" s="1">
        <v>364</v>
      </c>
      <c r="L119" s="1">
        <v>320217.5</v>
      </c>
      <c r="M119" s="8">
        <v>2.2110570809545688E-3</v>
      </c>
      <c r="N119" s="1">
        <v>134330.42989991076</v>
      </c>
      <c r="O119" s="6">
        <f t="shared" si="4"/>
        <v>-0.13015253961201934</v>
      </c>
      <c r="P119" s="6"/>
      <c r="Q119" s="6"/>
      <c r="R119" s="41"/>
      <c r="S119" s="3" t="s">
        <v>78</v>
      </c>
      <c r="T119" s="1">
        <v>198</v>
      </c>
      <c r="U119" s="1">
        <v>346213.85000000003</v>
      </c>
      <c r="V119" s="8">
        <v>2.1088059982638037E-3</v>
      </c>
      <c r="W119" s="1">
        <v>139151.59980543412</v>
      </c>
      <c r="X119" s="6">
        <f t="shared" si="5"/>
        <v>-0.17010436977435683</v>
      </c>
      <c r="Y119" s="6"/>
      <c r="Z119" s="41"/>
      <c r="AA119" s="41"/>
      <c r="AB119" s="3" t="s">
        <v>185</v>
      </c>
      <c r="AC119" s="1">
        <v>228</v>
      </c>
      <c r="AD119" s="1">
        <v>337819</v>
      </c>
      <c r="AE119" s="8">
        <v>2.1953833964352869E-3</v>
      </c>
      <c r="AF119" s="1">
        <v>88693.614785978847</v>
      </c>
      <c r="AG119" s="6">
        <f t="shared" si="6"/>
        <v>-0.12306457206985499</v>
      </c>
      <c r="AH119" s="6">
        <f t="shared" si="7"/>
        <v>1</v>
      </c>
      <c r="AI119" s="6" t="str">
        <f>VLOOKUP(AB119,'ABC расчет'!AC:AC,1,0)</f>
        <v>SHELLI</v>
      </c>
      <c r="AJ119" s="6"/>
      <c r="AK119" s="6"/>
      <c r="AL119" s="6"/>
    </row>
    <row r="120" spans="1:38" x14ac:dyDescent="0.3">
      <c r="A120" s="3" t="s">
        <v>215</v>
      </c>
      <c r="B120" s="1">
        <v>40</v>
      </c>
      <c r="C120" s="1">
        <v>61547.714399999997</v>
      </c>
      <c r="D120" s="8">
        <v>7.4279010072373405E-4</v>
      </c>
      <c r="E120" s="1">
        <v>22508.058267722194</v>
      </c>
      <c r="F120" s="1"/>
      <c r="G120" s="1"/>
      <c r="I120" s="1"/>
      <c r="J120" s="3" t="s">
        <v>154</v>
      </c>
      <c r="K120" s="1">
        <v>104</v>
      </c>
      <c r="L120" s="1">
        <v>316857.34999999998</v>
      </c>
      <c r="M120" s="8">
        <v>2.1878557148500631E-3</v>
      </c>
      <c r="N120" s="1">
        <v>141817.5930400521</v>
      </c>
      <c r="O120" s="6">
        <f t="shared" si="4"/>
        <v>21.005374278573939</v>
      </c>
      <c r="P120" s="6"/>
      <c r="Q120" s="6"/>
      <c r="R120" s="41"/>
      <c r="S120" s="3" t="s">
        <v>311</v>
      </c>
      <c r="T120" s="1">
        <v>80</v>
      </c>
      <c r="U120" s="1">
        <v>345060.3</v>
      </c>
      <c r="V120" s="8">
        <v>2.1017796671124146E-3</v>
      </c>
      <c r="W120" s="1">
        <v>102253.03579352074</v>
      </c>
      <c r="X120" s="6">
        <f t="shared" si="5"/>
        <v>24.382346487828194</v>
      </c>
      <c r="Y120" s="6"/>
      <c r="Z120" s="41"/>
      <c r="AA120" s="41"/>
      <c r="AB120" s="3" t="s">
        <v>219</v>
      </c>
      <c r="AC120" s="1">
        <v>211</v>
      </c>
      <c r="AD120" s="1">
        <v>334844.75</v>
      </c>
      <c r="AE120" s="8">
        <v>2.1760546462263062E-3</v>
      </c>
      <c r="AF120" s="1">
        <v>136708.7321218579</v>
      </c>
      <c r="AG120" s="6">
        <f t="shared" si="6"/>
        <v>0.5096831783699014</v>
      </c>
      <c r="AH120" s="6">
        <f t="shared" si="7"/>
        <v>1.9159145803642663</v>
      </c>
      <c r="AI120" s="6" t="str">
        <f>VLOOKUP(AB120,'ABC расчет'!AC:AC,1,0)</f>
        <v>СТОЛ УЧЕН. E-174</v>
      </c>
      <c r="AJ120" s="6"/>
      <c r="AK120" s="6"/>
      <c r="AL120" s="6"/>
    </row>
    <row r="121" spans="1:38" x14ac:dyDescent="0.3">
      <c r="A121" s="3" t="s">
        <v>228</v>
      </c>
      <c r="B121" s="1">
        <v>26</v>
      </c>
      <c r="C121" s="1">
        <v>61283.488299999997</v>
      </c>
      <c r="D121" s="8">
        <v>7.3960128155561172E-4</v>
      </c>
      <c r="E121" s="1">
        <v>30868.363559330577</v>
      </c>
      <c r="F121" s="1"/>
      <c r="G121" s="1"/>
      <c r="I121" s="1"/>
      <c r="J121" s="3" t="s">
        <v>302</v>
      </c>
      <c r="K121" s="1">
        <v>7152.8569000000016</v>
      </c>
      <c r="L121" s="1">
        <v>316599.22030000004</v>
      </c>
      <c r="M121" s="8">
        <v>2.1860733653501466E-3</v>
      </c>
      <c r="N121" s="1">
        <v>-300066.4153558301</v>
      </c>
      <c r="O121" s="6">
        <f t="shared" si="4"/>
        <v>-21.121319505520173</v>
      </c>
      <c r="P121" s="6"/>
      <c r="Q121" s="6"/>
      <c r="R121" s="41"/>
      <c r="S121" s="3" t="s">
        <v>48</v>
      </c>
      <c r="T121" s="1">
        <v>106</v>
      </c>
      <c r="U121" s="1">
        <v>344064.2</v>
      </c>
      <c r="V121" s="8">
        <v>2.0957123718413832E-3</v>
      </c>
      <c r="W121" s="1">
        <v>136478.2096285705</v>
      </c>
      <c r="X121" s="6">
        <f t="shared" si="5"/>
        <v>3.706838862016145</v>
      </c>
      <c r="Y121" s="6"/>
      <c r="Z121" s="41"/>
      <c r="AA121" s="41"/>
      <c r="AB121" s="3" t="s">
        <v>241</v>
      </c>
      <c r="AC121" s="1">
        <v>198</v>
      </c>
      <c r="AD121" s="1">
        <v>323336.09999999998</v>
      </c>
      <c r="AE121" s="8">
        <v>2.1012634144560831E-3</v>
      </c>
      <c r="AF121" s="1">
        <v>95686.305752693763</v>
      </c>
      <c r="AG121" s="6">
        <f t="shared" si="6"/>
        <v>-0.23276421423479843</v>
      </c>
      <c r="AH121" s="6">
        <f t="shared" si="7"/>
        <v>1</v>
      </c>
      <c r="AI121" s="6" t="str">
        <f>VLOOKUP(AB121,'ABC расчет'!AC:AC,1,0)</f>
        <v>JANE</v>
      </c>
      <c r="AJ121" s="6"/>
      <c r="AK121" s="6"/>
      <c r="AL121" s="6"/>
    </row>
    <row r="122" spans="1:38" x14ac:dyDescent="0.3">
      <c r="A122" s="3" t="s">
        <v>105</v>
      </c>
      <c r="B122" s="1">
        <v>63</v>
      </c>
      <c r="C122" s="1">
        <v>60158.892599999999</v>
      </c>
      <c r="D122" s="8">
        <v>7.2602907076891059E-4</v>
      </c>
      <c r="E122" s="1">
        <v>30759.594436222753</v>
      </c>
      <c r="F122" s="1"/>
      <c r="G122" s="1"/>
      <c r="I122" s="1"/>
      <c r="J122" s="3" t="s">
        <v>147</v>
      </c>
      <c r="K122" s="1">
        <v>71</v>
      </c>
      <c r="L122" s="1">
        <v>309980.15000000002</v>
      </c>
      <c r="M122" s="8">
        <v>2.1403696100708407E-3</v>
      </c>
      <c r="N122" s="1">
        <v>125553.71693486115</v>
      </c>
      <c r="O122" s="6">
        <f t="shared" si="4"/>
        <v>26.905654050201608</v>
      </c>
      <c r="P122" s="6"/>
      <c r="Q122" s="6"/>
      <c r="R122" s="41"/>
      <c r="S122" s="3" t="s">
        <v>154</v>
      </c>
      <c r="T122" s="1">
        <v>103</v>
      </c>
      <c r="U122" s="1">
        <v>342671.95999999979</v>
      </c>
      <c r="V122" s="8">
        <v>2.0872321678777834E-3</v>
      </c>
      <c r="W122" s="1">
        <v>165423.98329954717</v>
      </c>
      <c r="X122" s="6">
        <f t="shared" si="5"/>
        <v>0.16645600699786334</v>
      </c>
      <c r="Y122" s="6"/>
      <c r="Z122" s="41"/>
      <c r="AA122" s="41"/>
      <c r="AB122" s="3" t="s">
        <v>22</v>
      </c>
      <c r="AC122" s="1">
        <v>33</v>
      </c>
      <c r="AD122" s="1">
        <v>312477.10000000003</v>
      </c>
      <c r="AE122" s="8">
        <v>2.0306940613353569E-3</v>
      </c>
      <c r="AF122" s="1">
        <v>137453.66383657185</v>
      </c>
      <c r="AG122" s="6">
        <f t="shared" si="6"/>
        <v>1.3542320094760725</v>
      </c>
      <c r="AH122" s="6">
        <f t="shared" si="7"/>
        <v>1</v>
      </c>
      <c r="AI122" s="6" t="str">
        <f>VLOOKUP(AB122,'ABC расчет'!AC:AC,1,0)</f>
        <v>CHESTER</v>
      </c>
      <c r="AJ122" s="6"/>
      <c r="AK122" s="6"/>
      <c r="AL122" s="6"/>
    </row>
    <row r="123" spans="1:38" x14ac:dyDescent="0.3">
      <c r="A123" s="3" t="s">
        <v>156</v>
      </c>
      <c r="B123" s="1">
        <v>26</v>
      </c>
      <c r="C123" s="1">
        <v>58547.687599999997</v>
      </c>
      <c r="D123" s="8">
        <v>7.0658420371083207E-4</v>
      </c>
      <c r="E123" s="1">
        <v>14749.859142406884</v>
      </c>
      <c r="F123" s="1"/>
      <c r="G123" s="1"/>
      <c r="I123" s="1"/>
      <c r="J123" s="3" t="s">
        <v>185</v>
      </c>
      <c r="K123" s="1">
        <v>226</v>
      </c>
      <c r="L123" s="1">
        <v>301883.90000000002</v>
      </c>
      <c r="M123" s="8">
        <v>2.0844661354272676E-3</v>
      </c>
      <c r="N123" s="1">
        <v>125100.91801836876</v>
      </c>
      <c r="O123" s="6">
        <f t="shared" si="4"/>
        <v>1</v>
      </c>
      <c r="P123" s="6"/>
      <c r="Q123" s="6"/>
      <c r="R123" s="41"/>
      <c r="S123" s="3" t="s">
        <v>178</v>
      </c>
      <c r="T123" s="1">
        <v>279</v>
      </c>
      <c r="U123" s="1">
        <v>338965.2</v>
      </c>
      <c r="V123" s="8">
        <v>2.064654106017682E-3</v>
      </c>
      <c r="W123" s="1">
        <v>117836.34972263886</v>
      </c>
      <c r="X123" s="6">
        <f t="shared" si="5"/>
        <v>0.39769810419595664</v>
      </c>
      <c r="Y123" s="6"/>
      <c r="Z123" s="41"/>
      <c r="AA123" s="41"/>
      <c r="AB123" s="3" t="s">
        <v>34</v>
      </c>
      <c r="AC123" s="1">
        <v>86</v>
      </c>
      <c r="AD123" s="1">
        <v>310822</v>
      </c>
      <c r="AE123" s="8">
        <v>2.0199380675652015E-3</v>
      </c>
      <c r="AF123" s="1">
        <v>144331.38655477547</v>
      </c>
      <c r="AG123" s="6">
        <f t="shared" si="6"/>
        <v>3.7718246766449726</v>
      </c>
      <c r="AH123" s="6">
        <f t="shared" si="7"/>
        <v>1</v>
      </c>
      <c r="AI123" s="6" t="str">
        <f>VLOOKUP(AB123,'ABC расчет'!AC:AC,1,0)</f>
        <v>EXPERT</v>
      </c>
      <c r="AJ123" s="6"/>
      <c r="AK123" s="6"/>
      <c r="AL123" s="6"/>
    </row>
    <row r="124" spans="1:38" x14ac:dyDescent="0.3">
      <c r="A124" s="3" t="s">
        <v>42</v>
      </c>
      <c r="B124" s="1">
        <v>35</v>
      </c>
      <c r="C124" s="1">
        <v>56953.299500000008</v>
      </c>
      <c r="D124" s="8">
        <v>6.8734229182284624E-4</v>
      </c>
      <c r="E124" s="1">
        <v>28568.288475811802</v>
      </c>
      <c r="F124" s="1"/>
      <c r="G124" s="1"/>
      <c r="I124" s="1"/>
      <c r="J124" s="3" t="s">
        <v>72</v>
      </c>
      <c r="K124" s="1">
        <v>89</v>
      </c>
      <c r="L124" s="1">
        <v>299889.74</v>
      </c>
      <c r="M124" s="8">
        <v>2.0706967393494253E-3</v>
      </c>
      <c r="N124" s="1">
        <v>138064.65531036019</v>
      </c>
      <c r="O124" s="6">
        <f t="shared" si="4"/>
        <v>1</v>
      </c>
      <c r="P124" s="6"/>
      <c r="Q124" s="6"/>
      <c r="R124" s="41"/>
      <c r="S124" s="3" t="s">
        <v>279</v>
      </c>
      <c r="T124" s="1">
        <v>459</v>
      </c>
      <c r="U124" s="1">
        <v>338740.9</v>
      </c>
      <c r="V124" s="8">
        <v>2.0632878834202597E-3</v>
      </c>
      <c r="W124" s="1">
        <v>112896.07509670686</v>
      </c>
      <c r="X124" s="6">
        <f t="shared" si="5"/>
        <v>-0.21494833787852419</v>
      </c>
      <c r="Y124" s="6"/>
      <c r="Z124" s="41"/>
      <c r="AA124" s="41"/>
      <c r="AB124" s="3" t="s">
        <v>225</v>
      </c>
      <c r="AC124" s="1">
        <v>293</v>
      </c>
      <c r="AD124" s="1">
        <v>310000.8</v>
      </c>
      <c r="AE124" s="8">
        <v>2.0146013374074761E-3</v>
      </c>
      <c r="AF124" s="1">
        <v>147535.94903780107</v>
      </c>
      <c r="AG124" s="6">
        <f t="shared" si="6"/>
        <v>1.634881736981086</v>
      </c>
      <c r="AH124" s="6">
        <f t="shared" si="7"/>
        <v>2.3050825515269922</v>
      </c>
      <c r="AI124" s="6" t="str">
        <f>VLOOKUP(AB124,'ABC расчет'!AC:AC,1,0)</f>
        <v>СТУЛ УЧЕН. E-274</v>
      </c>
      <c r="AJ124" s="6"/>
      <c r="AK124" s="6"/>
      <c r="AL124" s="6"/>
    </row>
    <row r="125" spans="1:38" x14ac:dyDescent="0.3">
      <c r="A125" s="3" t="s">
        <v>8</v>
      </c>
      <c r="B125" s="1">
        <v>60</v>
      </c>
      <c r="C125" s="1">
        <v>55893.715299999996</v>
      </c>
      <c r="D125" s="8">
        <v>6.7455467391833342E-4</v>
      </c>
      <c r="E125" s="1">
        <v>19810.897856093838</v>
      </c>
      <c r="F125" s="1"/>
      <c r="G125" s="1"/>
      <c r="I125" s="1"/>
      <c r="J125" s="3" t="s">
        <v>106</v>
      </c>
      <c r="K125" s="1">
        <v>222</v>
      </c>
      <c r="L125" s="1">
        <v>299870.4499999999</v>
      </c>
      <c r="M125" s="8">
        <v>2.0705635445955727E-3</v>
      </c>
      <c r="N125" s="1">
        <v>140528.35304829793</v>
      </c>
      <c r="O125" s="6">
        <f t="shared" si="4"/>
        <v>-0.21556199390337449</v>
      </c>
      <c r="P125" s="6"/>
      <c r="Q125" s="6"/>
      <c r="R125" s="41"/>
      <c r="S125" s="3" t="s">
        <v>132</v>
      </c>
      <c r="T125" s="1">
        <v>79</v>
      </c>
      <c r="U125" s="1">
        <v>338400.05</v>
      </c>
      <c r="V125" s="8">
        <v>2.0612117489025093E-3</v>
      </c>
      <c r="W125" s="1">
        <v>117592.19465538775</v>
      </c>
      <c r="X125" s="6">
        <f t="shared" si="5"/>
        <v>-0.1573415435370854</v>
      </c>
      <c r="Y125" s="6"/>
      <c r="Z125" s="41"/>
      <c r="AA125" s="41"/>
      <c r="AB125" s="3" t="s">
        <v>39</v>
      </c>
      <c r="AC125" s="1">
        <v>242</v>
      </c>
      <c r="AD125" s="1">
        <v>303504.80000000005</v>
      </c>
      <c r="AE125" s="8">
        <v>1.972385800261124E-3</v>
      </c>
      <c r="AF125" s="1">
        <v>132789.77260428108</v>
      </c>
      <c r="AG125" s="6">
        <f t="shared" si="6"/>
        <v>0.20452396430277253</v>
      </c>
      <c r="AH125" s="6">
        <f t="shared" si="7"/>
        <v>1.8404986553962881</v>
      </c>
      <c r="AI125" s="6" t="str">
        <f>VLOOKUP(AB125,'ABC расчет'!AC:AC,1,0)</f>
        <v>FLORINO</v>
      </c>
      <c r="AJ125" s="6"/>
      <c r="AK125" s="6"/>
      <c r="AL125" s="6"/>
    </row>
    <row r="126" spans="1:38" x14ac:dyDescent="0.3">
      <c r="A126" s="3" t="s">
        <v>158</v>
      </c>
      <c r="B126" s="1">
        <v>8</v>
      </c>
      <c r="C126" s="1">
        <v>52826.9058</v>
      </c>
      <c r="D126" s="8">
        <v>6.3754280825260357E-4</v>
      </c>
      <c r="E126" s="1">
        <v>25246.058207922251</v>
      </c>
      <c r="F126" s="1"/>
      <c r="G126" s="1"/>
      <c r="I126" s="1"/>
      <c r="J126" s="3" t="s">
        <v>56</v>
      </c>
      <c r="K126" s="1">
        <v>183</v>
      </c>
      <c r="L126" s="1">
        <v>297289.8</v>
      </c>
      <c r="M126" s="8">
        <v>2.0527445170409725E-3</v>
      </c>
      <c r="N126" s="1">
        <v>139303.65186840316</v>
      </c>
      <c r="O126" s="6">
        <f t="shared" si="4"/>
        <v>1</v>
      </c>
      <c r="P126" s="6"/>
      <c r="Q126" s="6"/>
      <c r="R126" s="41"/>
      <c r="S126" s="3" t="s">
        <v>461</v>
      </c>
      <c r="T126" s="1">
        <v>229.11600000000001</v>
      </c>
      <c r="U126" s="1">
        <v>329992.48729999998</v>
      </c>
      <c r="V126" s="8">
        <v>2.0100008610291933E-3</v>
      </c>
      <c r="W126" s="1">
        <v>64446.255324602127</v>
      </c>
      <c r="X126" s="6">
        <f t="shared" si="5"/>
        <v>-0.39359925151742714</v>
      </c>
      <c r="Y126" s="6"/>
      <c r="Z126" s="41"/>
      <c r="AA126" s="41"/>
      <c r="AB126" s="3" t="s">
        <v>42</v>
      </c>
      <c r="AC126" s="1">
        <v>151</v>
      </c>
      <c r="AD126" s="1">
        <v>293038.95</v>
      </c>
      <c r="AE126" s="8">
        <v>1.9043714099527566E-3</v>
      </c>
      <c r="AF126" s="1">
        <v>141715.06622606868</v>
      </c>
      <c r="AG126" s="6">
        <f t="shared" si="6"/>
        <v>-0.46098175734340996</v>
      </c>
      <c r="AH126" s="6">
        <f t="shared" si="7"/>
        <v>3.9605725014312982</v>
      </c>
      <c r="AI126" s="6" t="str">
        <f>VLOOKUP(AB126,'ABC расчет'!AC:AC,1,0)</f>
        <v>FOX</v>
      </c>
      <c r="AJ126" s="6"/>
      <c r="AK126" s="6"/>
      <c r="AL126" s="6"/>
    </row>
    <row r="127" spans="1:38" x14ac:dyDescent="0.3">
      <c r="A127" s="3" t="s">
        <v>217</v>
      </c>
      <c r="B127" s="1">
        <v>50</v>
      </c>
      <c r="C127" s="1">
        <v>52739.88</v>
      </c>
      <c r="D127" s="8">
        <v>6.3649253525095391E-4</v>
      </c>
      <c r="E127" s="1">
        <v>19474.391647072749</v>
      </c>
      <c r="F127" s="1"/>
      <c r="G127" s="1"/>
      <c r="I127" s="1"/>
      <c r="J127" s="3" t="s">
        <v>139</v>
      </c>
      <c r="K127" s="1">
        <v>141</v>
      </c>
      <c r="L127" s="1">
        <v>282571.42499999999</v>
      </c>
      <c r="M127" s="8">
        <v>1.9511161948415465E-3</v>
      </c>
      <c r="N127" s="1">
        <v>117324.06701470639</v>
      </c>
      <c r="O127" s="6">
        <f t="shared" si="4"/>
        <v>0.54781901012577361</v>
      </c>
      <c r="P127" s="6"/>
      <c r="Q127" s="6"/>
      <c r="R127" s="41"/>
      <c r="S127" s="3" t="s">
        <v>19</v>
      </c>
      <c r="T127" s="1">
        <v>460</v>
      </c>
      <c r="U127" s="1">
        <v>329896.2</v>
      </c>
      <c r="V127" s="8">
        <v>2.0094143702351461E-3</v>
      </c>
      <c r="W127" s="1">
        <v>143393.33007717313</v>
      </c>
      <c r="X127" s="6">
        <f t="shared" si="5"/>
        <v>-0.41655966308645553</v>
      </c>
      <c r="Y127" s="6"/>
      <c r="Z127" s="41"/>
      <c r="AA127" s="41"/>
      <c r="AB127" s="3" t="s">
        <v>66</v>
      </c>
      <c r="AC127" s="1">
        <v>152</v>
      </c>
      <c r="AD127" s="1">
        <v>285752.85000000003</v>
      </c>
      <c r="AE127" s="8">
        <v>1.857021252132246E-3</v>
      </c>
      <c r="AF127" s="1">
        <v>138166.9415012924</v>
      </c>
      <c r="AG127" s="6">
        <f t="shared" si="6"/>
        <v>-0.5602005699095316</v>
      </c>
      <c r="AH127" s="6">
        <f t="shared" si="7"/>
        <v>6.3418489023473148</v>
      </c>
      <c r="AI127" s="6" t="str">
        <f>VLOOKUP(AB127,'ABC расчет'!AC:AC,1,0)</f>
        <v>MINISTYLE</v>
      </c>
      <c r="AJ127" s="6"/>
      <c r="AK127" s="6"/>
      <c r="AL127" s="6"/>
    </row>
    <row r="128" spans="1:38" x14ac:dyDescent="0.3">
      <c r="A128" s="3" t="s">
        <v>17</v>
      </c>
      <c r="B128" s="1">
        <v>168</v>
      </c>
      <c r="C128" s="1">
        <v>52275.488599999997</v>
      </c>
      <c r="D128" s="8">
        <v>6.3088801625063118E-4</v>
      </c>
      <c r="E128" s="1">
        <v>25089.736597649455</v>
      </c>
      <c r="F128" s="1"/>
      <c r="G128" s="1"/>
      <c r="I128" s="1"/>
      <c r="J128" s="3" t="s">
        <v>241</v>
      </c>
      <c r="K128" s="1">
        <v>170</v>
      </c>
      <c r="L128" s="1">
        <v>276964.89999999997</v>
      </c>
      <c r="M128" s="8">
        <v>1.9124039233360888E-3</v>
      </c>
      <c r="N128" s="1">
        <v>121600.41503166266</v>
      </c>
      <c r="O128" s="6">
        <f t="shared" si="4"/>
        <v>1</v>
      </c>
      <c r="P128" s="6"/>
      <c r="Q128" s="6"/>
      <c r="R128" s="41"/>
      <c r="S128" s="3" t="s">
        <v>305</v>
      </c>
      <c r="T128" s="1">
        <v>140</v>
      </c>
      <c r="U128" s="1">
        <v>323359</v>
      </c>
      <c r="V128" s="8">
        <v>1.9695959557729571E-3</v>
      </c>
      <c r="W128" s="1">
        <v>116132.0328102567</v>
      </c>
      <c r="X128" s="6">
        <f t="shared" si="5"/>
        <v>-6.1164756304522783E-2</v>
      </c>
      <c r="Y128" s="6"/>
      <c r="Z128" s="41"/>
      <c r="AA128" s="41"/>
      <c r="AB128" s="3" t="s">
        <v>182</v>
      </c>
      <c r="AC128" s="1">
        <v>103</v>
      </c>
      <c r="AD128" s="1">
        <v>275995.06000000006</v>
      </c>
      <c r="AE128" s="8">
        <v>1.7936083293780426E-3</v>
      </c>
      <c r="AF128" s="1">
        <v>116102.67133935516</v>
      </c>
      <c r="AG128" s="6">
        <f t="shared" si="6"/>
        <v>-0.59064443138714662</v>
      </c>
      <c r="AH128" s="6">
        <f t="shared" si="7"/>
        <v>1.2514154894715994</v>
      </c>
      <c r="AI128" s="6" t="str">
        <f>VLOOKUP(AB128,'ABC расчет'!AC:AC,1,0)</f>
        <v>RALPH GTP</v>
      </c>
      <c r="AJ128" s="6"/>
      <c r="AK128" s="6"/>
      <c r="AL128" s="6"/>
    </row>
    <row r="129" spans="1:38" x14ac:dyDescent="0.3">
      <c r="A129" s="3" t="s">
        <v>9</v>
      </c>
      <c r="B129" s="1">
        <v>92</v>
      </c>
      <c r="C129" s="1">
        <v>50453.993399999992</v>
      </c>
      <c r="D129" s="8">
        <v>6.0890525675638425E-4</v>
      </c>
      <c r="E129" s="1">
        <v>21653.010779824963</v>
      </c>
      <c r="F129" s="1"/>
      <c r="G129" s="1"/>
      <c r="I129" s="1"/>
      <c r="J129" s="3" t="s">
        <v>49</v>
      </c>
      <c r="K129" s="1">
        <v>32</v>
      </c>
      <c r="L129" s="1">
        <v>274826.45</v>
      </c>
      <c r="M129" s="8">
        <v>1.8976382249755457E-3</v>
      </c>
      <c r="N129" s="1">
        <v>145348.74421468098</v>
      </c>
      <c r="O129" s="6">
        <f t="shared" si="4"/>
        <v>0.21598944568245937</v>
      </c>
      <c r="P129" s="6"/>
      <c r="Q129" s="6"/>
      <c r="R129" s="41"/>
      <c r="S129" s="3" t="s">
        <v>152</v>
      </c>
      <c r="T129" s="1">
        <v>184</v>
      </c>
      <c r="U129" s="1">
        <v>320148.38700000005</v>
      </c>
      <c r="V129" s="8">
        <v>1.9500399502795211E-3</v>
      </c>
      <c r="W129" s="1">
        <v>146688.24091501787</v>
      </c>
      <c r="X129" s="6">
        <f t="shared" si="5"/>
        <v>3.1446494638660614</v>
      </c>
      <c r="Y129" s="6"/>
      <c r="Z129" s="41"/>
      <c r="AA129" s="41"/>
      <c r="AB129" s="3" t="s">
        <v>132</v>
      </c>
      <c r="AC129" s="1">
        <v>66</v>
      </c>
      <c r="AD129" s="1">
        <v>275236.95</v>
      </c>
      <c r="AE129" s="8">
        <v>1.7886816020279775E-3</v>
      </c>
      <c r="AF129" s="1">
        <v>104330.56197435486</v>
      </c>
      <c r="AG129" s="6">
        <f t="shared" si="6"/>
        <v>-0.11277647058035645</v>
      </c>
      <c r="AH129" s="6">
        <f t="shared" si="7"/>
        <v>1</v>
      </c>
      <c r="AI129" s="6" t="str">
        <f>VLOOKUP(AB129,'ABC расчет'!AC:AC,1,0)</f>
        <v>TALIO</v>
      </c>
      <c r="AJ129" s="6"/>
      <c r="AK129" s="6"/>
      <c r="AL129" s="6"/>
    </row>
    <row r="130" spans="1:38" x14ac:dyDescent="0.3">
      <c r="A130" s="3" t="s">
        <v>103</v>
      </c>
      <c r="B130" s="1">
        <v>9</v>
      </c>
      <c r="C130" s="1">
        <v>49348.669899999994</v>
      </c>
      <c r="D130" s="8">
        <v>5.9556563298804311E-4</v>
      </c>
      <c r="E130" s="1">
        <v>25973.414849367597</v>
      </c>
      <c r="F130" s="1"/>
      <c r="G130" s="1"/>
      <c r="I130" s="1"/>
      <c r="J130" s="3" t="s">
        <v>88</v>
      </c>
      <c r="K130" s="1">
        <v>202</v>
      </c>
      <c r="L130" s="1">
        <v>273548.32999999996</v>
      </c>
      <c r="M130" s="8">
        <v>1.8888129850173619E-3</v>
      </c>
      <c r="N130" s="1">
        <v>129386.04045415898</v>
      </c>
      <c r="O130" s="6">
        <f t="shared" si="4"/>
        <v>-2.1726037019657141E-2</v>
      </c>
      <c r="P130" s="6"/>
      <c r="Q130" s="6"/>
      <c r="R130" s="41"/>
      <c r="S130" s="3" t="s">
        <v>56</v>
      </c>
      <c r="T130" s="1">
        <v>190</v>
      </c>
      <c r="U130" s="1">
        <v>314018.72000000009</v>
      </c>
      <c r="V130" s="8">
        <v>1.9127038398467362E-3</v>
      </c>
      <c r="W130" s="1">
        <v>138181.81992029518</v>
      </c>
      <c r="X130" s="6">
        <f t="shared" si="5"/>
        <v>-8.0531409841843038E-3</v>
      </c>
      <c r="Y130" s="6"/>
      <c r="Z130" s="41"/>
      <c r="AA130" s="41"/>
      <c r="AB130" s="3" t="s">
        <v>292</v>
      </c>
      <c r="AC130" s="1">
        <v>105</v>
      </c>
      <c r="AD130" s="1">
        <v>273535</v>
      </c>
      <c r="AE130" s="8">
        <v>1.7776211442930275E-3</v>
      </c>
      <c r="AF130" s="1">
        <v>93247.295784890521</v>
      </c>
      <c r="AG130" s="6">
        <f t="shared" si="6"/>
        <v>-0.65822622308731593</v>
      </c>
      <c r="AH130" s="6">
        <f t="shared" si="7"/>
        <v>1</v>
      </c>
      <c r="AI130" s="6" t="str">
        <f>VLOOKUP(AB130,'ABC расчет'!AC:AC,1,0)</f>
        <v>Мега</v>
      </c>
      <c r="AJ130" s="6"/>
      <c r="AK130" s="6"/>
      <c r="AL130" s="6"/>
    </row>
    <row r="131" spans="1:38" x14ac:dyDescent="0.3">
      <c r="A131" s="3" t="s">
        <v>66</v>
      </c>
      <c r="B131" s="1">
        <v>33</v>
      </c>
      <c r="C131" s="1">
        <v>41931.649799999999</v>
      </c>
      <c r="D131" s="8">
        <v>5.0605314400520361E-4</v>
      </c>
      <c r="E131" s="1">
        <v>18819.093574251856</v>
      </c>
      <c r="F131" s="1"/>
      <c r="G131" s="1"/>
      <c r="I131" s="1"/>
      <c r="J131" s="3" t="s">
        <v>24</v>
      </c>
      <c r="K131" s="1">
        <v>85</v>
      </c>
      <c r="L131" s="1">
        <v>266943.90000000002</v>
      </c>
      <c r="M131" s="8">
        <v>1.8432103189632934E-3</v>
      </c>
      <c r="N131" s="1">
        <v>125497.60490491061</v>
      </c>
      <c r="O131" s="6">
        <f t="shared" si="4"/>
        <v>0.11598555828430457</v>
      </c>
      <c r="P131" s="6"/>
      <c r="Q131" s="6"/>
      <c r="R131" s="41"/>
      <c r="S131" s="3" t="s">
        <v>170</v>
      </c>
      <c r="T131" s="1">
        <v>98</v>
      </c>
      <c r="U131" s="1">
        <v>312711.25</v>
      </c>
      <c r="V131" s="8">
        <v>1.9047399742227868E-3</v>
      </c>
      <c r="W131" s="1">
        <v>168781.4558278273</v>
      </c>
      <c r="X131" s="6">
        <f t="shared" si="5"/>
        <v>1.0895233267809195</v>
      </c>
      <c r="Y131" s="6"/>
      <c r="Z131" s="41"/>
      <c r="AA131" s="41"/>
      <c r="AB131" s="3" t="s">
        <v>101</v>
      </c>
      <c r="AC131" s="1">
        <v>90</v>
      </c>
      <c r="AD131" s="1">
        <v>272538.2</v>
      </c>
      <c r="AE131" s="8">
        <v>1.7711432429033287E-3</v>
      </c>
      <c r="AF131" s="1">
        <v>66813.424727849721</v>
      </c>
      <c r="AG131" s="6">
        <f t="shared" si="6"/>
        <v>1.0327819233732987</v>
      </c>
      <c r="AH131" s="6">
        <f t="shared" si="7"/>
        <v>11.216485159508522</v>
      </c>
      <c r="AI131" s="6" t="str">
        <f>VLOOKUP(AB131,'ABC расчет'!AC:AC,1,0)</f>
        <v>WAIT</v>
      </c>
      <c r="AJ131" s="6"/>
      <c r="AK131" s="6"/>
      <c r="AL131" s="6"/>
    </row>
    <row r="132" spans="1:38" x14ac:dyDescent="0.3">
      <c r="A132" s="3" t="s">
        <v>237</v>
      </c>
      <c r="B132" s="1">
        <v>31</v>
      </c>
      <c r="C132" s="1">
        <v>41384.413799999995</v>
      </c>
      <c r="D132" s="8">
        <v>4.9944881291797707E-4</v>
      </c>
      <c r="E132" s="1">
        <v>20005.832940360018</v>
      </c>
      <c r="F132" s="1"/>
      <c r="G132" s="1"/>
      <c r="I132" s="1"/>
      <c r="J132" s="3" t="s">
        <v>86</v>
      </c>
      <c r="K132" s="1">
        <v>40</v>
      </c>
      <c r="L132" s="1">
        <v>252819.15000000002</v>
      </c>
      <c r="M132" s="8">
        <v>1.745680894418373E-3</v>
      </c>
      <c r="N132" s="1">
        <v>130825.57922303784</v>
      </c>
      <c r="O132" s="6">
        <f t="shared" si="4"/>
        <v>1.630954074233816</v>
      </c>
      <c r="P132" s="6"/>
      <c r="Q132" s="6"/>
      <c r="R132" s="41"/>
      <c r="S132" s="3" t="s">
        <v>86</v>
      </c>
      <c r="T132" s="1">
        <v>46</v>
      </c>
      <c r="U132" s="1">
        <v>305862.59999999998</v>
      </c>
      <c r="V132" s="8">
        <v>1.8630245021236508E-3</v>
      </c>
      <c r="W132" s="1">
        <v>136708.83989178605</v>
      </c>
      <c r="X132" s="6">
        <f t="shared" si="5"/>
        <v>4.4970262724525201E-2</v>
      </c>
      <c r="Y132" s="6"/>
      <c r="Z132" s="41"/>
      <c r="AA132" s="41"/>
      <c r="AB132" s="3" t="s">
        <v>303</v>
      </c>
      <c r="AC132" s="1">
        <v>89</v>
      </c>
      <c r="AD132" s="1">
        <v>267554.75</v>
      </c>
      <c r="AE132" s="8">
        <v>1.7387573102383056E-3</v>
      </c>
      <c r="AF132" s="1">
        <v>38344.503607584644</v>
      </c>
      <c r="AG132" s="6">
        <f t="shared" si="6"/>
        <v>-0.1310742175957742</v>
      </c>
      <c r="AH132" s="6">
        <f t="shared" si="7"/>
        <v>1</v>
      </c>
      <c r="AI132" s="6" t="str">
        <f>VLOOKUP(AB132,'ABC расчет'!AC:AC,1,0)</f>
        <v>CALIPSO</v>
      </c>
      <c r="AJ132" s="6"/>
      <c r="AK132" s="6"/>
      <c r="AL132" s="6"/>
    </row>
    <row r="133" spans="1:38" x14ac:dyDescent="0.3">
      <c r="A133" s="3" t="s">
        <v>71</v>
      </c>
      <c r="B133" s="1">
        <v>9</v>
      </c>
      <c r="C133" s="1">
        <v>40698.674599999998</v>
      </c>
      <c r="D133" s="8">
        <v>4.9117295256469304E-4</v>
      </c>
      <c r="E133" s="1">
        <v>15474.540325817656</v>
      </c>
      <c r="F133" s="1"/>
      <c r="G133" s="1"/>
      <c r="I133" s="1"/>
      <c r="J133" s="3" t="s">
        <v>45</v>
      </c>
      <c r="K133" s="1">
        <v>44</v>
      </c>
      <c r="L133" s="1">
        <v>250897.95</v>
      </c>
      <c r="M133" s="8">
        <v>1.7324152769429698E-3</v>
      </c>
      <c r="N133" s="1">
        <v>116523.68498918472</v>
      </c>
      <c r="O133" s="6">
        <f t="shared" si="4"/>
        <v>6.0296112827206807</v>
      </c>
      <c r="P133" s="6"/>
      <c r="Q133" s="6"/>
      <c r="R133" s="41"/>
      <c r="S133" s="3" t="s">
        <v>185</v>
      </c>
      <c r="T133" s="1">
        <v>216</v>
      </c>
      <c r="U133" s="1">
        <v>300633.5</v>
      </c>
      <c r="V133" s="8">
        <v>1.8311737906471423E-3</v>
      </c>
      <c r="W133" s="1">
        <v>101140.41691225185</v>
      </c>
      <c r="X133" s="6">
        <f t="shared" si="5"/>
        <v>-0.1915293787260518</v>
      </c>
      <c r="Y133" s="6"/>
      <c r="Z133" s="41"/>
      <c r="AA133" s="41"/>
      <c r="AB133" s="3" t="s">
        <v>168</v>
      </c>
      <c r="AC133" s="1">
        <v>139</v>
      </c>
      <c r="AD133" s="1">
        <v>264607.40000000002</v>
      </c>
      <c r="AE133" s="8">
        <v>1.7196033749845646E-3</v>
      </c>
      <c r="AF133" s="1">
        <v>88181.726439105216</v>
      </c>
      <c r="AG133" s="6">
        <f t="shared" si="6"/>
        <v>2.6434040295030639</v>
      </c>
      <c r="AH133" s="6">
        <f t="shared" si="7"/>
        <v>1</v>
      </c>
      <c r="AI133" s="6" t="str">
        <f>VLOOKUP(AB133,'ABC расчет'!AC:AC,1,0)</f>
        <v>LIYA GTS</v>
      </c>
      <c r="AJ133" s="6"/>
      <c r="AK133" s="6"/>
      <c r="AL133" s="6"/>
    </row>
    <row r="134" spans="1:38" x14ac:dyDescent="0.3">
      <c r="A134" s="3" t="s">
        <v>278</v>
      </c>
      <c r="B134" s="1">
        <v>41</v>
      </c>
      <c r="C134" s="1">
        <v>40022.090499999998</v>
      </c>
      <c r="D134" s="8">
        <v>4.8300758076029216E-4</v>
      </c>
      <c r="E134" s="1">
        <v>9402.3130855299951</v>
      </c>
      <c r="F134" s="1"/>
      <c r="G134" s="1"/>
      <c r="I134" s="1"/>
      <c r="J134" s="3" t="s">
        <v>305</v>
      </c>
      <c r="K134" s="1">
        <v>109</v>
      </c>
      <c r="L134" s="1">
        <v>249773.9</v>
      </c>
      <c r="M134" s="8">
        <v>1.7246538688005446E-3</v>
      </c>
      <c r="N134" s="1">
        <v>123697.99023855729</v>
      </c>
      <c r="O134" s="6">
        <f t="shared" si="4"/>
        <v>1</v>
      </c>
      <c r="P134" s="6"/>
      <c r="Q134" s="6"/>
      <c r="R134" s="41"/>
      <c r="S134" s="3" t="s">
        <v>312</v>
      </c>
      <c r="T134" s="1">
        <v>126</v>
      </c>
      <c r="U134" s="1">
        <v>300335.39999999991</v>
      </c>
      <c r="V134" s="8">
        <v>1.8293580485326006E-3</v>
      </c>
      <c r="W134" s="1">
        <v>107006.26581077493</v>
      </c>
      <c r="X134" s="6">
        <f t="shared" si="5"/>
        <v>1.1091560851898943</v>
      </c>
      <c r="Y134" s="6"/>
      <c r="Z134" s="41"/>
      <c r="AA134" s="41"/>
      <c r="AB134" s="3" t="s">
        <v>128</v>
      </c>
      <c r="AC134" s="1">
        <v>35</v>
      </c>
      <c r="AD134" s="1">
        <v>261092.02</v>
      </c>
      <c r="AE134" s="8">
        <v>1.6967579847484893E-3</v>
      </c>
      <c r="AF134" s="1">
        <v>112822.21638464808</v>
      </c>
      <c r="AG134" s="6">
        <f t="shared" si="6"/>
        <v>-0.31944969965810577</v>
      </c>
      <c r="AH134" s="6">
        <f t="shared" si="7"/>
        <v>36.266937238991446</v>
      </c>
      <c r="AI134" s="6" t="str">
        <f>VLOOKUP(AB134,'ABC расчет'!AC:AC,1,0)</f>
        <v>CREDO</v>
      </c>
      <c r="AJ134" s="6"/>
      <c r="AK134" s="6"/>
      <c r="AL134" s="6"/>
    </row>
    <row r="135" spans="1:38" x14ac:dyDescent="0.3">
      <c r="A135" s="3" t="s">
        <v>27</v>
      </c>
      <c r="B135" s="1">
        <v>6</v>
      </c>
      <c r="C135" s="1">
        <v>39785.443400000004</v>
      </c>
      <c r="D135" s="8">
        <v>4.8015159943005817E-4</v>
      </c>
      <c r="E135" s="1">
        <v>15983.696212380555</v>
      </c>
      <c r="F135" s="1"/>
      <c r="G135" s="1"/>
      <c r="I135" s="1"/>
      <c r="J135" s="3" t="s">
        <v>156</v>
      </c>
      <c r="K135" s="1">
        <v>65</v>
      </c>
      <c r="L135" s="1">
        <v>239793.7</v>
      </c>
      <c r="M135" s="8">
        <v>1.6557419827251654E-3</v>
      </c>
      <c r="N135" s="1">
        <v>130473.66218962248</v>
      </c>
      <c r="O135" s="6">
        <f t="shared" si="4"/>
        <v>7.8457564868874936</v>
      </c>
      <c r="P135" s="6"/>
      <c r="Q135" s="6"/>
      <c r="R135" s="41"/>
      <c r="S135" s="3" t="s">
        <v>219</v>
      </c>
      <c r="T135" s="1">
        <v>255</v>
      </c>
      <c r="U135" s="1">
        <v>299409.59999999998</v>
      </c>
      <c r="V135" s="8">
        <v>1.8237189541024023E-3</v>
      </c>
      <c r="W135" s="1">
        <v>90554.58395546992</v>
      </c>
      <c r="X135" s="6">
        <f t="shared" si="5"/>
        <v>0.66175101008864257</v>
      </c>
      <c r="Y135" s="6"/>
      <c r="Z135" s="41"/>
      <c r="AA135" s="41"/>
      <c r="AB135" s="3" t="s">
        <v>229</v>
      </c>
      <c r="AC135" s="1">
        <v>105</v>
      </c>
      <c r="AD135" s="1">
        <v>256932.53330000001</v>
      </c>
      <c r="AE135" s="8">
        <v>1.6697267400912219E-3</v>
      </c>
      <c r="AF135" s="1">
        <v>92506.590233023482</v>
      </c>
      <c r="AG135" s="6">
        <f t="shared" si="6"/>
        <v>-0.52301607396957617</v>
      </c>
      <c r="AH135" s="6">
        <f t="shared" si="7"/>
        <v>116.18988607979719</v>
      </c>
      <c r="AI135" s="6" t="str">
        <f>VLOOKUP(AB135,'ABC расчет'!AC:AC,1,0)</f>
        <v>NICOLE HOKER</v>
      </c>
      <c r="AJ135" s="6"/>
      <c r="AK135" s="6"/>
      <c r="AL135" s="6"/>
    </row>
    <row r="136" spans="1:38" x14ac:dyDescent="0.3">
      <c r="A136" s="3" t="s">
        <v>152</v>
      </c>
      <c r="B136" s="1">
        <v>23</v>
      </c>
      <c r="C136" s="1">
        <v>38163.313700000006</v>
      </c>
      <c r="D136" s="8">
        <v>4.6057488736209618E-4</v>
      </c>
      <c r="E136" s="1">
        <v>19157.25794540115</v>
      </c>
      <c r="F136" s="1"/>
      <c r="G136" s="1"/>
      <c r="I136" s="1"/>
      <c r="J136" s="3" t="s">
        <v>75</v>
      </c>
      <c r="K136" s="1">
        <v>57</v>
      </c>
      <c r="L136" s="1">
        <v>234889.12000000002</v>
      </c>
      <c r="M136" s="8">
        <v>1.6218765433344134E-3</v>
      </c>
      <c r="N136" s="1">
        <v>110049.54295786991</v>
      </c>
      <c r="O136" s="6">
        <f t="shared" si="4"/>
        <v>10.817380240169994</v>
      </c>
      <c r="P136" s="6"/>
      <c r="Q136" s="6"/>
      <c r="R136" s="41"/>
      <c r="S136" s="3" t="s">
        <v>303</v>
      </c>
      <c r="T136" s="1">
        <v>96</v>
      </c>
      <c r="U136" s="1">
        <v>285221.85000000003</v>
      </c>
      <c r="V136" s="8">
        <v>1.737300654251408E-3</v>
      </c>
      <c r="W136" s="1">
        <v>44128.629146541673</v>
      </c>
      <c r="X136" s="6">
        <f t="shared" si="5"/>
        <v>-0.75847453200201875</v>
      </c>
      <c r="Y136" s="6"/>
      <c r="Z136" s="41"/>
      <c r="AA136" s="41"/>
      <c r="AB136" s="3" t="s">
        <v>212</v>
      </c>
      <c r="AC136" s="1">
        <v>1257</v>
      </c>
      <c r="AD136" s="1">
        <v>256917.94999999998</v>
      </c>
      <c r="AE136" s="8">
        <v>1.6696319676400416E-3</v>
      </c>
      <c r="AF136" s="1">
        <v>109966.14706807802</v>
      </c>
      <c r="AG136" s="6">
        <f t="shared" si="6"/>
        <v>-0.10623099425903904</v>
      </c>
      <c r="AH136" s="6">
        <f t="shared" si="7"/>
        <v>1</v>
      </c>
      <c r="AI136" s="6" t="str">
        <f>VLOOKUP(AB136,'ABC расчет'!AC:AC,1,0)</f>
        <v>СИДЕНЬЕ D38</v>
      </c>
      <c r="AJ136" s="6"/>
      <c r="AK136" s="6"/>
      <c r="AL136" s="6"/>
    </row>
    <row r="137" spans="1:38" x14ac:dyDescent="0.3">
      <c r="A137" s="3" t="s">
        <v>15</v>
      </c>
      <c r="B137" s="1">
        <v>20</v>
      </c>
      <c r="C137" s="1">
        <v>38116.551900000006</v>
      </c>
      <c r="D137" s="8">
        <v>4.6001054143194047E-4</v>
      </c>
      <c r="E137" s="1">
        <v>14105.618493817587</v>
      </c>
      <c r="F137" s="1"/>
      <c r="G137" s="1"/>
      <c r="I137" s="1"/>
      <c r="J137" s="3" t="s">
        <v>216</v>
      </c>
      <c r="K137" s="1">
        <v>268</v>
      </c>
      <c r="L137" s="1">
        <v>225578.40000000002</v>
      </c>
      <c r="M137" s="8">
        <v>1.5575873230863466E-3</v>
      </c>
      <c r="N137" s="1">
        <v>78272.372821664219</v>
      </c>
      <c r="O137" s="6">
        <f t="shared" si="4"/>
        <v>1</v>
      </c>
      <c r="P137" s="6"/>
      <c r="Q137" s="6"/>
      <c r="R137" s="41"/>
      <c r="S137" s="3" t="s">
        <v>212</v>
      </c>
      <c r="T137" s="1">
        <v>1408</v>
      </c>
      <c r="U137" s="1">
        <v>283214.07</v>
      </c>
      <c r="V137" s="8">
        <v>1.7250711651446201E-3</v>
      </c>
      <c r="W137" s="1">
        <v>123036.42928064262</v>
      </c>
      <c r="X137" s="6">
        <f t="shared" si="5"/>
        <v>-0.2642145017798172</v>
      </c>
      <c r="Y137" s="6"/>
      <c r="Z137" s="41"/>
      <c r="AA137" s="41"/>
      <c r="AB137" s="3" t="s">
        <v>167</v>
      </c>
      <c r="AC137" s="1">
        <v>177</v>
      </c>
      <c r="AD137" s="1">
        <v>250068.5</v>
      </c>
      <c r="AE137" s="8">
        <v>1.6251194659609957E-3</v>
      </c>
      <c r="AF137" s="1">
        <v>78771.760160144157</v>
      </c>
      <c r="AG137" s="6">
        <f t="shared" si="6"/>
        <v>-0.40431351283332184</v>
      </c>
      <c r="AH137" s="6">
        <f t="shared" si="7"/>
        <v>1</v>
      </c>
      <c r="AI137" s="6" t="str">
        <f>VLOOKUP(AB137,'ABC расчет'!AC:AC,1,0)</f>
        <v>LIYA</v>
      </c>
      <c r="AJ137" s="6"/>
      <c r="AK137" s="6"/>
      <c r="AL137" s="6"/>
    </row>
    <row r="138" spans="1:38" x14ac:dyDescent="0.3">
      <c r="A138" s="3" t="s">
        <v>45</v>
      </c>
      <c r="B138" s="1">
        <v>6</v>
      </c>
      <c r="C138" s="1">
        <v>37942.671300000002</v>
      </c>
      <c r="D138" s="8">
        <v>4.5791205914633501E-4</v>
      </c>
      <c r="E138" s="1">
        <v>16576.120684739541</v>
      </c>
      <c r="F138" s="1"/>
      <c r="G138" s="1"/>
      <c r="I138" s="1"/>
      <c r="J138" s="3" t="s">
        <v>143</v>
      </c>
      <c r="K138" s="1">
        <v>57</v>
      </c>
      <c r="L138" s="1">
        <v>219310</v>
      </c>
      <c r="M138" s="8">
        <v>1.5143048972156316E-3</v>
      </c>
      <c r="N138" s="1">
        <v>69557.814099327748</v>
      </c>
      <c r="O138" s="6">
        <f t="shared" si="4"/>
        <v>1</v>
      </c>
      <c r="P138" s="6"/>
      <c r="Q138" s="6"/>
      <c r="R138" s="41"/>
      <c r="S138" s="3" t="s">
        <v>88</v>
      </c>
      <c r="T138" s="1">
        <v>210</v>
      </c>
      <c r="U138" s="1">
        <v>274599.3</v>
      </c>
      <c r="V138" s="8">
        <v>1.6725981671704977E-3</v>
      </c>
      <c r="W138" s="1">
        <v>129125.23298461358</v>
      </c>
      <c r="X138" s="6">
        <f t="shared" si="5"/>
        <v>-2.0157311301121084E-3</v>
      </c>
      <c r="Y138" s="6"/>
      <c r="Z138" s="41"/>
      <c r="AA138" s="41"/>
      <c r="AB138" s="3" t="s">
        <v>49</v>
      </c>
      <c r="AC138" s="1">
        <v>29</v>
      </c>
      <c r="AD138" s="1">
        <v>249590.28000000003</v>
      </c>
      <c r="AE138" s="8">
        <v>1.6220116589760623E-3</v>
      </c>
      <c r="AF138" s="1">
        <v>123912.90254696537</v>
      </c>
      <c r="AG138" s="6">
        <f t="shared" si="6"/>
        <v>-0.21724077333329506</v>
      </c>
      <c r="AH138" s="6">
        <f t="shared" si="7"/>
        <v>3.6656921221407401E-2</v>
      </c>
      <c r="AI138" s="6" t="str">
        <f>VLOOKUP(AB138,'ABC расчет'!AC:AC,1,0)</f>
        <v>IRIS</v>
      </c>
      <c r="AJ138" s="6"/>
      <c r="AK138" s="6"/>
      <c r="AL138" s="6"/>
    </row>
    <row r="139" spans="1:38" x14ac:dyDescent="0.3">
      <c r="A139" s="3" t="s">
        <v>224</v>
      </c>
      <c r="B139" s="1">
        <v>42</v>
      </c>
      <c r="C139" s="1">
        <v>37774.6005</v>
      </c>
      <c r="D139" s="8">
        <v>4.5588369257451767E-4</v>
      </c>
      <c r="E139" s="1">
        <v>15493.307016609113</v>
      </c>
      <c r="F139" s="1"/>
      <c r="G139" s="1"/>
      <c r="I139" s="1"/>
      <c r="J139" s="3" t="s">
        <v>239</v>
      </c>
      <c r="K139" s="1">
        <v>119</v>
      </c>
      <c r="L139" s="1">
        <v>217052</v>
      </c>
      <c r="M139" s="8">
        <v>1.4987137228144967E-3</v>
      </c>
      <c r="N139" s="1">
        <v>80185.160892418673</v>
      </c>
      <c r="O139" s="6">
        <f t="shared" si="4"/>
        <v>1</v>
      </c>
      <c r="P139" s="6"/>
      <c r="Q139" s="6"/>
      <c r="R139" s="41"/>
      <c r="S139" s="3" t="s">
        <v>307</v>
      </c>
      <c r="T139" s="1">
        <v>154</v>
      </c>
      <c r="U139" s="1">
        <v>272965.45</v>
      </c>
      <c r="V139" s="8">
        <v>1.6626463045276158E-3</v>
      </c>
      <c r="W139" s="1">
        <v>80104.302250639623</v>
      </c>
      <c r="X139" s="6">
        <f t="shared" si="5"/>
        <v>6.9704777573584904</v>
      </c>
      <c r="Y139" s="6"/>
      <c r="Z139" s="41"/>
      <c r="AA139" s="41"/>
      <c r="AB139" s="3" t="s">
        <v>274</v>
      </c>
      <c r="AC139" s="1">
        <v>56</v>
      </c>
      <c r="AD139" s="1">
        <v>232738.55</v>
      </c>
      <c r="AE139" s="8">
        <v>1.5124973680592977E-3</v>
      </c>
      <c r="AF139" s="1">
        <v>103320.80111305305</v>
      </c>
      <c r="AG139" s="6">
        <f t="shared" si="6"/>
        <v>-1.2225878966951931E-2</v>
      </c>
      <c r="AH139" s="6">
        <f t="shared" si="7"/>
        <v>1</v>
      </c>
      <c r="AI139" s="6" t="str">
        <f>VLOOKUP(AB139,'ABC расчет'!AC:AC,1,0)</f>
        <v>VENSAN GTP</v>
      </c>
      <c r="AJ139" s="6"/>
      <c r="AK139" s="6"/>
      <c r="AL139" s="6"/>
    </row>
    <row r="140" spans="1:38" x14ac:dyDescent="0.3">
      <c r="A140" s="3" t="s">
        <v>321</v>
      </c>
      <c r="B140" s="1">
        <v>18</v>
      </c>
      <c r="C140" s="1">
        <v>37346.008400000006</v>
      </c>
      <c r="D140" s="8">
        <v>4.507112183042401E-4</v>
      </c>
      <c r="E140" s="1">
        <v>10926.746950894594</v>
      </c>
      <c r="F140" s="1"/>
      <c r="G140" s="1"/>
      <c r="I140" s="1"/>
      <c r="J140" s="3" t="s">
        <v>105</v>
      </c>
      <c r="K140" s="1">
        <v>207</v>
      </c>
      <c r="L140" s="1">
        <v>214920.65</v>
      </c>
      <c r="M140" s="8">
        <v>1.4839970489615919E-3</v>
      </c>
      <c r="N140" s="1">
        <v>110787.58218157143</v>
      </c>
      <c r="O140" s="6">
        <f t="shared" si="4"/>
        <v>2.6017244119157521</v>
      </c>
      <c r="P140" s="6"/>
      <c r="Q140" s="6"/>
      <c r="R140" s="41"/>
      <c r="S140" s="3" t="s">
        <v>45</v>
      </c>
      <c r="T140" s="1">
        <v>39</v>
      </c>
      <c r="U140" s="1">
        <v>266365.5</v>
      </c>
      <c r="V140" s="8">
        <v>1.6224456766548683E-3</v>
      </c>
      <c r="W140" s="1">
        <v>128723.02655590122</v>
      </c>
      <c r="X140" s="6">
        <f t="shared" si="5"/>
        <v>0.10469409346133185</v>
      </c>
      <c r="Y140" s="6"/>
      <c r="Z140" s="41"/>
      <c r="AA140" s="41"/>
      <c r="AB140" s="3" t="s">
        <v>57</v>
      </c>
      <c r="AC140" s="1">
        <v>24</v>
      </c>
      <c r="AD140" s="1">
        <v>227324.86</v>
      </c>
      <c r="AE140" s="8">
        <v>1.4773154359019952E-3</v>
      </c>
      <c r="AF140" s="1">
        <v>115161.4723477189</v>
      </c>
      <c r="AG140" s="6">
        <f t="shared" si="6"/>
        <v>2.0577928352812025E-2</v>
      </c>
      <c r="AH140" s="6">
        <f t="shared" si="7"/>
        <v>0.16536748976027726</v>
      </c>
      <c r="AI140" s="6" t="str">
        <f>VLOOKUP(AB140,'ABC расчет'!AC:AC,1,0)</f>
        <v>KING</v>
      </c>
      <c r="AJ140" s="6"/>
      <c r="AK140" s="6"/>
      <c r="AL140" s="6"/>
    </row>
    <row r="141" spans="1:38" x14ac:dyDescent="0.3">
      <c r="A141" s="3" t="s">
        <v>38</v>
      </c>
      <c r="B141" s="1">
        <v>7</v>
      </c>
      <c r="C141" s="1">
        <v>36352.267500000002</v>
      </c>
      <c r="D141" s="8">
        <v>4.3871823188061594E-4</v>
      </c>
      <c r="E141" s="1">
        <v>18826.819311100175</v>
      </c>
      <c r="F141" s="1"/>
      <c r="G141" s="1"/>
      <c r="I141" s="1"/>
      <c r="J141" s="3" t="s">
        <v>128</v>
      </c>
      <c r="K141" s="1">
        <v>32</v>
      </c>
      <c r="L141" s="1">
        <v>207830.25</v>
      </c>
      <c r="M141" s="8">
        <v>1.4350388279811637E-3</v>
      </c>
      <c r="N141" s="1">
        <v>84452.247300141404</v>
      </c>
      <c r="O141" s="6">
        <f t="shared" si="4"/>
        <v>26.895894094971968</v>
      </c>
      <c r="P141" s="6"/>
      <c r="Q141" s="6"/>
      <c r="R141" s="41"/>
      <c r="S141" s="3" t="s">
        <v>147</v>
      </c>
      <c r="T141" s="1">
        <v>57</v>
      </c>
      <c r="U141" s="1">
        <v>263085.34999999998</v>
      </c>
      <c r="V141" s="8">
        <v>1.6024661177920295E-3</v>
      </c>
      <c r="W141" s="1">
        <v>72269.850967115723</v>
      </c>
      <c r="X141" s="6">
        <f t="shared" si="5"/>
        <v>-0.42439098792582752</v>
      </c>
      <c r="Y141" s="6"/>
      <c r="Z141" s="41"/>
      <c r="AA141" s="41"/>
      <c r="AB141" s="3" t="s">
        <v>178</v>
      </c>
      <c r="AC141" s="1">
        <v>182</v>
      </c>
      <c r="AD141" s="1">
        <v>224443.4</v>
      </c>
      <c r="AE141" s="8">
        <v>1.458589699808133E-3</v>
      </c>
      <c r="AF141" s="1">
        <v>83861.911344366032</v>
      </c>
      <c r="AG141" s="6">
        <f t="shared" si="6"/>
        <v>-0.28831882910698836</v>
      </c>
      <c r="AH141" s="6">
        <f t="shared" si="7"/>
        <v>2.3869343613474387</v>
      </c>
      <c r="AI141" s="6" t="str">
        <f>VLOOKUP(AB141,'ABC расчет'!AC:AC,1,0)</f>
        <v>NIK</v>
      </c>
      <c r="AJ141" s="6"/>
      <c r="AK141" s="6"/>
      <c r="AL141" s="6"/>
    </row>
    <row r="142" spans="1:38" x14ac:dyDescent="0.3">
      <c r="A142" s="3" t="s">
        <v>155</v>
      </c>
      <c r="B142" s="1">
        <v>10</v>
      </c>
      <c r="C142" s="1">
        <v>36334.7788</v>
      </c>
      <c r="D142" s="8">
        <v>4.3850716907574714E-4</v>
      </c>
      <c r="E142" s="1">
        <v>12795.105046147743</v>
      </c>
      <c r="F142" s="1"/>
      <c r="G142" s="1"/>
      <c r="I142" s="1"/>
      <c r="J142" s="3" t="s">
        <v>178</v>
      </c>
      <c r="K142" s="1">
        <v>164</v>
      </c>
      <c r="L142" s="1">
        <v>192879.4</v>
      </c>
      <c r="M142" s="8">
        <v>1.3318052983995836E-3</v>
      </c>
      <c r="N142" s="1">
        <v>84307.440475799813</v>
      </c>
      <c r="O142" s="6">
        <f t="shared" si="4"/>
        <v>2.4049279641647892</v>
      </c>
      <c r="P142" s="6"/>
      <c r="Q142" s="6"/>
      <c r="R142" s="41"/>
      <c r="S142" s="3" t="s">
        <v>68</v>
      </c>
      <c r="T142" s="1">
        <v>50</v>
      </c>
      <c r="U142" s="1">
        <v>253718.35</v>
      </c>
      <c r="V142" s="8">
        <v>1.5454112489999897E-3</v>
      </c>
      <c r="W142" s="1">
        <v>101794.58158534428</v>
      </c>
      <c r="X142" s="6">
        <f t="shared" si="5"/>
        <v>39.658896525321246</v>
      </c>
      <c r="Y142" s="6"/>
      <c r="Z142" s="41"/>
      <c r="AA142" s="41"/>
      <c r="AB142" s="3" t="s">
        <v>233</v>
      </c>
      <c r="AC142" s="1">
        <v>81</v>
      </c>
      <c r="AD142" s="1">
        <v>222731.9</v>
      </c>
      <c r="AE142" s="8">
        <v>1.4474671795147245E-3</v>
      </c>
      <c r="AF142" s="1">
        <v>82323.704936798371</v>
      </c>
      <c r="AG142" s="6">
        <f t="shared" si="6"/>
        <v>6.1999458791751172E-2</v>
      </c>
      <c r="AH142" s="6">
        <f t="shared" si="7"/>
        <v>0.12164180569853111</v>
      </c>
      <c r="AI142" s="6" t="str">
        <f>VLOOKUP(AB142,'ABC расчет'!AC:AC,1,0)</f>
        <v>Бюджет Lite</v>
      </c>
      <c r="AJ142" s="6"/>
      <c r="AK142" s="6"/>
      <c r="AL142" s="6"/>
    </row>
    <row r="143" spans="1:38" x14ac:dyDescent="0.3">
      <c r="A143" s="3" t="s">
        <v>315</v>
      </c>
      <c r="B143" s="1">
        <v>12</v>
      </c>
      <c r="C143" s="1">
        <v>34776.170599999998</v>
      </c>
      <c r="D143" s="8">
        <v>4.1969706778843043E-4</v>
      </c>
      <c r="E143" s="1">
        <v>19062.73780186486</v>
      </c>
      <c r="F143" s="1"/>
      <c r="G143" s="1"/>
      <c r="I143" s="1"/>
      <c r="J143" s="3" t="s">
        <v>274</v>
      </c>
      <c r="K143" s="1">
        <v>50</v>
      </c>
      <c r="L143" s="1">
        <v>182402.8</v>
      </c>
      <c r="M143" s="8">
        <v>1.2594658397056377E-3</v>
      </c>
      <c r="N143" s="1">
        <v>78744.561975130695</v>
      </c>
      <c r="O143" s="6">
        <f t="shared" si="4"/>
        <v>1</v>
      </c>
      <c r="P143" s="6"/>
      <c r="Q143" s="6"/>
      <c r="R143" s="41"/>
      <c r="S143" s="3" t="s">
        <v>243</v>
      </c>
      <c r="T143" s="1">
        <v>130</v>
      </c>
      <c r="U143" s="1">
        <v>250269.4</v>
      </c>
      <c r="V143" s="8">
        <v>1.5244035208351228E-3</v>
      </c>
      <c r="W143" s="1">
        <v>68143.174756115201</v>
      </c>
      <c r="X143" s="6">
        <f t="shared" si="5"/>
        <v>0.77527644720257549</v>
      </c>
      <c r="Y143" s="6"/>
      <c r="Z143" s="41"/>
      <c r="AA143" s="41"/>
      <c r="AB143" s="3" t="s">
        <v>33</v>
      </c>
      <c r="AC143" s="1">
        <v>62</v>
      </c>
      <c r="AD143" s="1">
        <v>221225.5</v>
      </c>
      <c r="AE143" s="8">
        <v>1.4376775420213031E-3</v>
      </c>
      <c r="AF143" s="1">
        <v>92843.228848873521</v>
      </c>
      <c r="AG143" s="6">
        <f t="shared" si="6"/>
        <v>-0.54363681350899518</v>
      </c>
      <c r="AH143" s="6">
        <f t="shared" si="7"/>
        <v>43.782878494486383</v>
      </c>
      <c r="AI143" s="6" t="str">
        <f>VLOOKUP(AB143,'ABC расчет'!AC:AC,1,0)</f>
        <v>EVOLUTION</v>
      </c>
      <c r="AJ143" s="6"/>
      <c r="AK143" s="6"/>
      <c r="AL143" s="6"/>
    </row>
    <row r="144" spans="1:38" x14ac:dyDescent="0.3">
      <c r="A144" s="3" t="s">
        <v>195</v>
      </c>
      <c r="B144" s="1">
        <v>8</v>
      </c>
      <c r="C144" s="1">
        <v>33063.095400000006</v>
      </c>
      <c r="D144" s="8">
        <v>3.990227777232363E-4</v>
      </c>
      <c r="E144" s="1">
        <v>14060.844718712404</v>
      </c>
      <c r="F144" s="1"/>
      <c r="G144" s="1"/>
      <c r="I144" s="1"/>
      <c r="J144" s="3" t="s">
        <v>314</v>
      </c>
      <c r="K144" s="1">
        <v>87</v>
      </c>
      <c r="L144" s="1">
        <v>181720.2</v>
      </c>
      <c r="M144" s="8">
        <v>1.2547525821120973E-3</v>
      </c>
      <c r="N144" s="1">
        <v>77982.970876488616</v>
      </c>
      <c r="O144" s="6">
        <f t="shared" si="4"/>
        <v>23.436058953596365</v>
      </c>
      <c r="P144" s="6"/>
      <c r="Q144" s="6"/>
      <c r="R144" s="41"/>
      <c r="S144" s="3" t="s">
        <v>239</v>
      </c>
      <c r="T144" s="1">
        <v>128</v>
      </c>
      <c r="U144" s="1">
        <v>242114</v>
      </c>
      <c r="V144" s="8">
        <v>1.4747285686683028E-3</v>
      </c>
      <c r="W144" s="1">
        <v>68426.479390865366</v>
      </c>
      <c r="X144" s="6">
        <f t="shared" si="5"/>
        <v>-0.14664410934249383</v>
      </c>
      <c r="Y144" s="6"/>
      <c r="Z144" s="41"/>
      <c r="AA144" s="41"/>
      <c r="AB144" s="3" t="s">
        <v>243</v>
      </c>
      <c r="AC144" s="1">
        <v>93</v>
      </c>
      <c r="AD144" s="1">
        <v>221187.745</v>
      </c>
      <c r="AE144" s="8">
        <v>1.4374321837077315E-3</v>
      </c>
      <c r="AF144" s="1">
        <v>90164.335645948828</v>
      </c>
      <c r="AG144" s="6">
        <f t="shared" si="6"/>
        <v>0.32316018396042567</v>
      </c>
      <c r="AH144" s="6">
        <f t="shared" si="7"/>
        <v>15.239601359098256</v>
      </c>
      <c r="AI144" s="6" t="str">
        <f>VLOOKUP(AB144,'ABC расчет'!AC:AC,1,0)</f>
        <v>OXFORD</v>
      </c>
      <c r="AJ144" s="6"/>
      <c r="AK144" s="6"/>
      <c r="AL144" s="6"/>
    </row>
    <row r="145" spans="1:38" x14ac:dyDescent="0.3">
      <c r="A145" s="3" t="s">
        <v>203</v>
      </c>
      <c r="B145" s="1">
        <v>8</v>
      </c>
      <c r="C145" s="1">
        <v>32340.920599999998</v>
      </c>
      <c r="D145" s="8">
        <v>3.903071934377515E-4</v>
      </c>
      <c r="E145" s="1">
        <v>15388.982558291846</v>
      </c>
      <c r="F145" s="1"/>
      <c r="G145" s="1"/>
      <c r="I145" s="1"/>
      <c r="J145" s="3" t="s">
        <v>209</v>
      </c>
      <c r="K145" s="1">
        <v>346</v>
      </c>
      <c r="L145" s="1">
        <v>180237.5</v>
      </c>
      <c r="M145" s="8">
        <v>1.2445147458478975E-3</v>
      </c>
      <c r="N145" s="1">
        <v>64007.967018150157</v>
      </c>
      <c r="O145" s="6">
        <f t="shared" si="4"/>
        <v>-2.7704356715113954E-2</v>
      </c>
      <c r="P145" s="6"/>
      <c r="Q145" s="6"/>
      <c r="R145" s="41"/>
      <c r="S145" s="3" t="s">
        <v>274</v>
      </c>
      <c r="T145" s="1">
        <v>63</v>
      </c>
      <c r="U145" s="1">
        <v>240927.45000000004</v>
      </c>
      <c r="V145" s="8">
        <v>1.4675012328547881E-3</v>
      </c>
      <c r="W145" s="1">
        <v>104599.62344933335</v>
      </c>
      <c r="X145" s="6">
        <f t="shared" si="5"/>
        <v>0.3283409142890179</v>
      </c>
      <c r="Y145" s="6"/>
      <c r="Z145" s="41"/>
      <c r="AA145" s="41"/>
      <c r="AB145" s="3" t="s">
        <v>29</v>
      </c>
      <c r="AC145" s="1">
        <v>40</v>
      </c>
      <c r="AD145" s="1">
        <v>220064.19999999995</v>
      </c>
      <c r="AE145" s="8">
        <v>1.4301306049387815E-3</v>
      </c>
      <c r="AF145" s="1">
        <v>91149.272469134885</v>
      </c>
      <c r="AG145" s="6">
        <f t="shared" si="6"/>
        <v>0.23250676172748386</v>
      </c>
      <c r="AH145" s="6">
        <f t="shared" si="7"/>
        <v>55.674251655010615</v>
      </c>
      <c r="AI145" s="6" t="str">
        <f>VLOOKUP(AB145,'ABC расчет'!AC:AC,1,0)</f>
        <v>DAKAR</v>
      </c>
      <c r="AJ145" s="6"/>
      <c r="AK145" s="6"/>
      <c r="AL145" s="6"/>
    </row>
    <row r="146" spans="1:38" x14ac:dyDescent="0.3">
      <c r="A146" s="3" t="s">
        <v>291</v>
      </c>
      <c r="B146" s="1">
        <v>12</v>
      </c>
      <c r="C146" s="1">
        <v>31711.8282</v>
      </c>
      <c r="D146" s="8">
        <v>3.8271497637955748E-4</v>
      </c>
      <c r="E146" s="1">
        <v>13503.375113953452</v>
      </c>
      <c r="F146" s="1"/>
      <c r="G146" s="1"/>
      <c r="I146" s="1"/>
      <c r="J146" s="3" t="s">
        <v>40</v>
      </c>
      <c r="K146" s="1">
        <v>118</v>
      </c>
      <c r="L146" s="1">
        <v>173011</v>
      </c>
      <c r="M146" s="8">
        <v>1.1946167733900581E-3</v>
      </c>
      <c r="N146" s="1">
        <v>70313.478615688975</v>
      </c>
      <c r="O146" s="6">
        <f t="shared" si="4"/>
        <v>-0.84861757112657021</v>
      </c>
      <c r="P146" s="6"/>
      <c r="Q146" s="6"/>
      <c r="R146" s="41"/>
      <c r="S146" s="3" t="s">
        <v>135</v>
      </c>
      <c r="T146" s="1">
        <v>41</v>
      </c>
      <c r="U146" s="1">
        <v>240488.60000000003</v>
      </c>
      <c r="V146" s="8">
        <v>1.4648281754010262E-3</v>
      </c>
      <c r="W146" s="1">
        <v>112292.58124839768</v>
      </c>
      <c r="X146" s="6">
        <f t="shared" si="5"/>
        <v>3.5624365067827908</v>
      </c>
      <c r="Y146" s="6"/>
      <c r="Z146" s="41"/>
      <c r="AA146" s="41"/>
      <c r="AB146" s="3" t="s">
        <v>139</v>
      </c>
      <c r="AC146" s="1">
        <v>96</v>
      </c>
      <c r="AD146" s="1">
        <v>215280</v>
      </c>
      <c r="AE146" s="8">
        <v>1.3990395376950041E-3</v>
      </c>
      <c r="AF146" s="1">
        <v>78029.094372324456</v>
      </c>
      <c r="AG146" s="6">
        <f t="shared" si="6"/>
        <v>2.1988837431567765E-2</v>
      </c>
      <c r="AH146" s="6">
        <f t="shared" si="7"/>
        <v>2.9412964325919999E-2</v>
      </c>
      <c r="AI146" s="6" t="str">
        <f>VLOOKUP(AB146,'ABC расчет'!AC:AC,1,0)</f>
        <v>ANGLE</v>
      </c>
      <c r="AJ146" s="6"/>
      <c r="AK146" s="6"/>
      <c r="AL146" s="6"/>
    </row>
    <row r="147" spans="1:38" x14ac:dyDescent="0.3">
      <c r="A147" s="3" t="s">
        <v>102</v>
      </c>
      <c r="B147" s="1">
        <v>24</v>
      </c>
      <c r="C147" s="1">
        <v>31075.237399999998</v>
      </c>
      <c r="D147" s="8">
        <v>3.7503226469706155E-4</v>
      </c>
      <c r="E147" s="1">
        <v>15694.978392632675</v>
      </c>
      <c r="F147" s="1"/>
      <c r="G147" s="1"/>
      <c r="I147" s="1"/>
      <c r="J147" s="3" t="s">
        <v>43</v>
      </c>
      <c r="K147" s="1">
        <v>80</v>
      </c>
      <c r="L147" s="1">
        <v>172847.15</v>
      </c>
      <c r="M147" s="8">
        <v>1.1934854120412423E-3</v>
      </c>
      <c r="N147" s="1">
        <v>65390.19836283155</v>
      </c>
      <c r="O147" s="6">
        <f t="shared" si="4"/>
        <v>-0.89010347945979085</v>
      </c>
      <c r="P147" s="6"/>
      <c r="Q147" s="6"/>
      <c r="R147" s="41"/>
      <c r="S147" s="3" t="s">
        <v>39</v>
      </c>
      <c r="T147" s="1">
        <v>204</v>
      </c>
      <c r="U147" s="1">
        <v>237773</v>
      </c>
      <c r="V147" s="8">
        <v>1.4482873190231394E-3</v>
      </c>
      <c r="W147" s="1">
        <v>110242.53276782684</v>
      </c>
      <c r="X147" s="6">
        <f t="shared" si="5"/>
        <v>-0.35744235088119591</v>
      </c>
      <c r="Y147" s="6"/>
      <c r="Z147" s="41"/>
      <c r="AA147" s="41"/>
      <c r="AB147" s="3" t="s">
        <v>69</v>
      </c>
      <c r="AC147" s="1">
        <v>315</v>
      </c>
      <c r="AD147" s="1">
        <v>213043.90000000002</v>
      </c>
      <c r="AE147" s="8">
        <v>1.3845078008395612E-3</v>
      </c>
      <c r="AF147" s="1">
        <v>103159.99844179153</v>
      </c>
      <c r="AG147" s="6">
        <f t="shared" si="6"/>
        <v>0.74853059324163973</v>
      </c>
      <c r="AH147" s="6">
        <f t="shared" si="7"/>
        <v>1.0489768367424439</v>
      </c>
      <c r="AI147" s="6" t="str">
        <f>VLOOKUP(AB147,'ABC расчет'!AC:AC,1,0)</f>
        <v>NERON</v>
      </c>
      <c r="AJ147" s="6"/>
      <c r="AK147" s="6"/>
      <c r="AL147" s="6"/>
    </row>
    <row r="148" spans="1:38" x14ac:dyDescent="0.3">
      <c r="A148" s="3" t="s">
        <v>208</v>
      </c>
      <c r="B148" s="1">
        <v>80</v>
      </c>
      <c r="C148" s="1">
        <v>29918.327399999995</v>
      </c>
      <c r="D148" s="8">
        <v>3.6107006798828662E-4</v>
      </c>
      <c r="E148" s="1">
        <v>16304.500655147813</v>
      </c>
      <c r="F148" s="1"/>
      <c r="G148" s="1"/>
      <c r="I148" s="1"/>
      <c r="J148" s="3" t="s">
        <v>15</v>
      </c>
      <c r="K148" s="1">
        <v>65</v>
      </c>
      <c r="L148" s="1">
        <v>171344.2</v>
      </c>
      <c r="M148" s="8">
        <v>1.1831077523573692E-3</v>
      </c>
      <c r="N148" s="1">
        <v>78583.811669099945</v>
      </c>
      <c r="O148" s="6">
        <f t="shared" si="4"/>
        <v>4.5711000339008736</v>
      </c>
      <c r="P148" s="6"/>
      <c r="Q148" s="6"/>
      <c r="R148" s="41"/>
      <c r="S148" s="3" t="s">
        <v>314</v>
      </c>
      <c r="T148" s="1">
        <v>109</v>
      </c>
      <c r="U148" s="1">
        <v>236915.3</v>
      </c>
      <c r="V148" s="8">
        <v>1.443063025122965E-3</v>
      </c>
      <c r="W148" s="1">
        <v>68288.938197122814</v>
      </c>
      <c r="X148" s="6">
        <f t="shared" si="5"/>
        <v>-0.12430960978287753</v>
      </c>
      <c r="Y148" s="6"/>
      <c r="Z148" s="41"/>
      <c r="AA148" s="41"/>
      <c r="AB148" s="3" t="s">
        <v>204</v>
      </c>
      <c r="AC148" s="1">
        <v>24</v>
      </c>
      <c r="AD148" s="1">
        <v>204420</v>
      </c>
      <c r="AE148" s="8">
        <v>1.3284636858770565E-3</v>
      </c>
      <c r="AF148" s="1">
        <v>95671.701002976624</v>
      </c>
      <c r="AG148" s="6">
        <f t="shared" si="6"/>
        <v>1</v>
      </c>
      <c r="AH148" s="6">
        <f t="shared" si="7"/>
        <v>1</v>
      </c>
      <c r="AI148" s="6" t="str">
        <f>VLOOKUP(AB148,'ABC расчет'!AC:AC,1,0)</f>
        <v>ZENITH</v>
      </c>
      <c r="AJ148" s="6"/>
      <c r="AK148" s="6"/>
      <c r="AL148" s="6"/>
    </row>
    <row r="149" spans="1:38" x14ac:dyDescent="0.3">
      <c r="A149" s="3" t="s">
        <v>20</v>
      </c>
      <c r="B149" s="1">
        <v>5</v>
      </c>
      <c r="C149" s="1">
        <v>28281.0916</v>
      </c>
      <c r="D149" s="8">
        <v>3.4131104758199028E-4</v>
      </c>
      <c r="E149" s="1">
        <v>9280.4685006486761</v>
      </c>
      <c r="F149" s="1"/>
      <c r="G149" s="1"/>
      <c r="I149" s="1"/>
      <c r="J149" s="3" t="s">
        <v>195</v>
      </c>
      <c r="K149" s="1">
        <v>32</v>
      </c>
      <c r="L149" s="1">
        <v>165132</v>
      </c>
      <c r="M149" s="8">
        <v>1.1402133796316249E-3</v>
      </c>
      <c r="N149" s="1">
        <v>59678.526637392599</v>
      </c>
      <c r="O149" s="6">
        <f t="shared" si="4"/>
        <v>3.244305931205643</v>
      </c>
      <c r="P149" s="6"/>
      <c r="Q149" s="6"/>
      <c r="R149" s="41"/>
      <c r="S149" s="3" t="s">
        <v>223</v>
      </c>
      <c r="T149" s="1">
        <v>320</v>
      </c>
      <c r="U149" s="1">
        <v>235868</v>
      </c>
      <c r="V149" s="8">
        <v>1.4366838680731195E-3</v>
      </c>
      <c r="W149" s="1">
        <v>48950.373385564861</v>
      </c>
      <c r="X149" s="6">
        <f t="shared" si="5"/>
        <v>3.3649861440346678</v>
      </c>
      <c r="Y149" s="6"/>
      <c r="Z149" s="41"/>
      <c r="AA149" s="41"/>
      <c r="AB149" s="3" t="s">
        <v>302</v>
      </c>
      <c r="AC149" s="1">
        <v>4232.982</v>
      </c>
      <c r="AD149" s="1">
        <v>199808.36960000001</v>
      </c>
      <c r="AE149" s="8">
        <v>1.2984940962131946E-3</v>
      </c>
      <c r="AF149" s="1">
        <v>-134598.97549621458</v>
      </c>
      <c r="AG149" s="6">
        <f t="shared" si="6"/>
        <v>2.3834271696293778</v>
      </c>
      <c r="AH149" s="6">
        <f t="shared" si="7"/>
        <v>-10.025698486994617</v>
      </c>
      <c r="AI149" s="6" t="e">
        <f>VLOOKUP(AB149,'ABC расчет'!AC:AC,1,0)</f>
        <v>#N/A</v>
      </c>
      <c r="AJ149" s="6"/>
      <c r="AK149" s="6"/>
      <c r="AL149" s="6"/>
    </row>
    <row r="150" spans="1:38" x14ac:dyDescent="0.3">
      <c r="A150" s="3" t="s">
        <v>183</v>
      </c>
      <c r="B150" s="1">
        <v>12</v>
      </c>
      <c r="C150" s="1">
        <v>25418.2317</v>
      </c>
      <c r="D150" s="8">
        <v>3.0676055266582261E-4</v>
      </c>
      <c r="E150" s="1">
        <v>10002.392124325768</v>
      </c>
      <c r="F150" s="1"/>
      <c r="G150" s="1"/>
      <c r="I150" s="1"/>
      <c r="J150" s="3" t="s">
        <v>87</v>
      </c>
      <c r="K150" s="1">
        <v>27</v>
      </c>
      <c r="L150" s="1">
        <v>156507</v>
      </c>
      <c r="M150" s="8">
        <v>1.080658960141019E-3</v>
      </c>
      <c r="N150" s="1">
        <v>55651.127474554814</v>
      </c>
      <c r="O150" s="6">
        <f t="shared" si="4"/>
        <v>9.7018798430163962</v>
      </c>
      <c r="P150" s="6"/>
      <c r="Q150" s="6"/>
      <c r="R150" s="41"/>
      <c r="S150" s="3" t="s">
        <v>16</v>
      </c>
      <c r="T150" s="1">
        <v>51</v>
      </c>
      <c r="U150" s="1">
        <v>234305.72999999998</v>
      </c>
      <c r="V150" s="8">
        <v>1.4271680028155407E-3</v>
      </c>
      <c r="W150" s="1">
        <v>101307.13262702167</v>
      </c>
      <c r="X150" s="6">
        <f t="shared" si="5"/>
        <v>1.4088587689971455</v>
      </c>
      <c r="Y150" s="6"/>
      <c r="Z150" s="41"/>
      <c r="AA150" s="41"/>
      <c r="AB150" s="3" t="s">
        <v>48</v>
      </c>
      <c r="AC150" s="1">
        <v>54</v>
      </c>
      <c r="AD150" s="1">
        <v>198649.8</v>
      </c>
      <c r="AE150" s="8">
        <v>1.2909649031735647E-3</v>
      </c>
      <c r="AF150" s="1">
        <v>101854.52707933837</v>
      </c>
      <c r="AG150" s="6">
        <f t="shared" si="6"/>
        <v>-0.25369385078732731</v>
      </c>
      <c r="AH150" s="6">
        <f t="shared" si="7"/>
        <v>1.430503498231821</v>
      </c>
      <c r="AI150" s="6" t="str">
        <f>VLOOKUP(AB150,'ABC расчет'!AC:AC,1,0)</f>
        <v>INTER</v>
      </c>
      <c r="AJ150" s="6"/>
      <c r="AK150" s="6"/>
      <c r="AL150" s="6"/>
    </row>
    <row r="151" spans="1:38" x14ac:dyDescent="0.3">
      <c r="A151" s="3" t="s">
        <v>213</v>
      </c>
      <c r="B151" s="1">
        <v>140</v>
      </c>
      <c r="C151" s="1">
        <v>23935.690000000002</v>
      </c>
      <c r="D151" s="8">
        <v>2.8886846179932357E-4</v>
      </c>
      <c r="E151" s="1">
        <v>7598.3007077701577</v>
      </c>
      <c r="F151" s="1"/>
      <c r="G151" s="1"/>
      <c r="I151" s="1"/>
      <c r="J151" s="3" t="s">
        <v>170</v>
      </c>
      <c r="K151" s="1">
        <v>45</v>
      </c>
      <c r="L151" s="1">
        <v>148405.34000000003</v>
      </c>
      <c r="M151" s="8">
        <v>1.0247181302035972E-3</v>
      </c>
      <c r="N151" s="1">
        <v>80775.100074067537</v>
      </c>
      <c r="O151" s="6">
        <f t="shared" si="4"/>
        <v>-0.41880901475484955</v>
      </c>
      <c r="P151" s="6"/>
      <c r="Q151" s="6"/>
      <c r="R151" s="41"/>
      <c r="S151" s="3" t="s">
        <v>57</v>
      </c>
      <c r="T151" s="1">
        <v>25</v>
      </c>
      <c r="U151" s="1">
        <v>220858.37499999997</v>
      </c>
      <c r="V151" s="8">
        <v>1.3452594862013649E-3</v>
      </c>
      <c r="W151" s="1">
        <v>112839.46982234537</v>
      </c>
      <c r="X151" s="6">
        <f t="shared" si="5"/>
        <v>-0.296471061266672</v>
      </c>
      <c r="Y151" s="6"/>
      <c r="Z151" s="41"/>
      <c r="AA151" s="41"/>
      <c r="AB151" s="3" t="s">
        <v>72</v>
      </c>
      <c r="AC151" s="1">
        <v>56</v>
      </c>
      <c r="AD151" s="1">
        <v>197183.65000000002</v>
      </c>
      <c r="AE151" s="8">
        <v>1.2814368382432809E-3</v>
      </c>
      <c r="AF151" s="1">
        <v>74572.014597975445</v>
      </c>
      <c r="AG151" s="6">
        <f t="shared" si="6"/>
        <v>-6.7661738040482255E-2</v>
      </c>
      <c r="AH151" s="6">
        <f t="shared" si="7"/>
        <v>1</v>
      </c>
      <c r="AI151" s="6" t="e">
        <f>VLOOKUP(AB151,'ABC расчет'!AC:AC,1,0)</f>
        <v>#N/A</v>
      </c>
      <c r="AJ151" s="6"/>
      <c r="AK151" s="6"/>
      <c r="AL151" s="6"/>
    </row>
    <row r="152" spans="1:38" x14ac:dyDescent="0.3">
      <c r="A152" s="3" t="s">
        <v>302</v>
      </c>
      <c r="B152" s="1">
        <v>87</v>
      </c>
      <c r="C152" s="1">
        <v>23858.146100000002</v>
      </c>
      <c r="D152" s="8">
        <v>2.8793262134037202E-4</v>
      </c>
      <c r="E152" s="1">
        <v>14912.85972937851</v>
      </c>
      <c r="F152" s="1"/>
      <c r="G152" s="1"/>
      <c r="I152" s="1"/>
      <c r="J152" s="3" t="s">
        <v>462</v>
      </c>
      <c r="K152" s="1">
        <v>26</v>
      </c>
      <c r="L152" s="1">
        <v>147911.75</v>
      </c>
      <c r="M152" s="8">
        <v>1.0213099602422789E-3</v>
      </c>
      <c r="N152" s="1">
        <v>70974.162096838772</v>
      </c>
      <c r="O152" s="6">
        <f t="shared" si="4"/>
        <v>1</v>
      </c>
      <c r="P152" s="6"/>
      <c r="Q152" s="6"/>
      <c r="R152" s="41"/>
      <c r="S152" s="3" t="s">
        <v>143</v>
      </c>
      <c r="T152" s="1">
        <v>35</v>
      </c>
      <c r="U152" s="1">
        <v>217000</v>
      </c>
      <c r="V152" s="8">
        <v>1.321757929739799E-3</v>
      </c>
      <c r="W152" s="1">
        <v>123435.68140936432</v>
      </c>
      <c r="X152" s="6">
        <f t="shared" si="5"/>
        <v>0.7745767748408483</v>
      </c>
      <c r="Y152" s="6"/>
      <c r="Z152" s="41"/>
      <c r="AA152" s="41"/>
      <c r="AB152" s="3" t="s">
        <v>160</v>
      </c>
      <c r="AC152" s="1">
        <v>27</v>
      </c>
      <c r="AD152" s="1">
        <v>186592</v>
      </c>
      <c r="AE152" s="8">
        <v>1.2126049118245364E-3</v>
      </c>
      <c r="AF152" s="1">
        <v>34863.091795996719</v>
      </c>
      <c r="AG152" s="6">
        <f t="shared" si="6"/>
        <v>0.46301162997239498</v>
      </c>
      <c r="AH152" s="6">
        <f t="shared" si="7"/>
        <v>1</v>
      </c>
      <c r="AI152" s="6" t="e">
        <f>VLOOKUP(AB152,'ABC расчет'!AC:AC,1,0)</f>
        <v>#N/A</v>
      </c>
      <c r="AJ152" s="6"/>
      <c r="AK152" s="6"/>
      <c r="AL152" s="6"/>
    </row>
    <row r="153" spans="1:38" x14ac:dyDescent="0.3">
      <c r="A153" s="3" t="s">
        <v>234</v>
      </c>
      <c r="B153" s="1">
        <v>60</v>
      </c>
      <c r="C153" s="1">
        <v>20121.12</v>
      </c>
      <c r="D153" s="8">
        <v>2.4283223020015734E-4</v>
      </c>
      <c r="E153" s="1">
        <v>6928.6909944218851</v>
      </c>
      <c r="F153" s="1"/>
      <c r="G153" s="1"/>
      <c r="I153" s="1"/>
      <c r="J153" s="3" t="s">
        <v>286</v>
      </c>
      <c r="K153" s="1">
        <v>209</v>
      </c>
      <c r="L153" s="1">
        <v>146596.65</v>
      </c>
      <c r="M153" s="8">
        <v>1.0122293785527604E-3</v>
      </c>
      <c r="N153" s="1">
        <v>55585.082913753591</v>
      </c>
      <c r="O153" s="6">
        <f t="shared" si="4"/>
        <v>20.423797370376651</v>
      </c>
      <c r="P153" s="6"/>
      <c r="Q153" s="6"/>
      <c r="R153" s="41"/>
      <c r="S153" s="3" t="s">
        <v>190</v>
      </c>
      <c r="T153" s="1">
        <v>47</v>
      </c>
      <c r="U153" s="1">
        <v>215664.25</v>
      </c>
      <c r="V153" s="8">
        <v>1.3136218092114583E-3</v>
      </c>
      <c r="W153" s="1">
        <v>81081.708583990549</v>
      </c>
      <c r="X153" s="6">
        <f t="shared" si="5"/>
        <v>260.14066460585798</v>
      </c>
      <c r="Y153" s="6"/>
      <c r="Z153" s="41"/>
      <c r="AA153" s="41"/>
      <c r="AB153" s="3" t="s">
        <v>152</v>
      </c>
      <c r="AC153" s="1">
        <v>98</v>
      </c>
      <c r="AD153" s="1">
        <v>185177.3</v>
      </c>
      <c r="AE153" s="8">
        <v>1.2034112048662628E-3</v>
      </c>
      <c r="AF153" s="1">
        <v>90899.216495751287</v>
      </c>
      <c r="AG153" s="6">
        <f t="shared" si="6"/>
        <v>-0.38032376740809992</v>
      </c>
      <c r="AH153" s="6">
        <f t="shared" si="7"/>
        <v>3.7448970387524776</v>
      </c>
      <c r="AI153" s="6" t="str">
        <f>VLOOKUP(AB153,'ABC расчет'!AC:AC,1,0)</f>
        <v>FALCON</v>
      </c>
      <c r="AJ153" s="6"/>
      <c r="AK153" s="6"/>
      <c r="AL153" s="6"/>
    </row>
    <row r="154" spans="1:38" x14ac:dyDescent="0.3">
      <c r="A154" s="3" t="s">
        <v>127</v>
      </c>
      <c r="B154" s="1">
        <v>4</v>
      </c>
      <c r="C154" s="1">
        <v>18981.525900000001</v>
      </c>
      <c r="D154" s="8">
        <v>2.2907901085521327E-4</v>
      </c>
      <c r="E154" s="1">
        <v>8843.3755491196644</v>
      </c>
      <c r="F154" s="1"/>
      <c r="G154" s="1"/>
      <c r="I154" s="1"/>
      <c r="J154" s="3" t="s">
        <v>193</v>
      </c>
      <c r="K154" s="1">
        <v>36</v>
      </c>
      <c r="L154" s="1">
        <v>143192</v>
      </c>
      <c r="M154" s="8">
        <v>9.8872074616798461E-4</v>
      </c>
      <c r="N154" s="1">
        <v>73314.550129699986</v>
      </c>
      <c r="O154" s="6">
        <f t="shared" si="4"/>
        <v>1</v>
      </c>
      <c r="P154" s="6"/>
      <c r="Q154" s="6"/>
      <c r="R154" s="41"/>
      <c r="S154" s="3" t="s">
        <v>139</v>
      </c>
      <c r="T154" s="1">
        <v>101</v>
      </c>
      <c r="U154" s="1">
        <v>213512.5</v>
      </c>
      <c r="V154" s="8">
        <v>1.3005153915832666E-3</v>
      </c>
      <c r="W154" s="1">
        <v>76350.241327904208</v>
      </c>
      <c r="X154" s="6">
        <f t="shared" si="5"/>
        <v>-0.34923632234523694</v>
      </c>
      <c r="Y154" s="6"/>
      <c r="Z154" s="41"/>
      <c r="AA154" s="41"/>
      <c r="AB154" s="3" t="s">
        <v>88</v>
      </c>
      <c r="AC154" s="1">
        <v>119</v>
      </c>
      <c r="AD154" s="1">
        <v>181420.09999999998</v>
      </c>
      <c r="AE154" s="8">
        <v>1.1789942996682525E-3</v>
      </c>
      <c r="AF154" s="1">
        <v>91275.620956050901</v>
      </c>
      <c r="AG154" s="6">
        <f t="shared" si="6"/>
        <v>-0.29312328159030543</v>
      </c>
      <c r="AH154" s="6">
        <f t="shared" si="7"/>
        <v>-0.30987482789688137</v>
      </c>
      <c r="AI154" s="6" t="str">
        <f>VLOOKUP(AB154,'ABC расчет'!AC:AC,1,0)</f>
        <v>STOOL</v>
      </c>
      <c r="AJ154" s="6"/>
      <c r="AK154" s="6"/>
      <c r="AL154" s="6"/>
    </row>
    <row r="155" spans="1:38" x14ac:dyDescent="0.3">
      <c r="A155" s="3" t="s">
        <v>173</v>
      </c>
      <c r="B155" s="1">
        <v>13</v>
      </c>
      <c r="C155" s="1">
        <v>18603.996200000001</v>
      </c>
      <c r="D155" s="8">
        <v>2.2452278441166559E-4</v>
      </c>
      <c r="E155" s="1">
        <v>8408.7872342809496</v>
      </c>
      <c r="F155" s="1"/>
      <c r="G155" s="1"/>
      <c r="I155" s="1"/>
      <c r="J155" s="3" t="s">
        <v>312</v>
      </c>
      <c r="K155" s="1">
        <v>69</v>
      </c>
      <c r="L155" s="1">
        <v>140383.50000000003</v>
      </c>
      <c r="M155" s="8">
        <v>9.693284462097974E-4</v>
      </c>
      <c r="N155" s="1">
        <v>50734.161668808316</v>
      </c>
      <c r="O155" s="6">
        <f t="shared" ref="O155:O218" si="8">IFERROR((N155/VLOOKUP(J155,A:E,5,0))-1,1)</f>
        <v>7.165051354817912</v>
      </c>
      <c r="P155" s="6"/>
      <c r="Q155" s="6"/>
      <c r="R155" s="41"/>
      <c r="S155" s="3" t="s">
        <v>277</v>
      </c>
      <c r="T155" s="1">
        <v>53</v>
      </c>
      <c r="U155" s="1">
        <v>212571.09999999998</v>
      </c>
      <c r="V155" s="8">
        <v>1.2947812767673355E-3</v>
      </c>
      <c r="W155" s="1">
        <v>64972.754293871374</v>
      </c>
      <c r="X155" s="6">
        <f t="shared" ref="X155:X218" si="9">IFERROR((W155/VLOOKUP(S155,J:N,5,0))-1,1)</f>
        <v>2.484285371873626</v>
      </c>
      <c r="Y155" s="6"/>
      <c r="Z155" s="41"/>
      <c r="AA155" s="41"/>
      <c r="AB155" s="3" t="s">
        <v>314</v>
      </c>
      <c r="AC155" s="1">
        <v>82</v>
      </c>
      <c r="AD155" s="1">
        <v>180117</v>
      </c>
      <c r="AE155" s="8">
        <v>1.170525847319821E-3</v>
      </c>
      <c r="AF155" s="1">
        <v>62520.392993185778</v>
      </c>
      <c r="AG155" s="6">
        <f t="shared" ref="AG155:AG218" si="10">IFERROR((AF155/VLOOKUP(AB155,S:W,5,0))-1,1)</f>
        <v>-8.4472615276072305E-2</v>
      </c>
      <c r="AH155" s="6">
        <f t="shared" si="7"/>
        <v>18.590841331284913</v>
      </c>
      <c r="AI155" s="6" t="str">
        <f>VLOOKUP(AB155,'ABC расчет'!AC:AC,1,0)</f>
        <v>FORM HOKER</v>
      </c>
      <c r="AJ155" s="6"/>
      <c r="AK155" s="6"/>
      <c r="AL155" s="6"/>
    </row>
    <row r="156" spans="1:38" x14ac:dyDescent="0.3">
      <c r="A156" s="3" t="s">
        <v>145</v>
      </c>
      <c r="B156" s="1">
        <v>4</v>
      </c>
      <c r="C156" s="1">
        <v>18115.555899999999</v>
      </c>
      <c r="D156" s="8">
        <v>2.1862803067188201E-4</v>
      </c>
      <c r="E156" s="1">
        <v>7719.0883766353954</v>
      </c>
      <c r="F156" s="1"/>
      <c r="G156" s="1"/>
      <c r="I156" s="1"/>
      <c r="J156" s="3" t="s">
        <v>161</v>
      </c>
      <c r="K156" s="1">
        <v>100</v>
      </c>
      <c r="L156" s="1">
        <v>133850.03999999998</v>
      </c>
      <c r="M156" s="8">
        <v>9.2421581808630772E-4</v>
      </c>
      <c r="N156" s="1">
        <v>58687.256872511025</v>
      </c>
      <c r="O156" s="6">
        <f t="shared" si="8"/>
        <v>0.9588375951669581</v>
      </c>
      <c r="P156" s="6"/>
      <c r="Q156" s="6"/>
      <c r="R156" s="41"/>
      <c r="S156" s="3" t="s">
        <v>489</v>
      </c>
      <c r="T156" s="1">
        <v>98</v>
      </c>
      <c r="U156" s="1">
        <v>211053</v>
      </c>
      <c r="V156" s="8">
        <v>1.2855344532044877E-3</v>
      </c>
      <c r="W156" s="1">
        <v>82763.821622713556</v>
      </c>
      <c r="X156" s="6">
        <f t="shared" si="9"/>
        <v>1</v>
      </c>
      <c r="Y156" s="6"/>
      <c r="Z156" s="41"/>
      <c r="AA156" s="41"/>
      <c r="AB156" s="3" t="s">
        <v>321</v>
      </c>
      <c r="AC156" s="1">
        <v>55</v>
      </c>
      <c r="AD156" s="1">
        <v>172508.29</v>
      </c>
      <c r="AE156" s="8">
        <v>1.1210791447889062E-3</v>
      </c>
      <c r="AF156" s="1">
        <v>62331.906409465388</v>
      </c>
      <c r="AG156" s="6">
        <f t="shared" si="10"/>
        <v>-0.69560466185242431</v>
      </c>
      <c r="AH156" s="6">
        <f t="shared" ref="AH156:AH219" si="11">IFERROR((AF156/VLOOKUP(AB156,A:E,5,0))-1,1)</f>
        <v>4.7045254813338708</v>
      </c>
      <c r="AI156" s="6" t="str">
        <f>VLOOKUP(AB156,'ABC расчет'!AC:AC,1,0)</f>
        <v>DASTER</v>
      </c>
      <c r="AJ156" s="6"/>
      <c r="AK156" s="6"/>
      <c r="AL156" s="6"/>
    </row>
    <row r="157" spans="1:38" x14ac:dyDescent="0.3">
      <c r="A157" s="3" t="s">
        <v>99</v>
      </c>
      <c r="B157" s="1">
        <v>34</v>
      </c>
      <c r="C157" s="1">
        <v>17950.150199999996</v>
      </c>
      <c r="D157" s="8">
        <v>2.1663182792477752E-4</v>
      </c>
      <c r="E157" s="1">
        <v>8658.2005472228975</v>
      </c>
      <c r="F157" s="1"/>
      <c r="G157" s="1"/>
      <c r="I157" s="1"/>
      <c r="J157" s="3" t="s">
        <v>69</v>
      </c>
      <c r="K157" s="1">
        <v>220</v>
      </c>
      <c r="L157" s="1">
        <v>133011.97999999998</v>
      </c>
      <c r="M157" s="8">
        <v>9.1842913092128782E-4</v>
      </c>
      <c r="N157" s="1">
        <v>61988.780126438956</v>
      </c>
      <c r="O157" s="6">
        <f t="shared" si="8"/>
        <v>0.23122893113130205</v>
      </c>
      <c r="P157" s="6"/>
      <c r="Q157" s="6"/>
      <c r="R157" s="41"/>
      <c r="S157" s="3" t="s">
        <v>225</v>
      </c>
      <c r="T157" s="1">
        <v>271</v>
      </c>
      <c r="U157" s="1">
        <v>204109.5</v>
      </c>
      <c r="V157" s="8">
        <v>1.2432412449779977E-3</v>
      </c>
      <c r="W157" s="1">
        <v>55993.385572910112</v>
      </c>
      <c r="X157" s="6">
        <f t="shared" si="9"/>
        <v>34.472116443809</v>
      </c>
      <c r="Y157" s="6"/>
      <c r="Z157" s="41"/>
      <c r="AA157" s="41"/>
      <c r="AB157" s="3" t="s">
        <v>193</v>
      </c>
      <c r="AC157" s="1">
        <v>41</v>
      </c>
      <c r="AD157" s="1">
        <v>166546.30000000002</v>
      </c>
      <c r="AE157" s="8">
        <v>1.0823339769454362E-3</v>
      </c>
      <c r="AF157" s="1">
        <v>81712.444908908743</v>
      </c>
      <c r="AG157" s="6">
        <f t="shared" si="10"/>
        <v>0.28242551553954143</v>
      </c>
      <c r="AH157" s="6">
        <f t="shared" si="11"/>
        <v>1</v>
      </c>
      <c r="AI157" s="6" t="str">
        <f>VLOOKUP(AB157,'ABC расчет'!AC:AC,1,0)</f>
        <v>TOKYO</v>
      </c>
      <c r="AJ157" s="6"/>
      <c r="AK157" s="6"/>
      <c r="AL157" s="6"/>
    </row>
    <row r="158" spans="1:38" x14ac:dyDescent="0.3">
      <c r="A158" s="3" t="s">
        <v>30</v>
      </c>
      <c r="B158" s="1">
        <v>7</v>
      </c>
      <c r="C158" s="1">
        <v>17927.455999999998</v>
      </c>
      <c r="D158" s="8">
        <v>2.1635794241549138E-4</v>
      </c>
      <c r="E158" s="1">
        <v>7176.0850346846719</v>
      </c>
      <c r="F158" s="1"/>
      <c r="G158" s="1"/>
      <c r="I158" s="1"/>
      <c r="J158" s="3" t="s">
        <v>59</v>
      </c>
      <c r="K158" s="1">
        <v>114</v>
      </c>
      <c r="L158" s="1">
        <v>129405.2</v>
      </c>
      <c r="M158" s="8">
        <v>8.9352481913806145E-4</v>
      </c>
      <c r="N158" s="1">
        <v>54099.040422300233</v>
      </c>
      <c r="O158" s="6">
        <f t="shared" si="8"/>
        <v>1</v>
      </c>
      <c r="P158" s="6"/>
      <c r="Q158" s="6"/>
      <c r="R158" s="41"/>
      <c r="S158" s="3" t="s">
        <v>220</v>
      </c>
      <c r="T158" s="1">
        <v>145</v>
      </c>
      <c r="U158" s="1">
        <v>200391.25</v>
      </c>
      <c r="V158" s="8">
        <v>1.220593196949173E-3</v>
      </c>
      <c r="W158" s="1">
        <v>49569.548559247283</v>
      </c>
      <c r="X158" s="6">
        <f t="shared" si="9"/>
        <v>1</v>
      </c>
      <c r="Y158" s="6"/>
      <c r="Z158" s="41"/>
      <c r="AA158" s="41"/>
      <c r="AB158" s="3" t="s">
        <v>147</v>
      </c>
      <c r="AC158" s="1">
        <v>34</v>
      </c>
      <c r="AD158" s="1">
        <v>164743.95000000001</v>
      </c>
      <c r="AE158" s="8">
        <v>1.0706210500095173E-3</v>
      </c>
      <c r="AF158" s="1">
        <v>50888.398370391267</v>
      </c>
      <c r="AG158" s="6">
        <f t="shared" si="10"/>
        <v>-0.29585577264374685</v>
      </c>
      <c r="AH158" s="6">
        <f t="shared" si="11"/>
        <v>10.310489842604456</v>
      </c>
      <c r="AI158" s="6" t="str">
        <f>VLOOKUP(AB158,'ABC расчет'!AC:AC,1,0)</f>
        <v>CASEY</v>
      </c>
      <c r="AJ158" s="6"/>
      <c r="AK158" s="6"/>
      <c r="AL158" s="6"/>
    </row>
    <row r="159" spans="1:38" x14ac:dyDescent="0.3">
      <c r="A159" s="3" t="s">
        <v>75</v>
      </c>
      <c r="B159" s="1">
        <v>5</v>
      </c>
      <c r="C159" s="1">
        <v>17744.953699999998</v>
      </c>
      <c r="D159" s="8">
        <v>2.1415540893198457E-4</v>
      </c>
      <c r="E159" s="1">
        <v>9312.5160332732794</v>
      </c>
      <c r="F159" s="1"/>
      <c r="G159" s="1"/>
      <c r="I159" s="1"/>
      <c r="J159" s="3" t="s">
        <v>20</v>
      </c>
      <c r="K159" s="1">
        <v>22</v>
      </c>
      <c r="L159" s="1">
        <v>128441.90000000001</v>
      </c>
      <c r="M159" s="8">
        <v>8.8687336727773681E-4</v>
      </c>
      <c r="N159" s="1">
        <v>41239.470659653904</v>
      </c>
      <c r="O159" s="6">
        <f t="shared" si="8"/>
        <v>3.4436841369346158</v>
      </c>
      <c r="P159" s="6"/>
      <c r="Q159" s="6"/>
      <c r="R159" s="41"/>
      <c r="S159" s="3" t="s">
        <v>171</v>
      </c>
      <c r="T159" s="1">
        <v>115</v>
      </c>
      <c r="U159" s="1">
        <v>185795.5</v>
      </c>
      <c r="V159" s="8">
        <v>1.1316897485482526E-3</v>
      </c>
      <c r="W159" s="1">
        <v>60608.12887627141</v>
      </c>
      <c r="X159" s="6">
        <f t="shared" si="9"/>
        <v>0.36053531017694773</v>
      </c>
      <c r="Y159" s="6"/>
      <c r="Z159" s="41"/>
      <c r="AA159" s="41"/>
      <c r="AB159" s="3" t="s">
        <v>59</v>
      </c>
      <c r="AC159" s="1">
        <v>129</v>
      </c>
      <c r="AD159" s="1">
        <v>161030.39999999999</v>
      </c>
      <c r="AE159" s="8">
        <v>1.0464878129451951E-3</v>
      </c>
      <c r="AF159" s="1">
        <v>66789.538939139835</v>
      </c>
      <c r="AG159" s="6">
        <f t="shared" si="10"/>
        <v>0.6014426515167286</v>
      </c>
      <c r="AH159" s="6">
        <f t="shared" si="11"/>
        <v>1</v>
      </c>
      <c r="AI159" s="6" t="str">
        <f>VLOOKUP(AB159,'ABC расчет'!AC:AC,1,0)</f>
        <v>LOGICA</v>
      </c>
      <c r="AJ159" s="6"/>
      <c r="AK159" s="6"/>
      <c r="AL159" s="6"/>
    </row>
    <row r="160" spans="1:38" x14ac:dyDescent="0.3">
      <c r="A160" s="3" t="s">
        <v>130</v>
      </c>
      <c r="B160" s="1">
        <v>6</v>
      </c>
      <c r="C160" s="1">
        <v>17628.606500000002</v>
      </c>
      <c r="D160" s="8">
        <v>2.1275126989531352E-4</v>
      </c>
      <c r="E160" s="1">
        <v>7667.3987846678947</v>
      </c>
      <c r="F160" s="1"/>
      <c r="G160" s="1"/>
      <c r="I160" s="1"/>
      <c r="J160" s="3" t="s">
        <v>197</v>
      </c>
      <c r="K160" s="1">
        <v>25</v>
      </c>
      <c r="L160" s="1">
        <v>128147.20000000001</v>
      </c>
      <c r="M160" s="8">
        <v>8.8483850496772149E-4</v>
      </c>
      <c r="N160" s="1">
        <v>69850.223472103855</v>
      </c>
      <c r="O160" s="6">
        <f t="shared" si="8"/>
        <v>17.200187359395969</v>
      </c>
      <c r="P160" s="6"/>
      <c r="Q160" s="6"/>
      <c r="R160" s="41"/>
      <c r="S160" s="3" t="s">
        <v>29</v>
      </c>
      <c r="T160" s="1">
        <v>35</v>
      </c>
      <c r="U160" s="1">
        <v>185784.30000000002</v>
      </c>
      <c r="V160" s="8">
        <v>1.1316215287841373E-3</v>
      </c>
      <c r="W160" s="1">
        <v>73954.379237140965</v>
      </c>
      <c r="X160" s="6">
        <f t="shared" si="9"/>
        <v>-0.49553310822750885</v>
      </c>
      <c r="Y160" s="6"/>
      <c r="Z160" s="41"/>
      <c r="AA160" s="41"/>
      <c r="AB160" s="3" t="s">
        <v>216</v>
      </c>
      <c r="AC160" s="1">
        <v>130</v>
      </c>
      <c r="AD160" s="1">
        <v>158522.09999999998</v>
      </c>
      <c r="AE160" s="8">
        <v>1.0301871307062485E-3</v>
      </c>
      <c r="AF160" s="1">
        <v>73929.719558440862</v>
      </c>
      <c r="AG160" s="6">
        <f t="shared" si="10"/>
        <v>1.6733551812152205</v>
      </c>
      <c r="AH160" s="6">
        <f t="shared" si="11"/>
        <v>1</v>
      </c>
      <c r="AI160" s="6" t="str">
        <f>VLOOKUP(AB160,'ABC расчет'!AC:AC,1,0)</f>
        <v>СТОЛ УЧЕН. E-161</v>
      </c>
      <c r="AJ160" s="6"/>
      <c r="AK160" s="6"/>
      <c r="AL160" s="6"/>
    </row>
    <row r="161" spans="1:38" x14ac:dyDescent="0.3">
      <c r="A161" s="3" t="s">
        <v>223</v>
      </c>
      <c r="B161" s="1">
        <v>22</v>
      </c>
      <c r="C161" s="1">
        <v>17580.5468</v>
      </c>
      <c r="D161" s="8">
        <v>2.1217126022717622E-4</v>
      </c>
      <c r="E161" s="1">
        <v>7788.9241962804463</v>
      </c>
      <c r="F161" s="1"/>
      <c r="G161" s="1"/>
      <c r="I161" s="1"/>
      <c r="J161" s="3" t="s">
        <v>322</v>
      </c>
      <c r="K161" s="1">
        <v>22</v>
      </c>
      <c r="L161" s="1">
        <v>126236.80000000002</v>
      </c>
      <c r="M161" s="8">
        <v>8.7164745998281098E-4</v>
      </c>
      <c r="N161" s="1">
        <v>52646.131863540766</v>
      </c>
      <c r="O161" s="6">
        <f t="shared" si="8"/>
        <v>1.6279173101813886</v>
      </c>
      <c r="P161" s="6"/>
      <c r="Q161" s="6"/>
      <c r="R161" s="41"/>
      <c r="S161" s="3" t="s">
        <v>85</v>
      </c>
      <c r="T161" s="1">
        <v>21</v>
      </c>
      <c r="U161" s="1">
        <v>179308.2</v>
      </c>
      <c r="V161" s="8">
        <v>1.0921752774994003E-3</v>
      </c>
      <c r="W161" s="1">
        <v>98384.914407400458</v>
      </c>
      <c r="X161" s="6">
        <f t="shared" si="9"/>
        <v>-0.59676098818855405</v>
      </c>
      <c r="Y161" s="6"/>
      <c r="Z161" s="41"/>
      <c r="AA161" s="41"/>
      <c r="AB161" s="3" t="s">
        <v>114</v>
      </c>
      <c r="AC161" s="1">
        <v>135</v>
      </c>
      <c r="AD161" s="1">
        <v>158441.72</v>
      </c>
      <c r="AE161" s="8">
        <v>1.0296647654236403E-3</v>
      </c>
      <c r="AF161" s="1">
        <v>64758.09171857786</v>
      </c>
      <c r="AG161" s="6">
        <f t="shared" si="10"/>
        <v>3.0497016055868187E-2</v>
      </c>
      <c r="AH161" s="6">
        <f t="shared" si="11"/>
        <v>1</v>
      </c>
      <c r="AI161" s="6" t="str">
        <f>VLOOKUP(AB161,'ABC расчет'!AC:AC,1,0)</f>
        <v>Столешницы барного стола</v>
      </c>
      <c r="AJ161" s="6"/>
      <c r="AK161" s="6"/>
      <c r="AL161" s="6"/>
    </row>
    <row r="162" spans="1:38" x14ac:dyDescent="0.3">
      <c r="A162" s="3" t="s">
        <v>288</v>
      </c>
      <c r="B162" s="1">
        <v>22</v>
      </c>
      <c r="C162" s="1">
        <v>17568.432299999997</v>
      </c>
      <c r="D162" s="8">
        <v>2.1202505608681221E-4</v>
      </c>
      <c r="E162" s="1">
        <v>8083.7817666924575</v>
      </c>
      <c r="F162" s="1"/>
      <c r="G162" s="1"/>
      <c r="I162" s="1"/>
      <c r="J162" s="3" t="s">
        <v>65</v>
      </c>
      <c r="K162" s="1">
        <v>25</v>
      </c>
      <c r="L162" s="1">
        <v>125611.5</v>
      </c>
      <c r="M162" s="8">
        <v>8.6732985088049477E-4</v>
      </c>
      <c r="N162" s="1">
        <v>55657.238549395224</v>
      </c>
      <c r="O162" s="6">
        <f t="shared" si="8"/>
        <v>16.956573477664037</v>
      </c>
      <c r="P162" s="6"/>
      <c r="Q162" s="6"/>
      <c r="R162" s="41"/>
      <c r="S162" s="3" t="s">
        <v>72</v>
      </c>
      <c r="T162" s="1">
        <v>47</v>
      </c>
      <c r="U162" s="1">
        <v>176253.45</v>
      </c>
      <c r="V162" s="8">
        <v>1.073568641389388E-3</v>
      </c>
      <c r="W162" s="1">
        <v>79983.861695481261</v>
      </c>
      <c r="X162" s="6">
        <f t="shared" si="9"/>
        <v>-0.4206782212603013</v>
      </c>
      <c r="Y162" s="6"/>
      <c r="Z162" s="41"/>
      <c r="AA162" s="41"/>
      <c r="AB162" s="3" t="s">
        <v>151</v>
      </c>
      <c r="AC162" s="1">
        <v>75</v>
      </c>
      <c r="AD162" s="1">
        <v>157697</v>
      </c>
      <c r="AE162" s="8">
        <v>1.0248250556293621E-3</v>
      </c>
      <c r="AF162" s="1">
        <v>74227.253354594737</v>
      </c>
      <c r="AG162" s="6">
        <f t="shared" si="10"/>
        <v>0.74303054249966749</v>
      </c>
      <c r="AH162" s="6">
        <f t="shared" si="11"/>
        <v>1</v>
      </c>
      <c r="AI162" s="6" t="str">
        <f>VLOOKUP(AB162,'ABC расчет'!AC:AC,1,0)</f>
        <v>ERA GTP</v>
      </c>
      <c r="AJ162" s="6"/>
      <c r="AK162" s="6"/>
      <c r="AL162" s="6"/>
    </row>
    <row r="163" spans="1:38" x14ac:dyDescent="0.3">
      <c r="A163" s="3" t="s">
        <v>111</v>
      </c>
      <c r="B163" s="1">
        <v>10</v>
      </c>
      <c r="C163" s="1">
        <v>17545.04</v>
      </c>
      <c r="D163" s="8">
        <v>2.1174274554055484E-4</v>
      </c>
      <c r="E163" s="1">
        <v>8607.1136449826881</v>
      </c>
      <c r="F163" s="1"/>
      <c r="G163" s="1"/>
      <c r="I163" s="1"/>
      <c r="J163" s="3" t="s">
        <v>463</v>
      </c>
      <c r="K163" s="1">
        <v>977.40000000000009</v>
      </c>
      <c r="L163" s="1">
        <v>125107.20000000001</v>
      </c>
      <c r="M163" s="8">
        <v>8.63847729866105E-4</v>
      </c>
      <c r="N163" s="1">
        <v>38591.584181720362</v>
      </c>
      <c r="O163" s="6">
        <f t="shared" si="8"/>
        <v>1</v>
      </c>
      <c r="P163" s="6"/>
      <c r="Q163" s="6"/>
      <c r="R163" s="41"/>
      <c r="S163" s="3" t="s">
        <v>46</v>
      </c>
      <c r="T163" s="1">
        <v>12</v>
      </c>
      <c r="U163" s="1">
        <v>174436.95</v>
      </c>
      <c r="V163" s="8">
        <v>1.0625042483968887E-3</v>
      </c>
      <c r="W163" s="1">
        <v>102130.31786604787</v>
      </c>
      <c r="X163" s="6">
        <f t="shared" si="9"/>
        <v>1.4182223540575798</v>
      </c>
      <c r="Y163" s="6"/>
      <c r="Z163" s="41"/>
      <c r="AA163" s="41"/>
      <c r="AB163" s="3" t="s">
        <v>336</v>
      </c>
      <c r="AC163" s="1">
        <v>24</v>
      </c>
      <c r="AD163" s="1">
        <v>157124.4</v>
      </c>
      <c r="AE163" s="8">
        <v>1.0211039016007287E-3</v>
      </c>
      <c r="AF163" s="1">
        <v>69505.885551140964</v>
      </c>
      <c r="AG163" s="6">
        <f t="shared" si="10"/>
        <v>1.5458447627151495</v>
      </c>
      <c r="AH163" s="6">
        <f t="shared" si="11"/>
        <v>-0.70041881013205431</v>
      </c>
      <c r="AI163" s="6" t="str">
        <f>VLOOKUP(AB163,'ABC расчет'!AC:AC,1,0)</f>
        <v>KONSUL</v>
      </c>
      <c r="AJ163" s="6"/>
      <c r="AK163" s="6"/>
      <c r="AL163" s="6"/>
    </row>
    <row r="164" spans="1:38" x14ac:dyDescent="0.3">
      <c r="A164" s="3" t="s">
        <v>150</v>
      </c>
      <c r="B164" s="1">
        <v>4</v>
      </c>
      <c r="C164" s="1">
        <v>16612.667000000001</v>
      </c>
      <c r="D164" s="8">
        <v>2.0049037912315805E-4</v>
      </c>
      <c r="E164" s="1">
        <v>7817.7297569275888</v>
      </c>
      <c r="F164" s="1"/>
      <c r="G164" s="1"/>
      <c r="I164" s="1"/>
      <c r="J164" s="3" t="s">
        <v>101</v>
      </c>
      <c r="K164" s="1">
        <v>45</v>
      </c>
      <c r="L164" s="1">
        <v>123032.3</v>
      </c>
      <c r="M164" s="8">
        <v>8.4952083537322858E-4</v>
      </c>
      <c r="N164" s="1">
        <v>33334.217982819609</v>
      </c>
      <c r="O164" s="6">
        <f t="shared" si="8"/>
        <v>5.09498736144256</v>
      </c>
      <c r="P164" s="6"/>
      <c r="Q164" s="6"/>
      <c r="R164" s="41"/>
      <c r="S164" s="3" t="s">
        <v>217</v>
      </c>
      <c r="T164" s="1">
        <v>142</v>
      </c>
      <c r="U164" s="1">
        <v>169697.5</v>
      </c>
      <c r="V164" s="8">
        <v>1.033636019732809E-3</v>
      </c>
      <c r="W164" s="1">
        <v>49373.125449764062</v>
      </c>
      <c r="X164" s="6">
        <f t="shared" si="9"/>
        <v>8.5056267055650743</v>
      </c>
      <c r="Y164" s="6"/>
      <c r="Z164" s="41"/>
      <c r="AA164" s="41"/>
      <c r="AB164" s="3" t="s">
        <v>30</v>
      </c>
      <c r="AC164" s="1">
        <v>56</v>
      </c>
      <c r="AD164" s="1">
        <v>146430</v>
      </c>
      <c r="AE164" s="8">
        <v>9.5160423404254673E-4</v>
      </c>
      <c r="AF164" s="1">
        <v>62949.997802906728</v>
      </c>
      <c r="AG164" s="6">
        <f t="shared" si="10"/>
        <v>1.5132924431488273</v>
      </c>
      <c r="AH164" s="6">
        <f t="shared" si="11"/>
        <v>7.7721922885035664</v>
      </c>
      <c r="AI164" s="6" t="str">
        <f>VLOOKUP(AB164,'ABC расчет'!AC:AC,1,0)</f>
        <v>DESILVA</v>
      </c>
      <c r="AJ164" s="6"/>
      <c r="AK164" s="6"/>
      <c r="AL164" s="6"/>
    </row>
    <row r="165" spans="1:38" x14ac:dyDescent="0.3">
      <c r="A165" s="3" t="s">
        <v>70</v>
      </c>
      <c r="B165" s="1">
        <v>8</v>
      </c>
      <c r="C165" s="1">
        <v>16160.650900000001</v>
      </c>
      <c r="D165" s="8">
        <v>1.9503521173439551E-4</v>
      </c>
      <c r="E165" s="1">
        <v>6821.5916257085009</v>
      </c>
      <c r="F165" s="1"/>
      <c r="G165" s="1"/>
      <c r="I165" s="1"/>
      <c r="J165" s="3" t="s">
        <v>321</v>
      </c>
      <c r="K165" s="1">
        <v>49</v>
      </c>
      <c r="L165" s="1">
        <v>122342.5</v>
      </c>
      <c r="M165" s="8">
        <v>8.4475786278602623E-4</v>
      </c>
      <c r="N165" s="1">
        <v>54977.655765790383</v>
      </c>
      <c r="O165" s="6">
        <f t="shared" si="8"/>
        <v>4.0314751511005982</v>
      </c>
      <c r="P165" s="6"/>
      <c r="Q165" s="6"/>
      <c r="R165" s="41"/>
      <c r="S165" s="3" t="s">
        <v>129</v>
      </c>
      <c r="T165" s="1">
        <v>50</v>
      </c>
      <c r="U165" s="1">
        <v>162802.29999999999</v>
      </c>
      <c r="V165" s="8">
        <v>9.916370092390677E-4</v>
      </c>
      <c r="W165" s="1">
        <v>72842.491347078423</v>
      </c>
      <c r="X165" s="6">
        <f t="shared" si="9"/>
        <v>0.14763811932192605</v>
      </c>
      <c r="Y165" s="6"/>
      <c r="Z165" s="41"/>
      <c r="AA165" s="41"/>
      <c r="AB165" s="3" t="s">
        <v>239</v>
      </c>
      <c r="AC165" s="1">
        <v>74</v>
      </c>
      <c r="AD165" s="1">
        <v>143128.85</v>
      </c>
      <c r="AE165" s="8">
        <v>9.3015105971208472E-4</v>
      </c>
      <c r="AF165" s="1">
        <v>41269.955668914132</v>
      </c>
      <c r="AG165" s="6">
        <f t="shared" si="10"/>
        <v>-0.3968715614729772</v>
      </c>
      <c r="AH165" s="6">
        <f t="shared" si="11"/>
        <v>1</v>
      </c>
      <c r="AI165" s="6" t="str">
        <f>VLOOKUP(AB165,'ABC расчет'!AC:AC,1,0)</f>
        <v>FINE</v>
      </c>
      <c r="AJ165" s="6"/>
      <c r="AK165" s="6"/>
      <c r="AL165" s="6"/>
    </row>
    <row r="166" spans="1:38" x14ac:dyDescent="0.3">
      <c r="A166" s="3" t="s">
        <v>312</v>
      </c>
      <c r="B166" s="1">
        <v>9</v>
      </c>
      <c r="C166" s="1">
        <v>15611.5337</v>
      </c>
      <c r="D166" s="8">
        <v>1.8840817733883176E-4</v>
      </c>
      <c r="E166" s="1">
        <v>6213.575330285199</v>
      </c>
      <c r="F166" s="1"/>
      <c r="G166" s="1"/>
      <c r="I166" s="1"/>
      <c r="J166" s="3" t="s">
        <v>109</v>
      </c>
      <c r="K166" s="1">
        <v>123</v>
      </c>
      <c r="L166" s="1">
        <v>120817.84999999999</v>
      </c>
      <c r="M166" s="8">
        <v>8.342303676351447E-4</v>
      </c>
      <c r="N166" s="1">
        <v>52027.086154910634</v>
      </c>
      <c r="O166" s="6">
        <f t="shared" si="8"/>
        <v>1</v>
      </c>
      <c r="P166" s="6"/>
      <c r="Q166" s="6"/>
      <c r="R166" s="41"/>
      <c r="S166" s="3" t="s">
        <v>75</v>
      </c>
      <c r="T166" s="1">
        <v>37</v>
      </c>
      <c r="U166" s="1">
        <v>160756.79999999999</v>
      </c>
      <c r="V166" s="8">
        <v>9.7917776571241895E-4</v>
      </c>
      <c r="W166" s="1">
        <v>86336.234984593961</v>
      </c>
      <c r="X166" s="6">
        <f t="shared" si="9"/>
        <v>-0.21547847756490979</v>
      </c>
      <c r="Y166" s="6"/>
      <c r="Z166" s="41"/>
      <c r="AA166" s="41"/>
      <c r="AB166" s="3" t="s">
        <v>286</v>
      </c>
      <c r="AC166" s="1">
        <v>189</v>
      </c>
      <c r="AD166" s="1">
        <v>142766.70000000001</v>
      </c>
      <c r="AE166" s="8">
        <v>9.277975565135701E-4</v>
      </c>
      <c r="AF166" s="1">
        <v>54344.567371770871</v>
      </c>
      <c r="AG166" s="6">
        <f t="shared" si="10"/>
        <v>-0.62231923692983737</v>
      </c>
      <c r="AH166" s="6">
        <f t="shared" si="11"/>
        <v>19.945673524677307</v>
      </c>
      <c r="AI166" s="6" t="str">
        <f>VLOOKUP(AB166,'ABC расчет'!AC:AC,1,0)</f>
        <v>TACO</v>
      </c>
      <c r="AJ166" s="6"/>
      <c r="AK166" s="6"/>
      <c r="AL166" s="6"/>
    </row>
    <row r="167" spans="1:38" x14ac:dyDescent="0.3">
      <c r="A167" s="3" t="s">
        <v>154</v>
      </c>
      <c r="B167" s="1">
        <v>6</v>
      </c>
      <c r="C167" s="1">
        <v>15234.5373</v>
      </c>
      <c r="D167" s="8">
        <v>1.838583870394135E-4</v>
      </c>
      <c r="E167" s="1">
        <v>6444.6798879551989</v>
      </c>
      <c r="F167" s="1"/>
      <c r="G167" s="1"/>
      <c r="I167" s="1"/>
      <c r="J167" s="3" t="s">
        <v>219</v>
      </c>
      <c r="K167" s="1">
        <v>69</v>
      </c>
      <c r="L167" s="1">
        <v>120461.6</v>
      </c>
      <c r="M167" s="8">
        <v>8.3177051117792411E-4</v>
      </c>
      <c r="N167" s="1">
        <v>54493.473092963235</v>
      </c>
      <c r="O167" s="6">
        <f t="shared" si="8"/>
        <v>0.1623128256710209</v>
      </c>
      <c r="P167" s="6"/>
      <c r="Q167" s="6"/>
      <c r="R167" s="41"/>
      <c r="S167" s="3" t="s">
        <v>112</v>
      </c>
      <c r="T167" s="1">
        <v>152</v>
      </c>
      <c r="U167" s="1">
        <v>156674.30000000002</v>
      </c>
      <c r="V167" s="8">
        <v>9.5431105258724533E-4</v>
      </c>
      <c r="W167" s="1">
        <v>80260.012506946325</v>
      </c>
      <c r="X167" s="6">
        <f t="shared" si="9"/>
        <v>0.96404488218105566</v>
      </c>
      <c r="Y167" s="6"/>
      <c r="Z167" s="41"/>
      <c r="AA167" s="41"/>
      <c r="AB167" s="3" t="s">
        <v>16</v>
      </c>
      <c r="AC167" s="1">
        <v>30</v>
      </c>
      <c r="AD167" s="1">
        <v>139623.82</v>
      </c>
      <c r="AE167" s="8">
        <v>9.0737293099224492E-4</v>
      </c>
      <c r="AF167" s="1">
        <v>58750.97063011404</v>
      </c>
      <c r="AG167" s="6">
        <f t="shared" si="10"/>
        <v>-0.42007073829228703</v>
      </c>
      <c r="AH167" s="6">
        <f t="shared" si="11"/>
        <v>1</v>
      </c>
      <c r="AI167" s="6" t="e">
        <f>VLOOKUP(AB167,'ABC расчет'!AC:AC,1,0)</f>
        <v>#N/A</v>
      </c>
      <c r="AJ167" s="6"/>
      <c r="AK167" s="6"/>
      <c r="AL167" s="6"/>
    </row>
    <row r="168" spans="1:38" x14ac:dyDescent="0.3">
      <c r="A168" s="3" t="s">
        <v>7</v>
      </c>
      <c r="B168" s="1">
        <v>10</v>
      </c>
      <c r="C168" s="1">
        <v>15069.336800000001</v>
      </c>
      <c r="D168" s="8">
        <v>1.8186466075354168E-4</v>
      </c>
      <c r="E168" s="1">
        <v>6250.3160107184958</v>
      </c>
      <c r="F168" s="1"/>
      <c r="G168" s="1"/>
      <c r="I168" s="1"/>
      <c r="J168" s="3" t="s">
        <v>171</v>
      </c>
      <c r="K168" s="1">
        <v>73</v>
      </c>
      <c r="L168" s="1">
        <v>119849.80000000002</v>
      </c>
      <c r="M168" s="8">
        <v>8.2754611768872386E-4</v>
      </c>
      <c r="N168" s="1">
        <v>44547.266375900872</v>
      </c>
      <c r="O168" s="6">
        <f t="shared" si="8"/>
        <v>-0.44871847979939816</v>
      </c>
      <c r="P168" s="6"/>
      <c r="Q168" s="6"/>
      <c r="R168" s="41"/>
      <c r="S168" s="3" t="s">
        <v>222</v>
      </c>
      <c r="T168" s="1">
        <v>178</v>
      </c>
      <c r="U168" s="1">
        <v>154706.20000000001</v>
      </c>
      <c r="V168" s="8">
        <v>9.4232325635903828E-4</v>
      </c>
      <c r="W168" s="1">
        <v>62871.289929750623</v>
      </c>
      <c r="X168" s="6">
        <f t="shared" si="9"/>
        <v>2.0222734860093503</v>
      </c>
      <c r="Y168" s="6"/>
      <c r="Z168" s="41"/>
      <c r="AA168" s="41"/>
      <c r="AB168" s="3" t="s">
        <v>41</v>
      </c>
      <c r="AC168" s="1">
        <v>22</v>
      </c>
      <c r="AD168" s="1">
        <v>133456.5</v>
      </c>
      <c r="AE168" s="8">
        <v>8.6729338564842681E-4</v>
      </c>
      <c r="AF168" s="1">
        <v>50411.907442107804</v>
      </c>
      <c r="AG168" s="6">
        <f t="shared" si="10"/>
        <v>-1164.5064495297702</v>
      </c>
      <c r="AH168" s="6">
        <f t="shared" si="11"/>
        <v>1</v>
      </c>
      <c r="AI168" s="6" t="str">
        <f>VLOOKUP(AB168,'ABC расчет'!AC:AC,1,0)</f>
        <v>FORSAGE</v>
      </c>
      <c r="AJ168" s="6"/>
      <c r="AK168" s="6"/>
      <c r="AL168" s="6"/>
    </row>
    <row r="169" spans="1:38" x14ac:dyDescent="0.3">
      <c r="A169" s="3" t="s">
        <v>232</v>
      </c>
      <c r="B169" s="1">
        <v>5</v>
      </c>
      <c r="C169" s="1">
        <v>14228.501799999998</v>
      </c>
      <c r="D169" s="8">
        <v>1.7171702293415837E-4</v>
      </c>
      <c r="E169" s="1">
        <v>7612.9309704308889</v>
      </c>
      <c r="F169" s="1"/>
      <c r="G169" s="1"/>
      <c r="I169" s="1"/>
      <c r="J169" s="3" t="s">
        <v>41</v>
      </c>
      <c r="K169" s="1">
        <v>19</v>
      </c>
      <c r="L169" s="1">
        <v>116435.90000000001</v>
      </c>
      <c r="M169" s="8">
        <v>8.0397361534681304E-4</v>
      </c>
      <c r="N169" s="1">
        <v>46624.114545014345</v>
      </c>
      <c r="O169" s="6">
        <f t="shared" si="8"/>
        <v>1</v>
      </c>
      <c r="P169" s="6"/>
      <c r="Q169" s="6"/>
      <c r="R169" s="41"/>
      <c r="S169" s="3" t="s">
        <v>233</v>
      </c>
      <c r="T169" s="1">
        <v>60</v>
      </c>
      <c r="U169" s="1">
        <v>152805.65000000002</v>
      </c>
      <c r="V169" s="8">
        <v>9.3074691058315378E-4</v>
      </c>
      <c r="W169" s="1">
        <v>77517.652438786536</v>
      </c>
      <c r="X169" s="6">
        <f t="shared" si="9"/>
        <v>1.9352344416480758</v>
      </c>
      <c r="Y169" s="6"/>
      <c r="Z169" s="41"/>
      <c r="AA169" s="41"/>
      <c r="AB169" s="3" t="s">
        <v>266</v>
      </c>
      <c r="AC169" s="1">
        <v>75</v>
      </c>
      <c r="AD169" s="1">
        <v>133312.1</v>
      </c>
      <c r="AE169" s="8">
        <v>8.6635497376974253E-4</v>
      </c>
      <c r="AF169" s="1">
        <v>52705.758311831873</v>
      </c>
      <c r="AG169" s="6">
        <f t="shared" si="10"/>
        <v>0.8831137646787921</v>
      </c>
      <c r="AH169" s="6">
        <f t="shared" si="11"/>
        <v>8.4012449219906422</v>
      </c>
      <c r="AI169" s="6" t="str">
        <f>VLOOKUP(AB169,'ABC расчет'!AC:AC,1,0)</f>
        <v>LIPS</v>
      </c>
      <c r="AJ169" s="6"/>
      <c r="AK169" s="6"/>
      <c r="AL169" s="6"/>
    </row>
    <row r="170" spans="1:38" x14ac:dyDescent="0.3">
      <c r="A170" s="3" t="s">
        <v>159</v>
      </c>
      <c r="B170" s="1">
        <v>2</v>
      </c>
      <c r="C170" s="1">
        <v>13653.612800000001</v>
      </c>
      <c r="D170" s="8">
        <v>1.6477896093822884E-4</v>
      </c>
      <c r="E170" s="1">
        <v>4592.4380904192985</v>
      </c>
      <c r="F170" s="1"/>
      <c r="G170" s="1"/>
      <c r="I170" s="1"/>
      <c r="J170" s="3" t="s">
        <v>52</v>
      </c>
      <c r="K170" s="1">
        <v>53</v>
      </c>
      <c r="L170" s="1">
        <v>116219.8</v>
      </c>
      <c r="M170" s="8">
        <v>8.0248147505093822E-4</v>
      </c>
      <c r="N170" s="1">
        <v>50942.063165059517</v>
      </c>
      <c r="O170" s="6">
        <f t="shared" si="8"/>
        <v>0.33181294148061324</v>
      </c>
      <c r="P170" s="6"/>
      <c r="Q170" s="6"/>
      <c r="R170" s="41"/>
      <c r="S170" s="3" t="s">
        <v>101</v>
      </c>
      <c r="T170" s="1">
        <v>51</v>
      </c>
      <c r="U170" s="1">
        <v>151012</v>
      </c>
      <c r="V170" s="8">
        <v>9.1982169809155085E-4</v>
      </c>
      <c r="W170" s="1">
        <v>32867.974650707358</v>
      </c>
      <c r="X170" s="6">
        <f t="shared" si="9"/>
        <v>-1.3986928757487305E-2</v>
      </c>
      <c r="Y170" s="6"/>
      <c r="Z170" s="41"/>
      <c r="AA170" s="41"/>
      <c r="AB170" s="3" t="s">
        <v>15</v>
      </c>
      <c r="AC170" s="1">
        <v>52</v>
      </c>
      <c r="AD170" s="1">
        <v>129488.9</v>
      </c>
      <c r="AE170" s="8">
        <v>8.4150915455515887E-4</v>
      </c>
      <c r="AF170" s="1">
        <v>56340.348525926529</v>
      </c>
      <c r="AG170" s="6">
        <f t="shared" si="10"/>
        <v>-0.76558573813968411</v>
      </c>
      <c r="AH170" s="6">
        <f t="shared" si="11"/>
        <v>2.9941778200381775</v>
      </c>
      <c r="AI170" s="6" t="str">
        <f>VLOOKUP(AB170,'ABC расчет'!AC:AC,1,0)</f>
        <v>MALTA</v>
      </c>
      <c r="AJ170" s="6"/>
      <c r="AK170" s="6"/>
      <c r="AL170" s="6"/>
    </row>
    <row r="171" spans="1:38" x14ac:dyDescent="0.3">
      <c r="A171" s="3" t="s">
        <v>266</v>
      </c>
      <c r="B171" s="1">
        <v>8</v>
      </c>
      <c r="C171" s="1">
        <v>13163.704600000001</v>
      </c>
      <c r="D171" s="8">
        <v>1.5886649181129432E-4</v>
      </c>
      <c r="E171" s="1">
        <v>5606.2530812857312</v>
      </c>
      <c r="F171" s="1"/>
      <c r="G171" s="1"/>
      <c r="I171" s="1"/>
      <c r="J171" s="3" t="s">
        <v>129</v>
      </c>
      <c r="K171" s="1">
        <v>30</v>
      </c>
      <c r="L171" s="1">
        <v>116082.2</v>
      </c>
      <c r="M171" s="8">
        <v>8.0153136628318084E-4</v>
      </c>
      <c r="N171" s="1">
        <v>63471.655498962427</v>
      </c>
      <c r="O171" s="6">
        <f t="shared" si="8"/>
        <v>1</v>
      </c>
      <c r="P171" s="6"/>
      <c r="Q171" s="6"/>
      <c r="R171" s="41"/>
      <c r="S171" s="3" t="s">
        <v>98</v>
      </c>
      <c r="T171" s="1">
        <v>157</v>
      </c>
      <c r="U171" s="1">
        <v>150177.99999999997</v>
      </c>
      <c r="V171" s="8">
        <v>9.1474176208508531E-4</v>
      </c>
      <c r="W171" s="1">
        <v>71962.134185102303</v>
      </c>
      <c r="X171" s="6">
        <f t="shared" si="9"/>
        <v>2.9205937519563507</v>
      </c>
      <c r="Y171" s="6"/>
      <c r="Z171" s="41"/>
      <c r="AA171" s="41"/>
      <c r="AB171" s="3" t="s">
        <v>90</v>
      </c>
      <c r="AC171" s="1">
        <v>68</v>
      </c>
      <c r="AD171" s="1">
        <v>125400.2</v>
      </c>
      <c r="AE171" s="8">
        <v>8.1493793122845162E-4</v>
      </c>
      <c r="AF171" s="1">
        <v>37693.862294179416</v>
      </c>
      <c r="AG171" s="6">
        <f t="shared" si="10"/>
        <v>2.6035252109783684</v>
      </c>
      <c r="AH171" s="6">
        <f t="shared" si="11"/>
        <v>11.128117661096873</v>
      </c>
      <c r="AI171" s="6" t="str">
        <f>VLOOKUP(AB171,'ABC расчет'!AC:AC,1,0)</f>
        <v>TAILER</v>
      </c>
      <c r="AJ171" s="6"/>
      <c r="AK171" s="6"/>
      <c r="AL171" s="6"/>
    </row>
    <row r="172" spans="1:38" x14ac:dyDescent="0.3">
      <c r="A172" s="3" t="s">
        <v>181</v>
      </c>
      <c r="B172" s="1">
        <v>8</v>
      </c>
      <c r="C172" s="1">
        <v>12950.709900000002</v>
      </c>
      <c r="D172" s="8">
        <v>1.5629596005054675E-4</v>
      </c>
      <c r="E172" s="1">
        <v>6080.516692825232</v>
      </c>
      <c r="F172" s="1"/>
      <c r="G172" s="1"/>
      <c r="I172" s="1"/>
      <c r="J172" s="3" t="s">
        <v>42</v>
      </c>
      <c r="K172" s="1">
        <v>63</v>
      </c>
      <c r="L172" s="1">
        <v>114637.68999999999</v>
      </c>
      <c r="M172" s="8">
        <v>7.9155722663119517E-4</v>
      </c>
      <c r="N172" s="1">
        <v>55652.351403803943</v>
      </c>
      <c r="O172" s="6">
        <f t="shared" si="8"/>
        <v>0.94804639595135964</v>
      </c>
      <c r="P172" s="6"/>
      <c r="Q172" s="6"/>
      <c r="R172" s="41"/>
      <c r="S172" s="3" t="s">
        <v>180</v>
      </c>
      <c r="T172" s="1">
        <v>124</v>
      </c>
      <c r="U172" s="1">
        <v>142853.5</v>
      </c>
      <c r="V172" s="8">
        <v>8.7012786366859167E-4</v>
      </c>
      <c r="W172" s="1">
        <v>41824.985387436238</v>
      </c>
      <c r="X172" s="6">
        <f t="shared" si="9"/>
        <v>3.5441335814988397</v>
      </c>
      <c r="Y172" s="6"/>
      <c r="Z172" s="41"/>
      <c r="AA172" s="41"/>
      <c r="AB172" s="3" t="s">
        <v>100</v>
      </c>
      <c r="AC172" s="1">
        <v>114</v>
      </c>
      <c r="AD172" s="1">
        <v>124854.40000000001</v>
      </c>
      <c r="AE172" s="8">
        <v>8.1139094228533596E-4</v>
      </c>
      <c r="AF172" s="1">
        <v>47377.625657908764</v>
      </c>
      <c r="AG172" s="6">
        <f t="shared" si="10"/>
        <v>0.59410655283443425</v>
      </c>
      <c r="AH172" s="6">
        <f t="shared" si="11"/>
        <v>51.921518243216326</v>
      </c>
      <c r="AI172" s="6" t="str">
        <f>VLOOKUP(AB172,'ABC расчет'!AC:AC,1,0)</f>
        <v>VULKANO</v>
      </c>
      <c r="AJ172" s="6"/>
      <c r="AK172" s="6"/>
      <c r="AL172" s="6"/>
    </row>
    <row r="173" spans="1:38" x14ac:dyDescent="0.3">
      <c r="A173" s="3" t="s">
        <v>87</v>
      </c>
      <c r="B173" s="1">
        <v>2</v>
      </c>
      <c r="C173" s="1">
        <v>12820.5123</v>
      </c>
      <c r="D173" s="8">
        <v>1.547246671217879E-4</v>
      </c>
      <c r="E173" s="1">
        <v>5200.1263601245191</v>
      </c>
      <c r="F173" s="1"/>
      <c r="G173" s="1"/>
      <c r="I173" s="1"/>
      <c r="J173" s="3" t="s">
        <v>213</v>
      </c>
      <c r="K173" s="1">
        <v>556</v>
      </c>
      <c r="L173" s="1">
        <v>108714.12000000001</v>
      </c>
      <c r="M173" s="8">
        <v>7.5065580371386556E-4</v>
      </c>
      <c r="N173" s="1">
        <v>51613.878907234743</v>
      </c>
      <c r="O173" s="6">
        <f t="shared" si="8"/>
        <v>5.792818669897267</v>
      </c>
      <c r="P173" s="6"/>
      <c r="Q173" s="6"/>
      <c r="R173" s="41"/>
      <c r="S173" s="3" t="s">
        <v>105</v>
      </c>
      <c r="T173" s="1">
        <v>123</v>
      </c>
      <c r="U173" s="1">
        <v>142173.29999999996</v>
      </c>
      <c r="V173" s="8">
        <v>8.6598473120864201E-4</v>
      </c>
      <c r="W173" s="1">
        <v>74021.624140066415</v>
      </c>
      <c r="X173" s="6">
        <f t="shared" si="9"/>
        <v>-0.33185991893250932</v>
      </c>
      <c r="Y173" s="6"/>
      <c r="Z173" s="41"/>
      <c r="AA173" s="41"/>
      <c r="AB173" s="3" t="s">
        <v>95</v>
      </c>
      <c r="AC173" s="1">
        <v>245</v>
      </c>
      <c r="AD173" s="1">
        <v>123783.6</v>
      </c>
      <c r="AE173" s="8">
        <v>8.044321373012975E-4</v>
      </c>
      <c r="AF173" s="1">
        <v>63728.735798047535</v>
      </c>
      <c r="AG173" s="6">
        <f t="shared" si="10"/>
        <v>0.62331600545323762</v>
      </c>
      <c r="AH173" s="6">
        <f t="shared" si="11"/>
        <v>-0.46616816560373331</v>
      </c>
      <c r="AI173" s="6" t="str">
        <f>VLOOKUP(AB173,'ABC расчет'!AC:AC,1,0)</f>
        <v>TUTTI</v>
      </c>
      <c r="AJ173" s="6"/>
      <c r="AK173" s="6"/>
      <c r="AL173" s="6"/>
    </row>
    <row r="174" spans="1:38" x14ac:dyDescent="0.3">
      <c r="A174" s="3" t="s">
        <v>64</v>
      </c>
      <c r="B174" s="1">
        <v>5</v>
      </c>
      <c r="C174" s="1">
        <v>12673.4293</v>
      </c>
      <c r="D174" s="8">
        <v>1.529495923290065E-4</v>
      </c>
      <c r="E174" s="1">
        <v>5188.3266049746544</v>
      </c>
      <c r="F174" s="1"/>
      <c r="G174" s="1"/>
      <c r="I174" s="1"/>
      <c r="J174" s="3" t="s">
        <v>16</v>
      </c>
      <c r="K174" s="1">
        <v>21</v>
      </c>
      <c r="L174" s="1">
        <v>106235.63</v>
      </c>
      <c r="M174" s="8">
        <v>7.3354217668044263E-4</v>
      </c>
      <c r="N174" s="1">
        <v>42056.069841403689</v>
      </c>
      <c r="O174" s="6">
        <f t="shared" si="8"/>
        <v>1</v>
      </c>
      <c r="P174" s="6"/>
      <c r="Q174" s="6"/>
      <c r="R174" s="41"/>
      <c r="S174" s="3" t="s">
        <v>306</v>
      </c>
      <c r="T174" s="1">
        <v>64</v>
      </c>
      <c r="U174" s="1">
        <v>141713.60000000001</v>
      </c>
      <c r="V174" s="8">
        <v>8.6318467535471889E-4</v>
      </c>
      <c r="W174" s="1">
        <v>54567.073752575074</v>
      </c>
      <c r="X174" s="6">
        <f t="shared" si="9"/>
        <v>31.144504752573219</v>
      </c>
      <c r="Y174" s="6"/>
      <c r="Z174" s="41"/>
      <c r="AA174" s="41"/>
      <c r="AB174" s="3" t="s">
        <v>311</v>
      </c>
      <c r="AC174" s="1">
        <v>27</v>
      </c>
      <c r="AD174" s="1">
        <v>119385.1</v>
      </c>
      <c r="AE174" s="8">
        <v>7.7584761757558461E-4</v>
      </c>
      <c r="AF174" s="1">
        <v>33321.508868320321</v>
      </c>
      <c r="AG174" s="6">
        <f t="shared" si="10"/>
        <v>-0.67412694782376592</v>
      </c>
      <c r="AH174" s="6">
        <f t="shared" si="11"/>
        <v>10.928916633115209</v>
      </c>
      <c r="AI174" s="6" t="str">
        <f>VLOOKUP(AB174,'ABC расчет'!AC:AC,1,0)</f>
        <v>LUCKY</v>
      </c>
      <c r="AJ174" s="6"/>
      <c r="AK174" s="6"/>
      <c r="AL174" s="6"/>
    </row>
    <row r="175" spans="1:38" x14ac:dyDescent="0.3">
      <c r="A175" s="3" t="s">
        <v>101</v>
      </c>
      <c r="B175" s="1">
        <v>4</v>
      </c>
      <c r="C175" s="1">
        <v>11501.8012</v>
      </c>
      <c r="D175" s="8">
        <v>1.3880976986941314E-4</v>
      </c>
      <c r="E175" s="1">
        <v>5469.1201156043207</v>
      </c>
      <c r="F175" s="1"/>
      <c r="G175" s="1"/>
      <c r="I175" s="1"/>
      <c r="J175" s="3" t="s">
        <v>263</v>
      </c>
      <c r="K175" s="1">
        <v>16</v>
      </c>
      <c r="L175" s="1">
        <v>103587.5</v>
      </c>
      <c r="M175" s="8">
        <v>7.1525720915746767E-4</v>
      </c>
      <c r="N175" s="1">
        <v>44547.689489320233</v>
      </c>
      <c r="O175" s="6">
        <f t="shared" si="8"/>
        <v>-0.44906181777657717</v>
      </c>
      <c r="P175" s="6"/>
      <c r="Q175" s="6"/>
      <c r="R175" s="41"/>
      <c r="S175" s="3" t="s">
        <v>114</v>
      </c>
      <c r="T175" s="1">
        <v>119</v>
      </c>
      <c r="U175" s="1">
        <v>134196.32</v>
      </c>
      <c r="V175" s="8">
        <v>8.1739654424838526E-4</v>
      </c>
      <c r="W175" s="1">
        <v>62841.610125600804</v>
      </c>
      <c r="X175" s="6">
        <f t="shared" si="9"/>
        <v>1.7123239869611164</v>
      </c>
      <c r="Y175" s="6"/>
      <c r="Z175" s="41"/>
      <c r="AA175" s="41"/>
      <c r="AB175" s="3" t="s">
        <v>43</v>
      </c>
      <c r="AC175" s="1">
        <v>51</v>
      </c>
      <c r="AD175" s="1">
        <v>119205.40000000001</v>
      </c>
      <c r="AE175" s="8">
        <v>7.7467980168500583E-4</v>
      </c>
      <c r="AF175" s="1">
        <v>51124.628991710546</v>
      </c>
      <c r="AG175" s="6">
        <f t="shared" si="10"/>
        <v>0.90021503283628412</v>
      </c>
      <c r="AH175" s="6">
        <f t="shared" si="11"/>
        <v>-0.91407857781799218</v>
      </c>
      <c r="AI175" s="6" t="str">
        <f>VLOOKUP(AB175,'ABC расчет'!AC:AC,1,0)</f>
        <v>GALANT</v>
      </c>
      <c r="AJ175" s="6"/>
      <c r="AK175" s="6"/>
      <c r="AL175" s="6"/>
    </row>
    <row r="176" spans="1:38" x14ac:dyDescent="0.3">
      <c r="A176" s="3" t="s">
        <v>310</v>
      </c>
      <c r="B176" s="1">
        <v>3</v>
      </c>
      <c r="C176" s="1">
        <v>11141.2988</v>
      </c>
      <c r="D176" s="8">
        <v>1.3445903781351818E-4</v>
      </c>
      <c r="E176" s="1">
        <v>3972.5625682772848</v>
      </c>
      <c r="F176" s="1"/>
      <c r="G176" s="1"/>
      <c r="I176" s="1"/>
      <c r="J176" s="3" t="s">
        <v>243</v>
      </c>
      <c r="K176" s="1">
        <v>56</v>
      </c>
      <c r="L176" s="1">
        <v>102317.9</v>
      </c>
      <c r="M176" s="8">
        <v>7.0649079860845047E-4</v>
      </c>
      <c r="N176" s="1">
        <v>38384.542792472159</v>
      </c>
      <c r="O176" s="6">
        <f t="shared" si="8"/>
        <v>5.9134837941769245</v>
      </c>
      <c r="P176" s="6"/>
      <c r="Q176" s="6"/>
      <c r="R176" s="41"/>
      <c r="S176" s="3" t="s">
        <v>193</v>
      </c>
      <c r="T176" s="1">
        <v>31</v>
      </c>
      <c r="U176" s="1">
        <v>126569.31</v>
      </c>
      <c r="V176" s="8">
        <v>7.7094004218522972E-4</v>
      </c>
      <c r="W176" s="1">
        <v>63717.107870027619</v>
      </c>
      <c r="X176" s="6">
        <f t="shared" si="9"/>
        <v>-0.13090774263353777</v>
      </c>
      <c r="Y176" s="6"/>
      <c r="Z176" s="41"/>
      <c r="AA176" s="41"/>
      <c r="AB176" s="3" t="s">
        <v>113</v>
      </c>
      <c r="AC176" s="1">
        <v>87</v>
      </c>
      <c r="AD176" s="1">
        <v>118296.16</v>
      </c>
      <c r="AE176" s="8">
        <v>7.6877092622396059E-4</v>
      </c>
      <c r="AF176" s="1">
        <v>55516.684763951023</v>
      </c>
      <c r="AG176" s="6">
        <f t="shared" si="10"/>
        <v>0.73619120207382327</v>
      </c>
      <c r="AH176" s="6">
        <f t="shared" si="11"/>
        <v>1</v>
      </c>
      <c r="AI176" s="6" t="str">
        <f>VLOOKUP(AB176,'ABC расчет'!AC:AC,1,0)</f>
        <v>TRACY</v>
      </c>
      <c r="AJ176" s="6"/>
      <c r="AK176" s="6"/>
      <c r="AL176" s="6"/>
    </row>
    <row r="177" spans="1:38" x14ac:dyDescent="0.3">
      <c r="A177" s="3" t="s">
        <v>243</v>
      </c>
      <c r="B177" s="1">
        <v>4</v>
      </c>
      <c r="C177" s="1">
        <v>10536.6368</v>
      </c>
      <c r="D177" s="8">
        <v>1.2716165963689145E-4</v>
      </c>
      <c r="E177" s="1">
        <v>5552.1273984619183</v>
      </c>
      <c r="F177" s="1"/>
      <c r="G177" s="1"/>
      <c r="I177" s="1"/>
      <c r="J177" s="3" t="s">
        <v>71</v>
      </c>
      <c r="K177" s="1">
        <v>26</v>
      </c>
      <c r="L177" s="1">
        <v>99632</v>
      </c>
      <c r="M177" s="8">
        <v>6.8794503451455845E-4</v>
      </c>
      <c r="N177" s="1">
        <v>22567.624987409439</v>
      </c>
      <c r="O177" s="6">
        <f t="shared" si="8"/>
        <v>0.45837126740092637</v>
      </c>
      <c r="P177" s="6"/>
      <c r="Q177" s="6"/>
      <c r="R177" s="41"/>
      <c r="S177" s="3" t="s">
        <v>181</v>
      </c>
      <c r="T177" s="1">
        <v>87</v>
      </c>
      <c r="U177" s="1">
        <v>125063.85000000005</v>
      </c>
      <c r="V177" s="8">
        <v>7.617702094990269E-4</v>
      </c>
      <c r="W177" s="1">
        <v>43966.064525074253</v>
      </c>
      <c r="X177" s="6">
        <f t="shared" si="9"/>
        <v>1.7856928906290115</v>
      </c>
      <c r="Y177" s="6"/>
      <c r="Z177" s="41"/>
      <c r="AA177" s="41"/>
      <c r="AB177" s="3" t="s">
        <v>328</v>
      </c>
      <c r="AC177" s="1">
        <v>39</v>
      </c>
      <c r="AD177" s="1">
        <v>116704.90400000001</v>
      </c>
      <c r="AE177" s="8">
        <v>7.5842983527917062E-4</v>
      </c>
      <c r="AF177" s="1">
        <v>30738.637670338685</v>
      </c>
      <c r="AG177" s="6">
        <f t="shared" si="10"/>
        <v>0.79770762103689052</v>
      </c>
      <c r="AH177" s="6">
        <f t="shared" si="11"/>
        <v>-0.7747319247492247</v>
      </c>
      <c r="AI177" s="6" t="str">
        <f>VLOOKUP(AB177,'ABC расчет'!AC:AC,1,0)</f>
        <v>RUNN</v>
      </c>
      <c r="AJ177" s="6"/>
      <c r="AK177" s="6"/>
      <c r="AL177" s="6"/>
    </row>
    <row r="178" spans="1:38" x14ac:dyDescent="0.3">
      <c r="A178" s="3" t="s">
        <v>311</v>
      </c>
      <c r="B178" s="1">
        <v>3</v>
      </c>
      <c r="C178" s="1">
        <v>10111.267599999999</v>
      </c>
      <c r="D178" s="8">
        <v>1.2202808101430698E-4</v>
      </c>
      <c r="E178" s="1">
        <v>2793.3390678427841</v>
      </c>
      <c r="F178" s="1"/>
      <c r="G178" s="1"/>
      <c r="I178" s="1"/>
      <c r="J178" s="3" t="s">
        <v>104</v>
      </c>
      <c r="K178" s="1">
        <v>93</v>
      </c>
      <c r="L178" s="1">
        <v>95640.8</v>
      </c>
      <c r="M178" s="8">
        <v>6.6038635636140978E-4</v>
      </c>
      <c r="N178" s="1">
        <v>43414.933823281797</v>
      </c>
      <c r="O178" s="6">
        <f t="shared" si="8"/>
        <v>0.35935032029998348</v>
      </c>
      <c r="P178" s="6"/>
      <c r="Q178" s="6"/>
      <c r="R178" s="41"/>
      <c r="S178" s="3" t="s">
        <v>22</v>
      </c>
      <c r="T178" s="1">
        <v>13</v>
      </c>
      <c r="U178" s="1">
        <v>124741.9</v>
      </c>
      <c r="V178" s="8">
        <v>7.5980919583322135E-4</v>
      </c>
      <c r="W178" s="1">
        <v>58385.776458439097</v>
      </c>
      <c r="X178" s="6">
        <f t="shared" si="9"/>
        <v>-0.77763179788074521</v>
      </c>
      <c r="Y178" s="6"/>
      <c r="Z178" s="41"/>
      <c r="AA178" s="41"/>
      <c r="AB178" s="3" t="s">
        <v>98</v>
      </c>
      <c r="AC178" s="1">
        <v>118</v>
      </c>
      <c r="AD178" s="1">
        <v>116390.39999999999</v>
      </c>
      <c r="AE178" s="8">
        <v>7.5638596900843831E-4</v>
      </c>
      <c r="AF178" s="1">
        <v>57425.700599701522</v>
      </c>
      <c r="AG178" s="6">
        <f t="shared" si="10"/>
        <v>-0.20200114615847697</v>
      </c>
      <c r="AH178" s="6">
        <f t="shared" si="11"/>
        <v>1</v>
      </c>
      <c r="AI178" s="6" t="str">
        <f>VLOOKUP(AB178,'ABC расчет'!AC:AC,1,0)</f>
        <v>VIOLA</v>
      </c>
      <c r="AJ178" s="6"/>
      <c r="AK178" s="6"/>
      <c r="AL178" s="6"/>
    </row>
    <row r="179" spans="1:38" x14ac:dyDescent="0.3">
      <c r="A179" s="3" t="s">
        <v>55</v>
      </c>
      <c r="B179" s="1">
        <v>10</v>
      </c>
      <c r="C179" s="1">
        <v>9946.5889999999999</v>
      </c>
      <c r="D179" s="8">
        <v>1.2004065329138501E-4</v>
      </c>
      <c r="E179" s="1">
        <v>5753.0886746272718</v>
      </c>
      <c r="F179" s="1"/>
      <c r="G179" s="1"/>
      <c r="I179" s="1"/>
      <c r="J179" s="3" t="s">
        <v>77</v>
      </c>
      <c r="K179" s="1">
        <v>52</v>
      </c>
      <c r="L179" s="1">
        <v>92765</v>
      </c>
      <c r="M179" s="8">
        <v>6.4052935930968978E-4</v>
      </c>
      <c r="N179" s="1">
        <v>39275.140025617642</v>
      </c>
      <c r="O179" s="6">
        <f t="shared" si="8"/>
        <v>1</v>
      </c>
      <c r="P179" s="6"/>
      <c r="Q179" s="6"/>
      <c r="R179" s="41"/>
      <c r="S179" s="3" t="s">
        <v>69</v>
      </c>
      <c r="T179" s="1">
        <v>240</v>
      </c>
      <c r="U179" s="1">
        <v>121822.55</v>
      </c>
      <c r="V179" s="8">
        <v>7.4202728794296388E-4</v>
      </c>
      <c r="W179" s="1">
        <v>58998.108949607173</v>
      </c>
      <c r="X179" s="6">
        <f t="shared" si="9"/>
        <v>-4.8245362640330858E-2</v>
      </c>
      <c r="Y179" s="6"/>
      <c r="Z179" s="41"/>
      <c r="AA179" s="41"/>
      <c r="AB179" s="3" t="s">
        <v>112</v>
      </c>
      <c r="AC179" s="1">
        <v>106</v>
      </c>
      <c r="AD179" s="1">
        <v>113704.14</v>
      </c>
      <c r="AE179" s="8">
        <v>7.389287786120774E-4</v>
      </c>
      <c r="AF179" s="1">
        <v>59908.333856810685</v>
      </c>
      <c r="AG179" s="6">
        <f t="shared" si="10"/>
        <v>-0.25357183502026304</v>
      </c>
      <c r="AH179" s="6">
        <f t="shared" si="11"/>
        <v>32.590184294445017</v>
      </c>
      <c r="AI179" s="6" t="str">
        <f>VLOOKUP(AB179,'ABC расчет'!AC:AC,1,0)</f>
        <v>TIRAMISU</v>
      </c>
      <c r="AJ179" s="6"/>
      <c r="AK179" s="6"/>
      <c r="AL179" s="6"/>
    </row>
    <row r="180" spans="1:38" x14ac:dyDescent="0.3">
      <c r="A180" s="3" t="s">
        <v>63</v>
      </c>
      <c r="B180" s="1">
        <v>6</v>
      </c>
      <c r="C180" s="1">
        <v>9761.6744999999992</v>
      </c>
      <c r="D180" s="8">
        <v>1.1780900811301785E-4</v>
      </c>
      <c r="E180" s="1">
        <v>4762.9514215844511</v>
      </c>
      <c r="F180" s="1"/>
      <c r="G180" s="1"/>
      <c r="I180" s="1"/>
      <c r="J180" s="3" t="s">
        <v>95</v>
      </c>
      <c r="K180" s="1">
        <v>192</v>
      </c>
      <c r="L180" s="1">
        <v>90297</v>
      </c>
      <c r="M180" s="8">
        <v>6.234881642600879E-4</v>
      </c>
      <c r="N180" s="1">
        <v>46065.678644280248</v>
      </c>
      <c r="O180" s="6">
        <f t="shared" si="8"/>
        <v>-0.61412500302354245</v>
      </c>
      <c r="P180" s="6"/>
      <c r="Q180" s="6"/>
      <c r="R180" s="41"/>
      <c r="S180" s="3" t="s">
        <v>490</v>
      </c>
      <c r="T180" s="1">
        <v>88</v>
      </c>
      <c r="U180" s="1">
        <v>121726</v>
      </c>
      <c r="V180" s="8">
        <v>7.414391970299852E-4</v>
      </c>
      <c r="W180" s="1">
        <v>40894.384462506474</v>
      </c>
      <c r="X180" s="6">
        <f t="shared" si="9"/>
        <v>1</v>
      </c>
      <c r="Y180" s="6"/>
      <c r="Z180" s="41"/>
      <c r="AA180" s="41"/>
      <c r="AB180" s="3" t="s">
        <v>171</v>
      </c>
      <c r="AC180" s="1">
        <v>55</v>
      </c>
      <c r="AD180" s="1">
        <v>103892</v>
      </c>
      <c r="AE180" s="8">
        <v>6.7516265166392311E-4</v>
      </c>
      <c r="AF180" s="1">
        <v>42266.734026730956</v>
      </c>
      <c r="AG180" s="6">
        <f t="shared" si="10"/>
        <v>-0.3026226875768353</v>
      </c>
      <c r="AH180" s="6">
        <f t="shared" si="11"/>
        <v>-0.47694053342011522</v>
      </c>
      <c r="AI180" s="6" t="str">
        <f>VLOOKUP(AB180,'ABC расчет'!AC:AC,1,0)</f>
        <v>MILANA</v>
      </c>
      <c r="AJ180" s="6"/>
      <c r="AK180" s="6"/>
      <c r="AL180" s="6"/>
    </row>
    <row r="181" spans="1:38" x14ac:dyDescent="0.3">
      <c r="A181" s="3" t="s">
        <v>80</v>
      </c>
      <c r="B181" s="1">
        <v>4</v>
      </c>
      <c r="C181" s="1">
        <v>9669.2330000000002</v>
      </c>
      <c r="D181" s="8">
        <v>1.1669337560309556E-4</v>
      </c>
      <c r="E181" s="1">
        <v>4237.7784080689562</v>
      </c>
      <c r="F181" s="1"/>
      <c r="G181" s="1"/>
      <c r="I181" s="1"/>
      <c r="J181" s="3" t="s">
        <v>336</v>
      </c>
      <c r="K181" s="1">
        <v>14</v>
      </c>
      <c r="L181" s="1">
        <v>87852.41</v>
      </c>
      <c r="M181" s="8">
        <v>6.0660861198848909E-4</v>
      </c>
      <c r="N181" s="1">
        <v>33605.634161899965</v>
      </c>
      <c r="O181" s="6">
        <f t="shared" si="8"/>
        <v>-0.85515448384466186</v>
      </c>
      <c r="P181" s="6"/>
      <c r="Q181" s="6"/>
      <c r="R181" s="41"/>
      <c r="S181" s="3" t="s">
        <v>202</v>
      </c>
      <c r="T181" s="1">
        <v>30</v>
      </c>
      <c r="U181" s="1">
        <v>121260.2666</v>
      </c>
      <c r="V181" s="8">
        <v>7.3860239143277474E-4</v>
      </c>
      <c r="W181" s="1">
        <v>56036.366892921942</v>
      </c>
      <c r="X181" s="6">
        <f t="shared" si="9"/>
        <v>9.0416981852542389</v>
      </c>
      <c r="Y181" s="6"/>
      <c r="Z181" s="41"/>
      <c r="AA181" s="41"/>
      <c r="AB181" s="3" t="s">
        <v>200</v>
      </c>
      <c r="AC181" s="1">
        <v>23</v>
      </c>
      <c r="AD181" s="1">
        <v>99155.199999999997</v>
      </c>
      <c r="AE181" s="8">
        <v>6.4437962266841167E-4</v>
      </c>
      <c r="AF181" s="1">
        <v>47216.751275029645</v>
      </c>
      <c r="AG181" s="6">
        <f t="shared" si="10"/>
        <v>2.465699697868486</v>
      </c>
      <c r="AH181" s="6">
        <f t="shared" si="11"/>
        <v>1</v>
      </c>
      <c r="AI181" s="6" t="str">
        <f>VLOOKUP(AB181,'ABC расчет'!AC:AC,1,0)</f>
        <v>WESTER GTP</v>
      </c>
      <c r="AJ181" s="6"/>
      <c r="AK181" s="6"/>
      <c r="AL181" s="6"/>
    </row>
    <row r="182" spans="1:38" x14ac:dyDescent="0.3">
      <c r="A182" s="3" t="s">
        <v>180</v>
      </c>
      <c r="B182" s="1">
        <v>8</v>
      </c>
      <c r="C182" s="1">
        <v>9397.35</v>
      </c>
      <c r="D182" s="8">
        <v>1.1341214894953407E-4</v>
      </c>
      <c r="E182" s="1">
        <v>4837.8480108765107</v>
      </c>
      <c r="F182" s="1"/>
      <c r="G182" s="1"/>
      <c r="I182" s="1"/>
      <c r="J182" s="3" t="s">
        <v>155</v>
      </c>
      <c r="K182" s="1">
        <v>21</v>
      </c>
      <c r="L182" s="1">
        <v>86676.2</v>
      </c>
      <c r="M182" s="8">
        <v>5.9848704633642578E-4</v>
      </c>
      <c r="N182" s="1">
        <v>36036.692291067622</v>
      </c>
      <c r="O182" s="6">
        <f t="shared" si="8"/>
        <v>1.8164436447450103</v>
      </c>
      <c r="P182" s="6"/>
      <c r="Q182" s="6"/>
      <c r="R182" s="41"/>
      <c r="S182" s="3" t="s">
        <v>40</v>
      </c>
      <c r="T182" s="1">
        <v>78</v>
      </c>
      <c r="U182" s="1">
        <v>120211.1</v>
      </c>
      <c r="V182" s="8">
        <v>7.3221186482831321E-4</v>
      </c>
      <c r="W182" s="1">
        <v>50896.530742658164</v>
      </c>
      <c r="X182" s="6">
        <f t="shared" si="9"/>
        <v>-0.27614830407065549</v>
      </c>
      <c r="Y182" s="6"/>
      <c r="Z182" s="41"/>
      <c r="AA182" s="41"/>
      <c r="AB182" s="3" t="s">
        <v>75</v>
      </c>
      <c r="AC182" s="1">
        <v>28</v>
      </c>
      <c r="AD182" s="1">
        <v>98659.000000000015</v>
      </c>
      <c r="AE182" s="8">
        <v>6.4115496910744816E-4</v>
      </c>
      <c r="AF182" s="1">
        <v>49025.314422151096</v>
      </c>
      <c r="AG182" s="6">
        <f t="shared" si="10"/>
        <v>-0.43215830026756108</v>
      </c>
      <c r="AH182" s="6">
        <f t="shared" si="11"/>
        <v>4.2644542298757324</v>
      </c>
      <c r="AI182" s="6" t="e">
        <f>VLOOKUP(AB182,'ABC расчет'!AC:AC,1,0)</f>
        <v>#N/A</v>
      </c>
      <c r="AJ182" s="6"/>
      <c r="AK182" s="6"/>
      <c r="AL182" s="6"/>
    </row>
    <row r="183" spans="1:38" x14ac:dyDescent="0.3">
      <c r="A183" s="3" t="s">
        <v>197</v>
      </c>
      <c r="B183" s="1">
        <v>3</v>
      </c>
      <c r="C183" s="1">
        <v>9187.902399999999</v>
      </c>
      <c r="D183" s="8">
        <v>1.1088442545213079E-4</v>
      </c>
      <c r="E183" s="1">
        <v>3837.8848575997331</v>
      </c>
      <c r="F183" s="1"/>
      <c r="G183" s="1"/>
      <c r="I183" s="1"/>
      <c r="J183" s="3" t="s">
        <v>299</v>
      </c>
      <c r="K183" s="1">
        <v>9</v>
      </c>
      <c r="L183" s="1">
        <v>85401.95</v>
      </c>
      <c r="M183" s="8">
        <v>5.8968852818733534E-4</v>
      </c>
      <c r="N183" s="1">
        <v>42933.704748045049</v>
      </c>
      <c r="O183" s="6">
        <f t="shared" si="8"/>
        <v>1</v>
      </c>
      <c r="P183" s="6"/>
      <c r="Q183" s="6"/>
      <c r="R183" s="41"/>
      <c r="S183" s="3" t="s">
        <v>302</v>
      </c>
      <c r="T183" s="1">
        <v>2674.0942490000002</v>
      </c>
      <c r="U183" s="1">
        <v>118858.06080000001</v>
      </c>
      <c r="V183" s="8">
        <v>7.2397043491195931E-4</v>
      </c>
      <c r="W183" s="1">
        <v>-39781.845078390921</v>
      </c>
      <c r="X183" s="6">
        <f t="shared" si="9"/>
        <v>-0.86742320018981101</v>
      </c>
      <c r="Y183" s="6"/>
      <c r="Z183" s="41"/>
      <c r="AA183" s="41"/>
      <c r="AB183" s="3" t="s">
        <v>46</v>
      </c>
      <c r="AC183" s="1">
        <v>7</v>
      </c>
      <c r="AD183" s="1">
        <v>98530.5</v>
      </c>
      <c r="AE183" s="8">
        <v>6.4031988651457451E-4</v>
      </c>
      <c r="AF183" s="1">
        <v>50653.019681030411</v>
      </c>
      <c r="AG183" s="6">
        <f t="shared" si="10"/>
        <v>-0.50403542513726518</v>
      </c>
      <c r="AH183" s="6">
        <f t="shared" si="11"/>
        <v>-0.6762575860537563</v>
      </c>
      <c r="AI183" s="6" t="e">
        <f>VLOOKUP(AB183,'ABC расчет'!AC:AC,1,0)</f>
        <v>#N/A</v>
      </c>
      <c r="AJ183" s="6"/>
      <c r="AK183" s="6"/>
      <c r="AL183" s="6"/>
    </row>
    <row r="184" spans="1:38" x14ac:dyDescent="0.3">
      <c r="A184" s="3" t="s">
        <v>147</v>
      </c>
      <c r="B184" s="1">
        <v>2</v>
      </c>
      <c r="C184" s="1">
        <v>8888.3222999999998</v>
      </c>
      <c r="D184" s="8">
        <v>1.0726893566793459E-4</v>
      </c>
      <c r="E184" s="1">
        <v>4499.221437669692</v>
      </c>
      <c r="F184" s="1"/>
      <c r="G184" s="1"/>
      <c r="I184" s="1"/>
      <c r="J184" s="3" t="s">
        <v>464</v>
      </c>
      <c r="K184" s="1">
        <v>10</v>
      </c>
      <c r="L184" s="1">
        <v>85275</v>
      </c>
      <c r="M184" s="8">
        <v>5.8881195618103589E-4</v>
      </c>
      <c r="N184" s="1">
        <v>45440.068223896233</v>
      </c>
      <c r="O184" s="6">
        <f t="shared" si="8"/>
        <v>1</v>
      </c>
      <c r="P184" s="6"/>
      <c r="Q184" s="6"/>
      <c r="R184" s="41"/>
      <c r="S184" s="3" t="s">
        <v>215</v>
      </c>
      <c r="T184" s="1">
        <v>45</v>
      </c>
      <c r="U184" s="1">
        <v>117308</v>
      </c>
      <c r="V184" s="8">
        <v>7.1452893650652692E-4</v>
      </c>
      <c r="W184" s="1">
        <v>65995.141627634395</v>
      </c>
      <c r="X184" s="6">
        <f t="shared" si="9"/>
        <v>1</v>
      </c>
      <c r="Y184" s="6"/>
      <c r="Z184" s="41"/>
      <c r="AA184" s="41"/>
      <c r="AB184" s="3" t="s">
        <v>27</v>
      </c>
      <c r="AC184" s="1">
        <v>13</v>
      </c>
      <c r="AD184" s="1">
        <v>96794.8</v>
      </c>
      <c r="AE184" s="8">
        <v>6.2904009774842251E-4</v>
      </c>
      <c r="AF184" s="1">
        <v>40596.317359731212</v>
      </c>
      <c r="AG184" s="6">
        <f t="shared" si="10"/>
        <v>0.47201055130184111</v>
      </c>
      <c r="AH184" s="6">
        <f t="shared" si="11"/>
        <v>1.5398579164865733</v>
      </c>
      <c r="AI184" s="6" t="str">
        <f>VLOOKUP(AB184,'ABC расчет'!AC:AC,1,0)</f>
        <v>CUBA</v>
      </c>
      <c r="AJ184" s="6"/>
      <c r="AK184" s="6"/>
      <c r="AL184" s="6"/>
    </row>
    <row r="185" spans="1:38" x14ac:dyDescent="0.3">
      <c r="A185" s="3" t="s">
        <v>67</v>
      </c>
      <c r="B185" s="1">
        <v>1</v>
      </c>
      <c r="C185" s="1">
        <v>8085.4246000000003</v>
      </c>
      <c r="D185" s="8">
        <v>9.7579145084031861E-5</v>
      </c>
      <c r="E185" s="1">
        <v>3286.7128873000252</v>
      </c>
      <c r="F185" s="1"/>
      <c r="G185" s="1"/>
      <c r="I185" s="1"/>
      <c r="J185" s="3" t="s">
        <v>211</v>
      </c>
      <c r="K185" s="1">
        <v>510</v>
      </c>
      <c r="L185" s="1">
        <v>83309.399999999994</v>
      </c>
      <c r="M185" s="8">
        <v>5.7523976291138539E-4</v>
      </c>
      <c r="N185" s="1">
        <v>41772.463403299094</v>
      </c>
      <c r="O185" s="6">
        <f t="shared" si="8"/>
        <v>1</v>
      </c>
      <c r="P185" s="6"/>
      <c r="Q185" s="6"/>
      <c r="R185" s="41"/>
      <c r="S185" s="3" t="s">
        <v>293</v>
      </c>
      <c r="T185" s="1">
        <v>143</v>
      </c>
      <c r="U185" s="1">
        <v>114901.5</v>
      </c>
      <c r="V185" s="8">
        <v>6.9987082379722359E-4</v>
      </c>
      <c r="W185" s="1">
        <v>28190.404091503948</v>
      </c>
      <c r="X185" s="6">
        <f t="shared" si="9"/>
        <v>0.10250299249295614</v>
      </c>
      <c r="Y185" s="6"/>
      <c r="Z185" s="41"/>
      <c r="AA185" s="41"/>
      <c r="AB185" s="3" t="s">
        <v>104</v>
      </c>
      <c r="AC185" s="1">
        <v>73</v>
      </c>
      <c r="AD185" s="1">
        <v>91649.66</v>
      </c>
      <c r="AE185" s="8">
        <v>5.9560339072976733E-4</v>
      </c>
      <c r="AF185" s="1">
        <v>45086.066050853151</v>
      </c>
      <c r="AG185" s="6">
        <f t="shared" si="10"/>
        <v>1.0943972319878039</v>
      </c>
      <c r="AH185" s="6">
        <f t="shared" si="11"/>
        <v>0.41167457669662766</v>
      </c>
      <c r="AI185" s="6" t="str">
        <f>VLOOKUP(AB185,'ABC расчет'!AC:AC,1,0)</f>
        <v>ARIZONA</v>
      </c>
      <c r="AJ185" s="6"/>
      <c r="AK185" s="6"/>
      <c r="AL185" s="6"/>
    </row>
    <row r="186" spans="1:38" x14ac:dyDescent="0.3">
      <c r="A186" s="3" t="s">
        <v>313</v>
      </c>
      <c r="B186" s="1">
        <v>4</v>
      </c>
      <c r="C186" s="1">
        <v>7833.0594000000001</v>
      </c>
      <c r="D186" s="8">
        <v>9.4533469478453805E-5</v>
      </c>
      <c r="E186" s="1">
        <v>3116.2148813572612</v>
      </c>
      <c r="F186" s="1"/>
      <c r="G186" s="1"/>
      <c r="I186" s="1"/>
      <c r="J186" s="3" t="s">
        <v>465</v>
      </c>
      <c r="K186" s="1">
        <v>595.5</v>
      </c>
      <c r="L186" s="1">
        <v>79201.5</v>
      </c>
      <c r="M186" s="8">
        <v>5.4687528756930306E-4</v>
      </c>
      <c r="N186" s="1">
        <v>21685.365961471052</v>
      </c>
      <c r="O186" s="6">
        <f t="shared" si="8"/>
        <v>1</v>
      </c>
      <c r="P186" s="6"/>
      <c r="Q186" s="6"/>
      <c r="R186" s="41"/>
      <c r="S186" s="3" t="s">
        <v>155</v>
      </c>
      <c r="T186" s="1">
        <v>23</v>
      </c>
      <c r="U186" s="1">
        <v>108217.56000000003</v>
      </c>
      <c r="V186" s="8">
        <v>6.5915860860411304E-4</v>
      </c>
      <c r="W186" s="1">
        <v>48773.949370659022</v>
      </c>
      <c r="X186" s="6">
        <f t="shared" si="9"/>
        <v>0.35345244720888469</v>
      </c>
      <c r="Y186" s="6"/>
      <c r="Z186" s="41"/>
      <c r="AA186" s="41"/>
      <c r="AB186" s="3" t="s">
        <v>300</v>
      </c>
      <c r="AC186" s="1">
        <v>17</v>
      </c>
      <c r="AD186" s="1">
        <v>91475</v>
      </c>
      <c r="AE186" s="8">
        <v>5.9446832827318144E-4</v>
      </c>
      <c r="AF186" s="1">
        <v>48135.521748463878</v>
      </c>
      <c r="AG186" s="6">
        <f t="shared" si="10"/>
        <v>-9.0930400290912372E-2</v>
      </c>
      <c r="AH186" s="6">
        <f t="shared" si="11"/>
        <v>1</v>
      </c>
      <c r="AI186" s="6" t="str">
        <f>VLOOKUP(AB186,'ABC расчет'!AC:AC,1,0)</f>
        <v>Флекс</v>
      </c>
      <c r="AJ186" s="6"/>
      <c r="AK186" s="6"/>
      <c r="AL186" s="6"/>
    </row>
    <row r="187" spans="1:38" x14ac:dyDescent="0.3">
      <c r="A187" s="3" t="s">
        <v>314</v>
      </c>
      <c r="B187" s="1">
        <v>4</v>
      </c>
      <c r="C187" s="1">
        <v>7552.0857999999998</v>
      </c>
      <c r="D187" s="8">
        <v>9.1142532695840959E-5</v>
      </c>
      <c r="E187" s="1">
        <v>3191.3071999284693</v>
      </c>
      <c r="F187" s="1"/>
      <c r="G187" s="1"/>
      <c r="I187" s="1"/>
      <c r="J187" s="3" t="s">
        <v>234</v>
      </c>
      <c r="K187" s="1">
        <v>192</v>
      </c>
      <c r="L187" s="1">
        <v>77753</v>
      </c>
      <c r="M187" s="8">
        <v>5.368735975249966E-4</v>
      </c>
      <c r="N187" s="1">
        <v>31311.212597646496</v>
      </c>
      <c r="O187" s="6">
        <f t="shared" si="8"/>
        <v>3.5190661010650306</v>
      </c>
      <c r="P187" s="6"/>
      <c r="Q187" s="6"/>
      <c r="R187" s="41"/>
      <c r="S187" s="3" t="s">
        <v>463</v>
      </c>
      <c r="T187" s="1">
        <v>852.09999999999991</v>
      </c>
      <c r="U187" s="1">
        <v>106515.9</v>
      </c>
      <c r="V187" s="8">
        <v>6.4879371183581322E-4</v>
      </c>
      <c r="W187" s="1">
        <v>27006.333210241628</v>
      </c>
      <c r="X187" s="6">
        <f t="shared" si="9"/>
        <v>-0.3002014873741905</v>
      </c>
      <c r="Y187" s="6"/>
      <c r="Z187" s="41"/>
      <c r="AA187" s="41"/>
      <c r="AB187" s="3" t="s">
        <v>468</v>
      </c>
      <c r="AC187" s="1">
        <v>12</v>
      </c>
      <c r="AD187" s="1">
        <v>88920</v>
      </c>
      <c r="AE187" s="8">
        <v>5.7786415687402341E-4</v>
      </c>
      <c r="AF187" s="1">
        <v>53095.4903523467</v>
      </c>
      <c r="AG187" s="6">
        <f t="shared" si="10"/>
        <v>1</v>
      </c>
      <c r="AH187" s="6">
        <f t="shared" si="11"/>
        <v>1</v>
      </c>
      <c r="AI187" s="6" t="e">
        <f>VLOOKUP(AB187,'ABC расчет'!AC:AC,1,0)</f>
        <v>#N/A</v>
      </c>
      <c r="AJ187" s="6"/>
      <c r="AK187" s="6"/>
      <c r="AL187" s="6"/>
    </row>
    <row r="188" spans="1:38" x14ac:dyDescent="0.3">
      <c r="A188" s="3" t="s">
        <v>28</v>
      </c>
      <c r="B188" s="1">
        <v>2</v>
      </c>
      <c r="C188" s="1">
        <v>7376.4687000000004</v>
      </c>
      <c r="D188" s="8">
        <v>8.9023093417397019E-5</v>
      </c>
      <c r="E188" s="1">
        <v>3646.6371108608705</v>
      </c>
      <c r="F188" s="1"/>
      <c r="G188" s="1"/>
      <c r="I188" s="1"/>
      <c r="J188" s="3" t="s">
        <v>46</v>
      </c>
      <c r="K188" s="1">
        <v>6</v>
      </c>
      <c r="L188" s="1">
        <v>77316.25</v>
      </c>
      <c r="M188" s="8">
        <v>5.338578998191969E-4</v>
      </c>
      <c r="N188" s="1">
        <v>42233.634014126757</v>
      </c>
      <c r="O188" s="6">
        <f t="shared" si="8"/>
        <v>-0.73006903218099617</v>
      </c>
      <c r="P188" s="6"/>
      <c r="Q188" s="6"/>
      <c r="R188" s="41"/>
      <c r="S188" s="3" t="s">
        <v>221</v>
      </c>
      <c r="T188" s="1">
        <v>120</v>
      </c>
      <c r="U188" s="1">
        <v>106362.3</v>
      </c>
      <c r="V188" s="8">
        <v>6.4785812649937062E-4</v>
      </c>
      <c r="W188" s="1">
        <v>56206.400014609608</v>
      </c>
      <c r="X188" s="6">
        <f t="shared" si="9"/>
        <v>-0.75725091639673936</v>
      </c>
      <c r="Y188" s="6"/>
      <c r="Z188" s="41"/>
      <c r="AA188" s="41"/>
      <c r="AB188" s="3" t="s">
        <v>184</v>
      </c>
      <c r="AC188" s="1">
        <v>55</v>
      </c>
      <c r="AD188" s="1">
        <v>81095</v>
      </c>
      <c r="AE188" s="8">
        <v>5.2701185112122057E-4</v>
      </c>
      <c r="AF188" s="1">
        <v>30352.019239850415</v>
      </c>
      <c r="AG188" s="6">
        <f t="shared" si="10"/>
        <v>1</v>
      </c>
      <c r="AH188" s="6">
        <f t="shared" si="11"/>
        <v>1</v>
      </c>
      <c r="AI188" s="6" t="str">
        <f>VLOOKUP(AB188,'ABC расчет'!AC:AC,1,0)</f>
        <v>RAY</v>
      </c>
      <c r="AJ188" s="6"/>
      <c r="AK188" s="6"/>
      <c r="AL188" s="6"/>
    </row>
    <row r="189" spans="1:38" x14ac:dyDescent="0.3">
      <c r="A189" s="3" t="s">
        <v>65</v>
      </c>
      <c r="B189" s="1">
        <v>2</v>
      </c>
      <c r="C189" s="1">
        <v>6727.6338999999998</v>
      </c>
      <c r="D189" s="8">
        <v>8.1192614720611102E-5</v>
      </c>
      <c r="E189" s="1">
        <v>3099.5467269201772</v>
      </c>
      <c r="F189" s="1"/>
      <c r="G189" s="1"/>
      <c r="I189" s="1"/>
      <c r="J189" s="3" t="s">
        <v>183</v>
      </c>
      <c r="K189" s="1">
        <v>29</v>
      </c>
      <c r="L189" s="1">
        <v>76589.600000000006</v>
      </c>
      <c r="M189" s="8">
        <v>5.2884048313248989E-4</v>
      </c>
      <c r="N189" s="1">
        <v>33687.260239281604</v>
      </c>
      <c r="O189" s="6">
        <f t="shared" si="8"/>
        <v>2.3679203755024116</v>
      </c>
      <c r="P189" s="6"/>
      <c r="Q189" s="6"/>
      <c r="R189" s="41"/>
      <c r="S189" s="3" t="s">
        <v>151</v>
      </c>
      <c r="T189" s="1">
        <v>49</v>
      </c>
      <c r="U189" s="1">
        <v>101634.8</v>
      </c>
      <c r="V189" s="8">
        <v>6.190626858871822E-4</v>
      </c>
      <c r="W189" s="1">
        <v>42585.170795771584</v>
      </c>
      <c r="X189" s="6">
        <f t="shared" si="9"/>
        <v>0.7035172143990045</v>
      </c>
      <c r="Y189" s="6"/>
      <c r="Z189" s="41"/>
      <c r="AA189" s="41"/>
      <c r="AB189" s="3" t="s">
        <v>223</v>
      </c>
      <c r="AC189" s="1">
        <v>114</v>
      </c>
      <c r="AD189" s="1">
        <v>79458</v>
      </c>
      <c r="AE189" s="8">
        <v>5.1637348377076193E-4</v>
      </c>
      <c r="AF189" s="1">
        <v>12661.300574051487</v>
      </c>
      <c r="AG189" s="6">
        <f t="shared" si="10"/>
        <v>-0.74134414717691977</v>
      </c>
      <c r="AH189" s="6">
        <f t="shared" si="11"/>
        <v>0.62555190614100664</v>
      </c>
      <c r="AI189" s="6" t="str">
        <f>VLOOKUP(AB189,'ABC расчет'!AC:AC,1,0)</f>
        <v>СТУЛ УЧЕН. E-266</v>
      </c>
      <c r="AJ189" s="6"/>
      <c r="AK189" s="6"/>
      <c r="AL189" s="6"/>
    </row>
    <row r="190" spans="1:38" x14ac:dyDescent="0.3">
      <c r="A190" s="3" t="s">
        <v>192</v>
      </c>
      <c r="B190" s="1">
        <v>2</v>
      </c>
      <c r="C190" s="1">
        <v>6491.1154999999999</v>
      </c>
      <c r="D190" s="8">
        <v>7.8338186609483435E-5</v>
      </c>
      <c r="E190" s="1">
        <v>2821.736947829841</v>
      </c>
      <c r="F190" s="1"/>
      <c r="G190" s="1"/>
      <c r="I190" s="1"/>
      <c r="J190" s="3" t="s">
        <v>112</v>
      </c>
      <c r="K190" s="1">
        <v>72</v>
      </c>
      <c r="L190" s="1">
        <v>75949.399999999994</v>
      </c>
      <c r="M190" s="8">
        <v>5.2441999161273488E-4</v>
      </c>
      <c r="N190" s="1">
        <v>40864.652959365289</v>
      </c>
      <c r="O190" s="6">
        <f t="shared" si="8"/>
        <v>21.912525447869186</v>
      </c>
      <c r="P190" s="6"/>
      <c r="Q190" s="6"/>
      <c r="R190" s="41"/>
      <c r="S190" s="3" t="s">
        <v>59</v>
      </c>
      <c r="T190" s="1">
        <v>78</v>
      </c>
      <c r="U190" s="1">
        <v>100460.798</v>
      </c>
      <c r="V190" s="8">
        <v>6.119117805736781E-4</v>
      </c>
      <c r="W190" s="1">
        <v>41705.85745039535</v>
      </c>
      <c r="X190" s="6">
        <f t="shared" si="9"/>
        <v>-0.22908323096237904</v>
      </c>
      <c r="Y190" s="6"/>
      <c r="Z190" s="41"/>
      <c r="AA190" s="41"/>
      <c r="AB190" s="3" t="s">
        <v>341</v>
      </c>
      <c r="AC190" s="1">
        <v>24</v>
      </c>
      <c r="AD190" s="1">
        <v>79063.5</v>
      </c>
      <c r="AE190" s="8">
        <v>5.138097477171542E-4</v>
      </c>
      <c r="AF190" s="1">
        <v>32811.944131586642</v>
      </c>
      <c r="AG190" s="6">
        <f t="shared" si="10"/>
        <v>-0.25338981660899229</v>
      </c>
      <c r="AH190" s="6">
        <f t="shared" si="11"/>
        <v>1</v>
      </c>
      <c r="AI190" s="6" t="str">
        <f>VLOOKUP(AB190,'ABC расчет'!AC:AC,1,0)</f>
        <v>DASTER GTP</v>
      </c>
      <c r="AJ190" s="6"/>
      <c r="AK190" s="6"/>
      <c r="AL190" s="6"/>
    </row>
    <row r="191" spans="1:38" x14ac:dyDescent="0.3">
      <c r="A191" s="3" t="s">
        <v>90</v>
      </c>
      <c r="B191" s="1">
        <v>4</v>
      </c>
      <c r="C191" s="1">
        <v>6206.0105999999996</v>
      </c>
      <c r="D191" s="8">
        <v>7.4897391131498471E-5</v>
      </c>
      <c r="E191" s="1">
        <v>3107.973005167099</v>
      </c>
      <c r="F191" s="1"/>
      <c r="G191" s="1"/>
      <c r="I191" s="1"/>
      <c r="J191" s="3" t="s">
        <v>152</v>
      </c>
      <c r="K191" s="1">
        <v>43</v>
      </c>
      <c r="L191" s="1">
        <v>74820.25</v>
      </c>
      <c r="M191" s="8">
        <v>5.1662336868313287E-4</v>
      </c>
      <c r="N191" s="1">
        <v>35392.194730550138</v>
      </c>
      <c r="O191" s="6">
        <f t="shared" si="8"/>
        <v>0.84745618769758813</v>
      </c>
      <c r="P191" s="6"/>
      <c r="Q191" s="6"/>
      <c r="R191" s="41"/>
      <c r="S191" s="3" t="s">
        <v>465</v>
      </c>
      <c r="T191" s="1">
        <v>746.1</v>
      </c>
      <c r="U191" s="1">
        <v>97858.13</v>
      </c>
      <c r="V191" s="8">
        <v>5.9605879869589003E-4</v>
      </c>
      <c r="W191" s="1">
        <v>22597.215769585586</v>
      </c>
      <c r="X191" s="6">
        <f t="shared" si="9"/>
        <v>4.2049085532364971E-2</v>
      </c>
      <c r="Y191" s="6"/>
      <c r="Z191" s="41"/>
      <c r="AA191" s="41"/>
      <c r="AB191" s="3" t="s">
        <v>109</v>
      </c>
      <c r="AC191" s="1">
        <v>73</v>
      </c>
      <c r="AD191" s="1">
        <v>75910.100000000006</v>
      </c>
      <c r="AE191" s="8">
        <v>4.9331675590106629E-4</v>
      </c>
      <c r="AF191" s="1">
        <v>33017.867140341536</v>
      </c>
      <c r="AG191" s="6">
        <f t="shared" si="10"/>
        <v>-1.0333294710993646E-2</v>
      </c>
      <c r="AH191" s="6">
        <f t="shared" si="11"/>
        <v>1</v>
      </c>
      <c r="AI191" s="6" t="str">
        <f>VLOOKUP(AB191,'ABC расчет'!AC:AC,1,0)</f>
        <v>ROZANA</v>
      </c>
      <c r="AJ191" s="6"/>
      <c r="AK191" s="6"/>
      <c r="AL191" s="6"/>
    </row>
    <row r="192" spans="1:38" x14ac:dyDescent="0.3">
      <c r="A192" s="3" t="s">
        <v>201</v>
      </c>
      <c r="B192" s="1">
        <v>3</v>
      </c>
      <c r="C192" s="1">
        <v>6063.4930999999997</v>
      </c>
      <c r="D192" s="8">
        <v>7.3177415187438162E-5</v>
      </c>
      <c r="E192" s="1">
        <v>1821.7439626679291</v>
      </c>
      <c r="F192" s="1"/>
      <c r="G192" s="1"/>
      <c r="I192" s="1"/>
      <c r="J192" s="3" t="s">
        <v>277</v>
      </c>
      <c r="K192" s="1">
        <v>23</v>
      </c>
      <c r="L192" s="1">
        <v>73688.759999999995</v>
      </c>
      <c r="M192" s="8">
        <v>5.0881058838059062E-4</v>
      </c>
      <c r="N192" s="1">
        <v>18647.368788548218</v>
      </c>
      <c r="O192" s="6">
        <f t="shared" si="8"/>
        <v>1</v>
      </c>
      <c r="P192" s="6"/>
      <c r="Q192" s="6"/>
      <c r="R192" s="41"/>
      <c r="S192" s="3" t="s">
        <v>467</v>
      </c>
      <c r="T192" s="1">
        <v>24</v>
      </c>
      <c r="U192" s="1">
        <v>96936.5</v>
      </c>
      <c r="V192" s="8">
        <v>5.9044510394572365E-4</v>
      </c>
      <c r="W192" s="1">
        <v>42077.259262191736</v>
      </c>
      <c r="X192" s="6">
        <f t="shared" si="9"/>
        <v>0.54104086114605909</v>
      </c>
      <c r="Y192" s="6"/>
      <c r="Z192" s="41"/>
      <c r="AA192" s="41"/>
      <c r="AB192" s="3" t="s">
        <v>79</v>
      </c>
      <c r="AC192" s="1">
        <v>15</v>
      </c>
      <c r="AD192" s="1">
        <v>75097.399999999994</v>
      </c>
      <c r="AE192" s="8">
        <v>4.8803526466971756E-4</v>
      </c>
      <c r="AF192" s="1">
        <v>34972.764047413795</v>
      </c>
      <c r="AG192" s="6">
        <f t="shared" si="10"/>
        <v>-0.7689824500769904</v>
      </c>
      <c r="AH192" s="6">
        <f t="shared" si="11"/>
        <v>-5.8826400155641445E-2</v>
      </c>
      <c r="AI192" s="6" t="str">
        <f>VLOOKUP(AB192,'ABC расчет'!AC:AC,1,0)</f>
        <v>RIGA</v>
      </c>
      <c r="AJ192" s="6"/>
      <c r="AK192" s="6"/>
      <c r="AL192" s="6"/>
    </row>
    <row r="193" spans="1:38" x14ac:dyDescent="0.3">
      <c r="A193" s="3" t="s">
        <v>286</v>
      </c>
      <c r="B193" s="1">
        <v>10</v>
      </c>
      <c r="C193" s="1">
        <v>5825.1278999999995</v>
      </c>
      <c r="D193" s="8">
        <v>7.0300698925216843E-5</v>
      </c>
      <c r="E193" s="1">
        <v>2594.5485738496018</v>
      </c>
      <c r="F193" s="1"/>
      <c r="G193" s="1"/>
      <c r="I193" s="1"/>
      <c r="J193" s="3" t="s">
        <v>466</v>
      </c>
      <c r="K193" s="1">
        <v>28</v>
      </c>
      <c r="L193" s="1">
        <v>70469</v>
      </c>
      <c r="M193" s="8">
        <v>4.8657859560388651E-4</v>
      </c>
      <c r="N193" s="1">
        <v>34585.361175479571</v>
      </c>
      <c r="O193" s="6">
        <f t="shared" si="8"/>
        <v>1</v>
      </c>
      <c r="P193" s="6"/>
      <c r="Q193" s="6"/>
      <c r="R193" s="41"/>
      <c r="S193" s="3" t="s">
        <v>159</v>
      </c>
      <c r="T193" s="1">
        <v>13</v>
      </c>
      <c r="U193" s="1">
        <v>90932.4</v>
      </c>
      <c r="V193" s="8">
        <v>5.5387382843442997E-4</v>
      </c>
      <c r="W193" s="1">
        <v>24225.858028514918</v>
      </c>
      <c r="X193" s="6">
        <f t="shared" si="9"/>
        <v>0.47706420990616905</v>
      </c>
      <c r="Y193" s="6"/>
      <c r="Z193" s="41"/>
      <c r="AA193" s="41"/>
      <c r="AB193" s="3" t="s">
        <v>222</v>
      </c>
      <c r="AC193" s="1">
        <v>93</v>
      </c>
      <c r="AD193" s="1">
        <v>74180.5</v>
      </c>
      <c r="AE193" s="8">
        <v>4.8207660918796105E-4</v>
      </c>
      <c r="AF193" s="1">
        <v>28563.512632904254</v>
      </c>
      <c r="AG193" s="6">
        <f t="shared" si="10"/>
        <v>-0.54568273269373413</v>
      </c>
      <c r="AH193" s="6">
        <f t="shared" si="11"/>
        <v>-0.93718464881434627</v>
      </c>
      <c r="AI193" s="6" t="str">
        <f>VLOOKUP(AB193,'ABC расчет'!AC:AC,1,0)</f>
        <v>СТУЛ УЧЕН. E-263</v>
      </c>
      <c r="AJ193" s="6"/>
      <c r="AK193" s="6"/>
      <c r="AL193" s="6"/>
    </row>
    <row r="194" spans="1:38" x14ac:dyDescent="0.3">
      <c r="A194" s="3" t="s">
        <v>128</v>
      </c>
      <c r="B194" s="1">
        <v>1</v>
      </c>
      <c r="C194" s="1">
        <v>5619.3697000000002</v>
      </c>
      <c r="D194" s="8">
        <v>6.7817501042197916E-5</v>
      </c>
      <c r="E194" s="1">
        <v>3027.4077974565907</v>
      </c>
      <c r="F194" s="1"/>
      <c r="G194" s="1"/>
      <c r="I194" s="1"/>
      <c r="J194" s="3" t="s">
        <v>28</v>
      </c>
      <c r="K194" s="1">
        <v>17</v>
      </c>
      <c r="L194" s="1">
        <v>68395.399999999994</v>
      </c>
      <c r="M194" s="8">
        <v>4.7226067742931014E-4</v>
      </c>
      <c r="N194" s="1">
        <v>27065.384519012401</v>
      </c>
      <c r="O194" s="6">
        <f t="shared" si="8"/>
        <v>6.4220120336084143</v>
      </c>
      <c r="P194" s="6"/>
      <c r="Q194" s="6"/>
      <c r="R194" s="41"/>
      <c r="S194" s="3" t="s">
        <v>213</v>
      </c>
      <c r="T194" s="1">
        <v>469</v>
      </c>
      <c r="U194" s="1">
        <v>90872.799999999988</v>
      </c>
      <c r="V194" s="8">
        <v>5.5351080183252898E-4</v>
      </c>
      <c r="W194" s="1">
        <v>41252.884935347436</v>
      </c>
      <c r="X194" s="6">
        <f t="shared" si="9"/>
        <v>-0.20074046344218865</v>
      </c>
      <c r="Y194" s="6"/>
      <c r="Z194" s="41"/>
      <c r="AA194" s="41"/>
      <c r="AB194" s="3" t="s">
        <v>197</v>
      </c>
      <c r="AC194" s="1">
        <v>15</v>
      </c>
      <c r="AD194" s="1">
        <v>73412.5</v>
      </c>
      <c r="AE194" s="8">
        <v>4.7708560972238242E-4</v>
      </c>
      <c r="AF194" s="1">
        <v>36828.656858981645</v>
      </c>
      <c r="AG194" s="6">
        <f t="shared" si="10"/>
        <v>5.7627077455066011E-2</v>
      </c>
      <c r="AH194" s="6">
        <f t="shared" si="11"/>
        <v>8.596081754785839</v>
      </c>
      <c r="AI194" s="6" t="str">
        <f>VLOOKUP(AB194,'ABC расчет'!AC:AC,1,0)</f>
        <v>WAIT GTP</v>
      </c>
      <c r="AJ194" s="6"/>
      <c r="AK194" s="6"/>
      <c r="AL194" s="6"/>
    </row>
    <row r="195" spans="1:38" x14ac:dyDescent="0.3">
      <c r="A195" s="3" t="s">
        <v>21</v>
      </c>
      <c r="B195" s="1">
        <v>2</v>
      </c>
      <c r="C195" s="1">
        <v>5419.0227000000004</v>
      </c>
      <c r="D195" s="8">
        <v>6.5399608359091254E-5</v>
      </c>
      <c r="E195" s="1">
        <v>2732.3261381089583</v>
      </c>
      <c r="F195" s="1"/>
      <c r="G195" s="1"/>
      <c r="I195" s="1"/>
      <c r="J195" s="3" t="s">
        <v>293</v>
      </c>
      <c r="K195" s="1">
        <v>80</v>
      </c>
      <c r="L195" s="1">
        <v>67680</v>
      </c>
      <c r="M195" s="8">
        <v>4.6732094042019947E-4</v>
      </c>
      <c r="N195" s="1">
        <v>25569.458117986971</v>
      </c>
      <c r="O195" s="6">
        <f t="shared" si="8"/>
        <v>1</v>
      </c>
      <c r="P195" s="6"/>
      <c r="Q195" s="6"/>
      <c r="R195" s="41"/>
      <c r="S195" s="3" t="s">
        <v>168</v>
      </c>
      <c r="T195" s="1">
        <v>46</v>
      </c>
      <c r="U195" s="1">
        <v>84762.6</v>
      </c>
      <c r="V195" s="8">
        <v>5.1629326587724744E-4</v>
      </c>
      <c r="W195" s="1">
        <v>24203.114923582223</v>
      </c>
      <c r="X195" s="6">
        <f t="shared" si="9"/>
        <v>0.18710124323858279</v>
      </c>
      <c r="Y195" s="6"/>
      <c r="Z195" s="41"/>
      <c r="AA195" s="41"/>
      <c r="AB195" s="3" t="s">
        <v>68</v>
      </c>
      <c r="AC195" s="1">
        <v>13</v>
      </c>
      <c r="AD195" s="1">
        <v>69805.850000000006</v>
      </c>
      <c r="AE195" s="8">
        <v>4.5364708339096438E-4</v>
      </c>
      <c r="AF195" s="1">
        <v>29633.330385603349</v>
      </c>
      <c r="AG195" s="6">
        <f t="shared" si="10"/>
        <v>-0.70889088668478051</v>
      </c>
      <c r="AH195" s="6">
        <f t="shared" si="11"/>
        <v>-0.89443360224484081</v>
      </c>
      <c r="AI195" s="6" t="str">
        <f>VLOOKUP(AB195,'ABC расчет'!AC:AC,1,0)</f>
        <v>NADIR</v>
      </c>
      <c r="AJ195" s="6"/>
      <c r="AK195" s="6"/>
      <c r="AL195" s="6"/>
    </row>
    <row r="196" spans="1:38" x14ac:dyDescent="0.3">
      <c r="A196" s="3" t="s">
        <v>82</v>
      </c>
      <c r="B196" s="1">
        <v>2</v>
      </c>
      <c r="C196" s="1">
        <v>4923.3993</v>
      </c>
      <c r="D196" s="8">
        <v>5.9418165200788703E-5</v>
      </c>
      <c r="E196" s="1">
        <v>2359.2047681839485</v>
      </c>
      <c r="F196" s="1"/>
      <c r="G196" s="1"/>
      <c r="I196" s="1"/>
      <c r="J196" s="3" t="s">
        <v>205</v>
      </c>
      <c r="K196" s="1">
        <v>134</v>
      </c>
      <c r="L196" s="1">
        <v>67674.2</v>
      </c>
      <c r="M196" s="8">
        <v>4.6728089223086085E-4</v>
      </c>
      <c r="N196" s="1">
        <v>24419.217038379142</v>
      </c>
      <c r="O196" s="6">
        <f t="shared" si="8"/>
        <v>1</v>
      </c>
      <c r="P196" s="6"/>
      <c r="Q196" s="6"/>
      <c r="R196" s="41"/>
      <c r="S196" s="3" t="s">
        <v>341</v>
      </c>
      <c r="T196" s="1">
        <v>21</v>
      </c>
      <c r="U196" s="1">
        <v>83468.499999999985</v>
      </c>
      <c r="V196" s="8">
        <v>5.0841083759671155E-4</v>
      </c>
      <c r="W196" s="1">
        <v>43947.892570335702</v>
      </c>
      <c r="X196" s="6">
        <f t="shared" si="9"/>
        <v>5.2369821051088037</v>
      </c>
      <c r="Y196" s="6"/>
      <c r="Z196" s="41"/>
      <c r="AA196" s="41"/>
      <c r="AB196" s="3" t="s">
        <v>315</v>
      </c>
      <c r="AC196" s="1">
        <v>19</v>
      </c>
      <c r="AD196" s="1">
        <v>69128</v>
      </c>
      <c r="AE196" s="8">
        <v>4.4924194147984137E-4</v>
      </c>
      <c r="AF196" s="1">
        <v>26843.661907320726</v>
      </c>
      <c r="AG196" s="6">
        <f t="shared" si="10"/>
        <v>1</v>
      </c>
      <c r="AH196" s="6">
        <f t="shared" si="11"/>
        <v>0.40817453328737896</v>
      </c>
      <c r="AI196" s="6" t="str">
        <f>VLOOKUP(AB196,'ABC расчет'!AC:AC,1,0)</f>
        <v>BOSS KD</v>
      </c>
      <c r="AJ196" s="6"/>
      <c r="AK196" s="6"/>
      <c r="AL196" s="6"/>
    </row>
    <row r="197" spans="1:38" x14ac:dyDescent="0.3">
      <c r="A197" s="3" t="s">
        <v>29</v>
      </c>
      <c r="B197" s="1">
        <v>1</v>
      </c>
      <c r="C197" s="1">
        <v>4061.8926999999999</v>
      </c>
      <c r="D197" s="8">
        <v>4.9021051669824476E-5</v>
      </c>
      <c r="E197" s="1">
        <v>1608.3012974565904</v>
      </c>
      <c r="F197" s="1"/>
      <c r="G197" s="1"/>
      <c r="I197" s="1"/>
      <c r="J197" s="3" t="s">
        <v>160</v>
      </c>
      <c r="K197" s="1">
        <v>9</v>
      </c>
      <c r="L197" s="1">
        <v>66165</v>
      </c>
      <c r="M197" s="8">
        <v>4.568600771705452E-4</v>
      </c>
      <c r="N197" s="1">
        <v>18808.528415408789</v>
      </c>
      <c r="O197" s="6">
        <f t="shared" si="8"/>
        <v>1</v>
      </c>
      <c r="P197" s="6"/>
      <c r="Q197" s="6"/>
      <c r="R197" s="41"/>
      <c r="S197" s="3" t="s">
        <v>52</v>
      </c>
      <c r="T197" s="1">
        <v>35</v>
      </c>
      <c r="U197" s="1">
        <v>82800.399999999994</v>
      </c>
      <c r="V197" s="8">
        <v>5.0434140684620858E-4</v>
      </c>
      <c r="W197" s="1">
        <v>31114.47319696319</v>
      </c>
      <c r="X197" s="6">
        <f t="shared" si="9"/>
        <v>-0.38921843239548659</v>
      </c>
      <c r="Y197" s="6"/>
      <c r="Z197" s="41"/>
      <c r="AA197" s="41"/>
      <c r="AB197" s="3" t="s">
        <v>211</v>
      </c>
      <c r="AC197" s="1">
        <v>408</v>
      </c>
      <c r="AD197" s="1">
        <v>69061.799999999988</v>
      </c>
      <c r="AE197" s="8">
        <v>4.4881172772382393E-4</v>
      </c>
      <c r="AF197" s="1">
        <v>33316.509948390078</v>
      </c>
      <c r="AG197" s="6">
        <f t="shared" si="10"/>
        <v>-2.0863943288251363E-2</v>
      </c>
      <c r="AH197" s="6">
        <f t="shared" si="11"/>
        <v>1</v>
      </c>
      <c r="AI197" s="6" t="str">
        <f>VLOOKUP(AB197,'ABC расчет'!AC:AC,1,0)</f>
        <v>СИДЕНЬЕ D34</v>
      </c>
      <c r="AJ197" s="6"/>
      <c r="AK197" s="6"/>
      <c r="AL197" s="6"/>
    </row>
    <row r="198" spans="1:38" x14ac:dyDescent="0.3">
      <c r="A198" s="3" t="s">
        <v>138</v>
      </c>
      <c r="B198" s="1">
        <v>2</v>
      </c>
      <c r="C198" s="1">
        <v>3817.6219999999998</v>
      </c>
      <c r="D198" s="8">
        <v>4.6073064736017929E-5</v>
      </c>
      <c r="E198" s="1">
        <v>1791.501848728295</v>
      </c>
      <c r="F198" s="1"/>
      <c r="G198" s="1"/>
      <c r="I198" s="1"/>
      <c r="J198" s="3" t="s">
        <v>114</v>
      </c>
      <c r="K198" s="1">
        <v>56</v>
      </c>
      <c r="L198" s="1">
        <v>65811.399999999994</v>
      </c>
      <c r="M198" s="8">
        <v>4.5441851859293606E-4</v>
      </c>
      <c r="N198" s="1">
        <v>23168.917292955273</v>
      </c>
      <c r="O198" s="6">
        <f t="shared" si="8"/>
        <v>1</v>
      </c>
      <c r="P198" s="6"/>
      <c r="Q198" s="6"/>
      <c r="R198" s="41"/>
      <c r="S198" s="3" t="s">
        <v>266</v>
      </c>
      <c r="T198" s="1">
        <v>46</v>
      </c>
      <c r="U198" s="1">
        <v>81278.399999999994</v>
      </c>
      <c r="V198" s="8">
        <v>4.9507082818692758E-4</v>
      </c>
      <c r="W198" s="1">
        <v>27988.621452630101</v>
      </c>
      <c r="X198" s="6">
        <f t="shared" si="9"/>
        <v>0.72592202104770642</v>
      </c>
      <c r="Y198" s="6"/>
      <c r="Z198" s="41"/>
      <c r="AA198" s="41"/>
      <c r="AB198" s="3" t="s">
        <v>52</v>
      </c>
      <c r="AC198" s="1">
        <v>29</v>
      </c>
      <c r="AD198" s="1">
        <v>68507.25</v>
      </c>
      <c r="AE198" s="8">
        <v>4.4520787518002636E-4</v>
      </c>
      <c r="AF198" s="1">
        <v>26062.600096374204</v>
      </c>
      <c r="AG198" s="6">
        <f t="shared" si="10"/>
        <v>-0.16236408916870415</v>
      </c>
      <c r="AH198" s="6">
        <f t="shared" si="11"/>
        <v>-0.31862775199115778</v>
      </c>
      <c r="AI198" s="6" t="str">
        <f>VLOOKUP(AB198,'ABC расчет'!AC:AC,1,0)</f>
        <v>ISO GTP</v>
      </c>
      <c r="AJ198" s="6"/>
      <c r="AK198" s="6"/>
      <c r="AL198" s="6"/>
    </row>
    <row r="199" spans="1:38" x14ac:dyDescent="0.3">
      <c r="A199" s="3" t="s">
        <v>33</v>
      </c>
      <c r="B199" s="1">
        <v>1</v>
      </c>
      <c r="C199" s="1">
        <v>3790.864</v>
      </c>
      <c r="D199" s="8">
        <v>4.5750135156765094E-5</v>
      </c>
      <c r="E199" s="1">
        <v>2073.1858239149205</v>
      </c>
      <c r="F199" s="1"/>
      <c r="G199" s="1"/>
      <c r="I199" s="1"/>
      <c r="J199" s="3" t="s">
        <v>467</v>
      </c>
      <c r="K199" s="1">
        <v>18</v>
      </c>
      <c r="L199" s="1">
        <v>65025.5</v>
      </c>
      <c r="M199" s="8">
        <v>4.4899198893755439E-4</v>
      </c>
      <c r="N199" s="1">
        <v>27304.440993796383</v>
      </c>
      <c r="O199" s="6">
        <f t="shared" si="8"/>
        <v>1</v>
      </c>
      <c r="P199" s="6"/>
      <c r="Q199" s="6"/>
      <c r="R199" s="41"/>
      <c r="S199" s="3" t="s">
        <v>156</v>
      </c>
      <c r="T199" s="1">
        <v>21</v>
      </c>
      <c r="U199" s="1">
        <v>80630.950000000012</v>
      </c>
      <c r="V199" s="8">
        <v>4.9112717762651273E-4</v>
      </c>
      <c r="W199" s="1">
        <v>35392.082605646152</v>
      </c>
      <c r="X199" s="6">
        <f t="shared" si="9"/>
        <v>-0.72874155586888145</v>
      </c>
      <c r="Y199" s="6"/>
      <c r="Z199" s="41"/>
      <c r="AA199" s="41"/>
      <c r="AB199" s="3" t="s">
        <v>463</v>
      </c>
      <c r="AC199" s="1">
        <v>487.3</v>
      </c>
      <c r="AD199" s="1">
        <v>65298.2</v>
      </c>
      <c r="AE199" s="8">
        <v>4.2435323086360052E-4</v>
      </c>
      <c r="AF199" s="1">
        <v>21590.912842180769</v>
      </c>
      <c r="AG199" s="6">
        <f t="shared" si="10"/>
        <v>-0.20052408914243736</v>
      </c>
      <c r="AH199" s="6">
        <f t="shared" si="11"/>
        <v>1</v>
      </c>
      <c r="AI199" s="6" t="e">
        <f>VLOOKUP(AB199,'ABC расчет'!AC:AC,1,0)</f>
        <v>#N/A</v>
      </c>
      <c r="AJ199" s="6"/>
      <c r="AK199" s="6"/>
      <c r="AL199" s="6"/>
    </row>
    <row r="200" spans="1:38" x14ac:dyDescent="0.3">
      <c r="A200" s="3" t="s">
        <v>112</v>
      </c>
      <c r="B200" s="1">
        <v>4</v>
      </c>
      <c r="C200" s="1">
        <v>3656.6316999999999</v>
      </c>
      <c r="D200" s="8">
        <v>4.4130149352103295E-5</v>
      </c>
      <c r="E200" s="1">
        <v>1783.507149936002</v>
      </c>
      <c r="F200" s="1"/>
      <c r="G200" s="1"/>
      <c r="I200" s="1"/>
      <c r="J200" s="3" t="s">
        <v>100</v>
      </c>
      <c r="K200" s="1">
        <v>54</v>
      </c>
      <c r="L200" s="1">
        <v>63748.800000000003</v>
      </c>
      <c r="M200" s="8">
        <v>4.4017655388089858E-4</v>
      </c>
      <c r="N200" s="1">
        <v>27710.846549203514</v>
      </c>
      <c r="O200" s="6">
        <f t="shared" si="8"/>
        <v>29.953431093772817</v>
      </c>
      <c r="P200" s="6"/>
      <c r="Q200" s="6"/>
      <c r="R200" s="41"/>
      <c r="S200" s="3" t="s">
        <v>300</v>
      </c>
      <c r="T200" s="1">
        <v>15</v>
      </c>
      <c r="U200" s="1">
        <v>78209.98000000001</v>
      </c>
      <c r="V200" s="8">
        <v>4.7638092741839218E-4</v>
      </c>
      <c r="W200" s="1">
        <v>52950.315095640399</v>
      </c>
      <c r="X200" s="6">
        <f t="shared" si="9"/>
        <v>9.4392463557298036</v>
      </c>
      <c r="Y200" s="6"/>
      <c r="Z200" s="41"/>
      <c r="AA200" s="41"/>
      <c r="AB200" s="3" t="s">
        <v>224</v>
      </c>
      <c r="AC200" s="1">
        <v>55</v>
      </c>
      <c r="AD200" s="1">
        <v>65169.9</v>
      </c>
      <c r="AE200" s="8">
        <v>4.2351944801017119E-4</v>
      </c>
      <c r="AF200" s="1">
        <v>30299.147982429844</v>
      </c>
      <c r="AG200" s="6">
        <f t="shared" si="10"/>
        <v>0.71008135797569283</v>
      </c>
      <c r="AH200" s="6">
        <f t="shared" si="11"/>
        <v>0.95562819157643974</v>
      </c>
      <c r="AI200" s="6" t="str">
        <f>VLOOKUP(AB200,'ABC расчет'!AC:AC,1,0)</f>
        <v>СТУЛ УЧЕН. E-273</v>
      </c>
      <c r="AJ200" s="6"/>
      <c r="AK200" s="6"/>
      <c r="AL200" s="6"/>
    </row>
    <row r="201" spans="1:38" x14ac:dyDescent="0.3">
      <c r="A201" s="3" t="s">
        <v>284</v>
      </c>
      <c r="B201" s="1">
        <v>1</v>
      </c>
      <c r="C201" s="1">
        <v>3651.1087000000002</v>
      </c>
      <c r="D201" s="8">
        <v>4.4063494891149065E-5</v>
      </c>
      <c r="E201" s="1">
        <v>1379.1975476798727</v>
      </c>
      <c r="F201" s="1"/>
      <c r="G201" s="1"/>
      <c r="I201" s="1"/>
      <c r="J201" s="3" t="s">
        <v>222</v>
      </c>
      <c r="K201" s="1">
        <v>90</v>
      </c>
      <c r="L201" s="1">
        <v>61761</v>
      </c>
      <c r="M201" s="8">
        <v>4.2645107271412444E-4</v>
      </c>
      <c r="N201" s="1">
        <v>20802.64748401929</v>
      </c>
      <c r="O201" s="6">
        <f t="shared" si="8"/>
        <v>-0.95425192888234889</v>
      </c>
      <c r="P201" s="6"/>
      <c r="Q201" s="6"/>
      <c r="R201" s="41"/>
      <c r="S201" s="3" t="s">
        <v>109</v>
      </c>
      <c r="T201" s="1">
        <v>74</v>
      </c>
      <c r="U201" s="1">
        <v>77659.42</v>
      </c>
      <c r="V201" s="8">
        <v>4.7302743872808082E-4</v>
      </c>
      <c r="W201" s="1">
        <v>33362.612851262413</v>
      </c>
      <c r="X201" s="6">
        <f t="shared" si="9"/>
        <v>-0.35874531293324319</v>
      </c>
      <c r="Y201" s="6"/>
      <c r="Z201" s="41"/>
      <c r="AA201" s="41"/>
      <c r="AB201" s="3" t="s">
        <v>421</v>
      </c>
      <c r="AC201" s="1">
        <v>44</v>
      </c>
      <c r="AD201" s="1">
        <v>63520</v>
      </c>
      <c r="AE201" s="8">
        <v>4.1279724746556422E-4</v>
      </c>
      <c r="AF201" s="1">
        <v>18719.747841800825</v>
      </c>
      <c r="AG201" s="6">
        <f t="shared" si="10"/>
        <v>1</v>
      </c>
      <c r="AH201" s="6">
        <f t="shared" si="11"/>
        <v>1</v>
      </c>
      <c r="AI201" s="6" t="str">
        <f>VLOOKUP(AB201,'ABC расчет'!AC:AC,1,0)</f>
        <v>ALEX</v>
      </c>
      <c r="AJ201" s="6"/>
      <c r="AK201" s="6"/>
      <c r="AL201" s="6"/>
    </row>
    <row r="202" spans="1:38" x14ac:dyDescent="0.3">
      <c r="A202" s="3" t="s">
        <v>236</v>
      </c>
      <c r="B202" s="1">
        <v>3</v>
      </c>
      <c r="C202" s="1">
        <v>3650.5862999999999</v>
      </c>
      <c r="D202" s="8">
        <v>4.4057190293936948E-5</v>
      </c>
      <c r="E202" s="1">
        <v>1479.9313862763665</v>
      </c>
      <c r="F202" s="1"/>
      <c r="G202" s="1"/>
      <c r="I202" s="1"/>
      <c r="J202" s="3" t="s">
        <v>328</v>
      </c>
      <c r="K202" s="1">
        <v>21</v>
      </c>
      <c r="L202" s="1">
        <v>58516.6</v>
      </c>
      <c r="M202" s="8">
        <v>4.0404894418133338E-4</v>
      </c>
      <c r="N202" s="1">
        <v>21795.342262441998</v>
      </c>
      <c r="O202" s="6">
        <f t="shared" si="8"/>
        <v>-0.84027285615100944</v>
      </c>
      <c r="P202" s="6"/>
      <c r="Q202" s="6"/>
      <c r="R202" s="41"/>
      <c r="S202" s="3" t="s">
        <v>95</v>
      </c>
      <c r="T202" s="1">
        <v>154</v>
      </c>
      <c r="U202" s="1">
        <v>76896.960000000021</v>
      </c>
      <c r="V202" s="8">
        <v>4.6838325646490401E-4</v>
      </c>
      <c r="W202" s="1">
        <v>39258.367184184921</v>
      </c>
      <c r="X202" s="6">
        <f t="shared" si="9"/>
        <v>-0.14777404046647113</v>
      </c>
      <c r="Y202" s="6"/>
      <c r="Z202" s="41"/>
      <c r="AA202" s="41"/>
      <c r="AB202" s="3" t="s">
        <v>20</v>
      </c>
      <c r="AC202" s="1">
        <v>6</v>
      </c>
      <c r="AD202" s="1">
        <v>59448.2</v>
      </c>
      <c r="AE202" s="8">
        <v>3.8633585212188842E-4</v>
      </c>
      <c r="AF202" s="1">
        <v>25236.80527789161</v>
      </c>
      <c r="AG202" s="6">
        <f t="shared" si="10"/>
        <v>6.5261995220564417E-2</v>
      </c>
      <c r="AH202" s="6">
        <f t="shared" si="11"/>
        <v>1.7193460412184618</v>
      </c>
      <c r="AI202" s="6" t="str">
        <f>VLOOKUP(AB202,'ABC расчет'!AC:AC,1,0)</f>
        <v>CALIFORNIA</v>
      </c>
      <c r="AJ202" s="6"/>
      <c r="AK202" s="6"/>
      <c r="AL202" s="6"/>
    </row>
    <row r="203" spans="1:38" x14ac:dyDescent="0.3">
      <c r="A203" s="3" t="s">
        <v>165</v>
      </c>
      <c r="B203" s="1">
        <v>2</v>
      </c>
      <c r="C203" s="1">
        <v>3522.1668</v>
      </c>
      <c r="D203" s="8">
        <v>4.2507356408636875E-5</v>
      </c>
      <c r="E203" s="1">
        <v>1317.2750577438144</v>
      </c>
      <c r="F203" s="1"/>
      <c r="G203" s="1"/>
      <c r="I203" s="1"/>
      <c r="J203" s="3" t="s">
        <v>48</v>
      </c>
      <c r="K203" s="1">
        <v>15</v>
      </c>
      <c r="L203" s="1">
        <v>56214.1</v>
      </c>
      <c r="M203" s="8">
        <v>3.8815050349992814E-4</v>
      </c>
      <c r="N203" s="1">
        <v>28995.725927636904</v>
      </c>
      <c r="O203" s="6">
        <f t="shared" si="8"/>
        <v>-0.30808953394877026</v>
      </c>
      <c r="P203" s="6"/>
      <c r="Q203" s="6"/>
      <c r="R203" s="41"/>
      <c r="S203" s="3" t="s">
        <v>161</v>
      </c>
      <c r="T203" s="1">
        <v>70</v>
      </c>
      <c r="U203" s="1">
        <v>76343.649999999994</v>
      </c>
      <c r="V203" s="8">
        <v>4.6501301738608206E-4</v>
      </c>
      <c r="W203" s="1">
        <v>26443.634220139018</v>
      </c>
      <c r="X203" s="6">
        <f t="shared" si="9"/>
        <v>-0.54941437665788817</v>
      </c>
      <c r="Y203" s="6"/>
      <c r="Z203" s="41"/>
      <c r="AA203" s="41"/>
      <c r="AB203" s="3" t="s">
        <v>77</v>
      </c>
      <c r="AC203" s="1">
        <v>29</v>
      </c>
      <c r="AD203" s="1">
        <v>58279.25</v>
      </c>
      <c r="AE203" s="8">
        <v>3.787392000056279E-4</v>
      </c>
      <c r="AF203" s="1">
        <v>24442.020005367296</v>
      </c>
      <c r="AG203" s="6">
        <f t="shared" si="10"/>
        <v>3.6915442191592449</v>
      </c>
      <c r="AH203" s="6">
        <f t="shared" si="11"/>
        <v>1</v>
      </c>
      <c r="AI203" s="6" t="str">
        <f>VLOOKUP(AB203,'ABC расчет'!AC:AC,1,0)</f>
        <v>RALPH</v>
      </c>
      <c r="AJ203" s="6"/>
      <c r="AK203" s="6"/>
      <c r="AL203" s="6"/>
    </row>
    <row r="204" spans="1:38" x14ac:dyDescent="0.3">
      <c r="A204" s="3" t="s">
        <v>229</v>
      </c>
      <c r="B204" s="1">
        <v>2</v>
      </c>
      <c r="C204" s="1">
        <v>3092.4</v>
      </c>
      <c r="D204" s="8">
        <v>3.7320705242599151E-5</v>
      </c>
      <c r="E204" s="1">
        <v>789.37349738554826</v>
      </c>
      <c r="F204" s="1"/>
      <c r="G204" s="1"/>
      <c r="I204" s="1"/>
      <c r="J204" s="3" t="s">
        <v>199</v>
      </c>
      <c r="K204" s="1">
        <v>18</v>
      </c>
      <c r="L204" s="1">
        <v>54709.8</v>
      </c>
      <c r="M204" s="8">
        <v>3.7776352225474339E-4</v>
      </c>
      <c r="N204" s="1">
        <v>23319.994649956287</v>
      </c>
      <c r="O204" s="6">
        <f t="shared" si="8"/>
        <v>1</v>
      </c>
      <c r="P204" s="6"/>
      <c r="Q204" s="6"/>
      <c r="R204" s="41"/>
      <c r="S204" s="3" t="s">
        <v>34</v>
      </c>
      <c r="T204" s="1">
        <v>19</v>
      </c>
      <c r="U204" s="1">
        <v>74355.7</v>
      </c>
      <c r="V204" s="8">
        <v>4.5290431380808099E-4</v>
      </c>
      <c r="W204" s="1">
        <v>30246.582038352168</v>
      </c>
      <c r="X204" s="6">
        <f t="shared" si="9"/>
        <v>1</v>
      </c>
      <c r="Y204" s="6"/>
      <c r="Z204" s="41"/>
      <c r="AA204" s="41"/>
      <c r="AB204" s="3" t="s">
        <v>155</v>
      </c>
      <c r="AC204" s="1">
        <v>13</v>
      </c>
      <c r="AD204" s="1">
        <v>54857.75</v>
      </c>
      <c r="AE204" s="8">
        <v>3.5650390746464194E-4</v>
      </c>
      <c r="AF204" s="1">
        <v>23000.995943068385</v>
      </c>
      <c r="AG204" s="6">
        <f t="shared" si="10"/>
        <v>-0.52841637308736966</v>
      </c>
      <c r="AH204" s="6">
        <f t="shared" si="11"/>
        <v>0.79764025852944109</v>
      </c>
      <c r="AI204" s="6" t="e">
        <f>VLOOKUP(AB204,'ABC расчет'!AC:AC,1,0)</f>
        <v>#N/A</v>
      </c>
      <c r="AJ204" s="6"/>
    </row>
    <row r="205" spans="1:38" x14ac:dyDescent="0.3">
      <c r="A205" s="3" t="s">
        <v>100</v>
      </c>
      <c r="B205" s="1">
        <v>2</v>
      </c>
      <c r="C205" s="1">
        <v>2175.1091999999999</v>
      </c>
      <c r="D205" s="8">
        <v>2.6250358725800554E-5</v>
      </c>
      <c r="E205" s="1">
        <v>895.24313040625589</v>
      </c>
      <c r="F205" s="1"/>
      <c r="G205" s="1"/>
      <c r="I205" s="1"/>
      <c r="J205" s="3" t="s">
        <v>468</v>
      </c>
      <c r="K205" s="1">
        <v>8</v>
      </c>
      <c r="L205" s="1">
        <v>53056</v>
      </c>
      <c r="M205" s="8">
        <v>3.6634426440505471E-4</v>
      </c>
      <c r="N205" s="1">
        <v>27559.376445654965</v>
      </c>
      <c r="O205" s="6">
        <f t="shared" si="8"/>
        <v>1</v>
      </c>
      <c r="P205" s="6"/>
      <c r="Q205" s="6"/>
      <c r="R205" s="41"/>
      <c r="S205" s="3" t="s">
        <v>316</v>
      </c>
      <c r="T205" s="1">
        <v>128</v>
      </c>
      <c r="U205" s="1">
        <v>74234</v>
      </c>
      <c r="V205" s="8">
        <v>4.5216303297836055E-4</v>
      </c>
      <c r="W205" s="1">
        <v>4638.464680162384</v>
      </c>
      <c r="X205" s="6">
        <f t="shared" si="9"/>
        <v>-0.18773994441220476</v>
      </c>
      <c r="Y205" s="6"/>
      <c r="Z205" s="41"/>
      <c r="AA205" s="41"/>
      <c r="AB205" s="3" t="s">
        <v>183</v>
      </c>
      <c r="AC205" s="1">
        <v>22</v>
      </c>
      <c r="AD205" s="1">
        <v>54512.7</v>
      </c>
      <c r="AE205" s="8">
        <v>3.5426153198860299E-4</v>
      </c>
      <c r="AF205" s="1">
        <v>24883.543778833398</v>
      </c>
      <c r="AG205" s="6">
        <f t="shared" si="10"/>
        <v>0.45926511824593663</v>
      </c>
      <c r="AH205" s="6">
        <f t="shared" si="11"/>
        <v>1.4877592749355171</v>
      </c>
      <c r="AI205" s="6" t="str">
        <f>VLOOKUP(AB205,'ABC расчет'!AC:AC,1,0)</f>
        <v>RALPH HOKER</v>
      </c>
      <c r="AJ205" s="6"/>
    </row>
    <row r="206" spans="1:38" x14ac:dyDescent="0.3">
      <c r="F206" s="1"/>
      <c r="G206" s="1"/>
      <c r="I206" s="1"/>
      <c r="J206" s="3" t="s">
        <v>151</v>
      </c>
      <c r="K206" s="1">
        <v>26</v>
      </c>
      <c r="L206" s="1">
        <v>52932</v>
      </c>
      <c r="M206" s="8">
        <v>3.6548806173643613E-4</v>
      </c>
      <c r="N206" s="1">
        <v>24998.380078475166</v>
      </c>
      <c r="O206" s="6">
        <f t="shared" si="8"/>
        <v>1</v>
      </c>
      <c r="P206" s="6"/>
      <c r="Q206" s="6"/>
      <c r="R206" s="41"/>
      <c r="S206" s="3" t="s">
        <v>172</v>
      </c>
      <c r="T206" s="1">
        <v>30</v>
      </c>
      <c r="U206" s="1">
        <v>71891.899999999994</v>
      </c>
      <c r="V206" s="8">
        <v>4.3789718391272188E-4</v>
      </c>
      <c r="W206" s="1">
        <v>29856.227680647404</v>
      </c>
      <c r="X206" s="6">
        <f t="shared" si="9"/>
        <v>0.93944332947317588</v>
      </c>
      <c r="Y206" s="6"/>
      <c r="Z206" s="41"/>
      <c r="AA206" s="41"/>
      <c r="AB206" s="3" t="s">
        <v>307</v>
      </c>
      <c r="AC206" s="1">
        <v>34</v>
      </c>
      <c r="AD206" s="1">
        <v>53269.65</v>
      </c>
      <c r="AE206" s="8">
        <v>3.4618332640828074E-4</v>
      </c>
      <c r="AF206" s="1">
        <v>17555.028157898403</v>
      </c>
      <c r="AG206" s="6">
        <f t="shared" si="10"/>
        <v>-0.78084787377623988</v>
      </c>
      <c r="AH206" s="6">
        <f t="shared" si="11"/>
        <v>1</v>
      </c>
      <c r="AI206" s="6" t="str">
        <f>VLOOKUP(AB206,'ABC расчет'!AC:AC,1,0)</f>
        <v>ASTI GTS</v>
      </c>
      <c r="AJ206" s="6"/>
    </row>
    <row r="207" spans="1:38" x14ac:dyDescent="0.3">
      <c r="F207" s="1"/>
      <c r="G207" s="1"/>
      <c r="I207" s="1"/>
      <c r="J207" s="3" t="s">
        <v>233</v>
      </c>
      <c r="K207" s="1">
        <v>23</v>
      </c>
      <c r="L207" s="1">
        <v>52723.6</v>
      </c>
      <c r="M207" s="8">
        <v>3.6404908886433849E-4</v>
      </c>
      <c r="N207" s="1">
        <v>26409.356383560938</v>
      </c>
      <c r="O207" s="6">
        <f t="shared" si="8"/>
        <v>-0.64017850989414748</v>
      </c>
      <c r="P207" s="6"/>
      <c r="Q207" s="6"/>
      <c r="R207" s="41"/>
      <c r="S207" s="3" t="s">
        <v>197</v>
      </c>
      <c r="T207" s="1">
        <v>14</v>
      </c>
      <c r="U207" s="1">
        <v>70350</v>
      </c>
      <c r="V207" s="8">
        <v>4.2850539335112839E-4</v>
      </c>
      <c r="W207" s="1">
        <v>34821.96857856671</v>
      </c>
      <c r="X207" s="6">
        <f t="shared" si="9"/>
        <v>-0.50147663317822322</v>
      </c>
      <c r="Y207" s="6"/>
      <c r="Z207" s="41"/>
      <c r="AA207" s="41"/>
      <c r="AB207" s="3" t="s">
        <v>133</v>
      </c>
      <c r="AC207" s="1">
        <v>25</v>
      </c>
      <c r="AD207" s="1">
        <v>52880.299999999996</v>
      </c>
      <c r="AE207" s="8">
        <v>3.4365305864536008E-4</v>
      </c>
      <c r="AF207" s="1">
        <v>18905.819428768955</v>
      </c>
      <c r="AG207" s="6">
        <f t="shared" si="10"/>
        <v>1.4819123289703859</v>
      </c>
      <c r="AH207" s="6">
        <f t="shared" si="11"/>
        <v>1</v>
      </c>
      <c r="AI207" s="6" t="str">
        <f>VLOOKUP(AB207,'ABC расчет'!AC:AC,1,0)</f>
        <v>TRADE</v>
      </c>
      <c r="AJ207" s="6"/>
    </row>
    <row r="208" spans="1:38" x14ac:dyDescent="0.3">
      <c r="F208" s="1"/>
      <c r="G208" s="1"/>
      <c r="I208" s="1"/>
      <c r="J208" s="3" t="s">
        <v>138</v>
      </c>
      <c r="K208" s="1">
        <v>28</v>
      </c>
      <c r="L208" s="1">
        <v>51875.299999999996</v>
      </c>
      <c r="M208" s="8">
        <v>3.5819169593055515E-4</v>
      </c>
      <c r="N208" s="1">
        <v>19357.062350154694</v>
      </c>
      <c r="O208" s="6">
        <f t="shared" si="8"/>
        <v>9.8049357380766224</v>
      </c>
      <c r="P208" s="6"/>
      <c r="Q208" s="6"/>
      <c r="R208" s="41"/>
      <c r="S208" s="3" t="s">
        <v>127</v>
      </c>
      <c r="T208" s="1">
        <v>11</v>
      </c>
      <c r="U208" s="1">
        <v>69626.7</v>
      </c>
      <c r="V208" s="8">
        <v>4.2409973662034132E-4</v>
      </c>
      <c r="W208" s="1">
        <v>35725.671982967629</v>
      </c>
      <c r="X208" s="6">
        <f t="shared" si="9"/>
        <v>1</v>
      </c>
      <c r="Y208" s="6"/>
      <c r="Z208" s="41"/>
      <c r="AA208" s="41"/>
      <c r="AB208" s="3" t="s">
        <v>305</v>
      </c>
      <c r="AC208" s="1">
        <v>20</v>
      </c>
      <c r="AD208" s="1">
        <v>49401.899999999994</v>
      </c>
      <c r="AE208" s="8">
        <v>3.2104799023251028E-4</v>
      </c>
      <c r="AF208" s="1">
        <v>19728.649079908675</v>
      </c>
      <c r="AG208" s="6">
        <f t="shared" si="10"/>
        <v>-0.8301188001062334</v>
      </c>
      <c r="AH208" s="6">
        <f t="shared" si="11"/>
        <v>1</v>
      </c>
      <c r="AI208" s="6" t="str">
        <f>VLOOKUP(AB208,'ABC расчет'!AC:AC,1,0)</f>
        <v>FORM GTS</v>
      </c>
      <c r="AJ208" s="6"/>
    </row>
    <row r="209" spans="6:36" x14ac:dyDescent="0.3">
      <c r="F209" s="1"/>
      <c r="G209" s="1"/>
      <c r="I209" s="1"/>
      <c r="J209" s="3" t="s">
        <v>168</v>
      </c>
      <c r="K209" s="1">
        <v>25</v>
      </c>
      <c r="L209" s="1">
        <v>51797.5</v>
      </c>
      <c r="M209" s="8">
        <v>3.5765449780459936E-4</v>
      </c>
      <c r="N209" s="1">
        <v>20388.416793796499</v>
      </c>
      <c r="O209" s="6">
        <f t="shared" si="8"/>
        <v>1</v>
      </c>
      <c r="P209" s="6"/>
      <c r="Q209" s="6"/>
      <c r="R209" s="41"/>
      <c r="S209" s="3" t="s">
        <v>65</v>
      </c>
      <c r="T209" s="1">
        <v>12</v>
      </c>
      <c r="U209" s="1">
        <v>68718.399999999994</v>
      </c>
      <c r="V209" s="8">
        <v>4.1856723557157327E-4</v>
      </c>
      <c r="W209" s="1">
        <v>27274.737089564565</v>
      </c>
      <c r="X209" s="6">
        <f t="shared" si="9"/>
        <v>-0.50995166486101318</v>
      </c>
      <c r="Y209" s="6"/>
      <c r="Z209" s="41"/>
      <c r="AA209" s="41"/>
      <c r="AB209" s="3" t="s">
        <v>240</v>
      </c>
      <c r="AC209" s="1">
        <v>18</v>
      </c>
      <c r="AD209" s="1">
        <v>46096.35</v>
      </c>
      <c r="AE209" s="8">
        <v>2.9956622163427677E-4</v>
      </c>
      <c r="AF209" s="1">
        <v>22914.287895797719</v>
      </c>
      <c r="AG209" s="6">
        <f t="shared" si="10"/>
        <v>6.3167787406660167</v>
      </c>
      <c r="AH209" s="6">
        <f t="shared" si="11"/>
        <v>1</v>
      </c>
      <c r="AI209" s="6" t="str">
        <f>VLOOKUP(AB209,'ABC расчет'!AC:AC,1,0)</f>
        <v>FORWARD</v>
      </c>
      <c r="AJ209" s="6"/>
    </row>
    <row r="210" spans="6:36" x14ac:dyDescent="0.3">
      <c r="F210" s="1"/>
      <c r="G210" s="1"/>
      <c r="I210" s="1"/>
      <c r="J210" s="3" t="s">
        <v>21</v>
      </c>
      <c r="K210" s="1">
        <v>20</v>
      </c>
      <c r="L210" s="1">
        <v>50566</v>
      </c>
      <c r="M210" s="8">
        <v>3.4915116243037538E-4</v>
      </c>
      <c r="N210" s="1">
        <v>20818.526720880691</v>
      </c>
      <c r="O210" s="6">
        <f t="shared" si="8"/>
        <v>6.6193417873933544</v>
      </c>
      <c r="P210" s="6"/>
      <c r="Q210" s="6"/>
      <c r="R210" s="41"/>
      <c r="S210" s="3" t="s">
        <v>211</v>
      </c>
      <c r="T210" s="1">
        <v>396</v>
      </c>
      <c r="U210" s="1">
        <v>67082.200000000012</v>
      </c>
      <c r="V210" s="8">
        <v>4.0860105896032797E-4</v>
      </c>
      <c r="W210" s="1">
        <v>34026.435570432928</v>
      </c>
      <c r="X210" s="6">
        <f t="shared" si="9"/>
        <v>-0.18543382893368943</v>
      </c>
      <c r="Y210" s="6"/>
      <c r="Z210" s="41"/>
      <c r="AA210" s="41"/>
      <c r="AB210" s="3" t="s">
        <v>47</v>
      </c>
      <c r="AC210" s="1">
        <v>4</v>
      </c>
      <c r="AD210" s="1">
        <v>44658</v>
      </c>
      <c r="AE210" s="8">
        <v>2.902188204867312E-4</v>
      </c>
      <c r="AF210" s="1">
        <v>19371.997658827106</v>
      </c>
      <c r="AG210" s="6">
        <f t="shared" si="10"/>
        <v>1</v>
      </c>
      <c r="AH210" s="6">
        <f t="shared" si="11"/>
        <v>1</v>
      </c>
      <c r="AI210" s="6" t="str">
        <f>VLOOKUP(AB210,'ABC расчет'!AC:AC,1,0)</f>
        <v>INCANTO</v>
      </c>
      <c r="AJ210" s="6"/>
    </row>
    <row r="211" spans="6:36" x14ac:dyDescent="0.3">
      <c r="F211" s="1"/>
      <c r="G211" s="1"/>
      <c r="I211" s="1"/>
      <c r="J211" s="3" t="s">
        <v>159</v>
      </c>
      <c r="K211" s="1">
        <v>7</v>
      </c>
      <c r="L211" s="1">
        <v>49436.6</v>
      </c>
      <c r="M211" s="8">
        <v>3.4135281328571564E-4</v>
      </c>
      <c r="N211" s="1">
        <v>16401.35741292782</v>
      </c>
      <c r="O211" s="6">
        <f t="shared" si="8"/>
        <v>2.5713834547153023</v>
      </c>
      <c r="P211" s="6"/>
      <c r="Q211" s="6"/>
      <c r="R211" s="41"/>
      <c r="S211" s="3" t="s">
        <v>160</v>
      </c>
      <c r="T211" s="1">
        <v>8</v>
      </c>
      <c r="U211" s="1">
        <v>65663.25</v>
      </c>
      <c r="V211" s="8">
        <v>3.9995816304141409E-4</v>
      </c>
      <c r="W211" s="1">
        <v>23829.675090590044</v>
      </c>
      <c r="X211" s="6">
        <f t="shared" si="9"/>
        <v>0.26696116592873409</v>
      </c>
      <c r="Y211" s="6"/>
      <c r="Z211" s="41"/>
      <c r="AA211" s="41"/>
      <c r="AB211" s="3" t="s">
        <v>475</v>
      </c>
      <c r="AC211" s="1">
        <v>10</v>
      </c>
      <c r="AD211" s="1">
        <v>43920</v>
      </c>
      <c r="AE211" s="8">
        <v>2.8542278193777675E-4</v>
      </c>
      <c r="AF211" s="1">
        <v>13673.445372518232</v>
      </c>
      <c r="AG211" s="6">
        <f t="shared" si="10"/>
        <v>1</v>
      </c>
      <c r="AH211" s="6">
        <f t="shared" si="11"/>
        <v>1</v>
      </c>
      <c r="AI211" s="6" t="e">
        <f>VLOOKUP(AB211,'ABC расчет'!AC:AC,1,0)</f>
        <v>#N/A</v>
      </c>
      <c r="AJ211" s="6"/>
    </row>
    <row r="212" spans="6:36" x14ac:dyDescent="0.3">
      <c r="F212" s="1"/>
      <c r="G212" s="1"/>
      <c r="I212" s="1"/>
      <c r="J212" s="3" t="s">
        <v>131</v>
      </c>
      <c r="K212" s="1">
        <v>7</v>
      </c>
      <c r="L212" s="1">
        <v>47051.199999999997</v>
      </c>
      <c r="M212" s="8">
        <v>3.2488195969117745E-4</v>
      </c>
      <c r="N212" s="1">
        <v>23919.777711243092</v>
      </c>
      <c r="O212" s="6">
        <f t="shared" si="8"/>
        <v>1</v>
      </c>
      <c r="P212" s="6"/>
      <c r="Q212" s="6"/>
      <c r="R212" s="41"/>
      <c r="S212" s="3" t="s">
        <v>472</v>
      </c>
      <c r="T212" s="1">
        <v>30</v>
      </c>
      <c r="U212" s="1">
        <v>65493.3</v>
      </c>
      <c r="V212" s="8">
        <v>3.9892298903146351E-4</v>
      </c>
      <c r="W212" s="1">
        <v>28670.592452337703</v>
      </c>
      <c r="X212" s="6">
        <f t="shared" si="9"/>
        <v>3.0169198099937935</v>
      </c>
      <c r="Y212" s="6"/>
      <c r="Z212" s="41"/>
      <c r="AA212" s="41"/>
      <c r="AB212" s="3" t="s">
        <v>282</v>
      </c>
      <c r="AC212" s="1">
        <v>31</v>
      </c>
      <c r="AD212" s="1">
        <v>43710</v>
      </c>
      <c r="AE212" s="8">
        <v>2.8405805552140763E-4</v>
      </c>
      <c r="AF212" s="1">
        <v>16272.161768690014</v>
      </c>
      <c r="AG212" s="6">
        <f t="shared" si="10"/>
        <v>1</v>
      </c>
      <c r="AH212" s="6">
        <f t="shared" si="11"/>
        <v>1</v>
      </c>
      <c r="AI212" s="6" t="str">
        <f>VLOOKUP(AB212,'ABC расчет'!AC:AC,1,0)</f>
        <v>СТОЛ УЧЕН. E-175</v>
      </c>
      <c r="AJ212" s="6"/>
    </row>
    <row r="213" spans="6:36" x14ac:dyDescent="0.3">
      <c r="F213" s="1"/>
      <c r="G213" s="1"/>
      <c r="I213" s="1"/>
      <c r="J213" s="3" t="s">
        <v>135</v>
      </c>
      <c r="K213" s="1">
        <v>7</v>
      </c>
      <c r="L213" s="1">
        <v>45265.299999999996</v>
      </c>
      <c r="M213" s="8">
        <v>3.125505698050008E-4</v>
      </c>
      <c r="N213" s="1">
        <v>24612.41511667216</v>
      </c>
      <c r="O213" s="6">
        <f t="shared" si="8"/>
        <v>-0.2242234789738784</v>
      </c>
      <c r="P213" s="6"/>
      <c r="Q213" s="6"/>
      <c r="R213" s="41"/>
      <c r="S213" s="3" t="s">
        <v>238</v>
      </c>
      <c r="T213" s="1">
        <v>47</v>
      </c>
      <c r="U213" s="1">
        <v>65410.239999999998</v>
      </c>
      <c r="V213" s="8">
        <v>3.9841706638794189E-4</v>
      </c>
      <c r="W213" s="1">
        <v>23127.442452603871</v>
      </c>
      <c r="X213" s="6">
        <f t="shared" si="9"/>
        <v>1</v>
      </c>
      <c r="Y213" s="6"/>
      <c r="Z213" s="41"/>
      <c r="AA213" s="41"/>
      <c r="AB213" s="3" t="s">
        <v>213</v>
      </c>
      <c r="AC213" s="1">
        <v>226</v>
      </c>
      <c r="AD213" s="1">
        <v>43560.400000000009</v>
      </c>
      <c r="AE213" s="8">
        <v>2.8308585041717519E-4</v>
      </c>
      <c r="AF213" s="1">
        <v>18437.308932389718</v>
      </c>
      <c r="AG213" s="6">
        <f t="shared" si="10"/>
        <v>-0.55306619255149947</v>
      </c>
      <c r="AH213" s="6">
        <f t="shared" si="11"/>
        <v>1.4265042463422639</v>
      </c>
      <c r="AI213" s="6" t="str">
        <f>VLOOKUP(AB213,'ABC расчет'!AC:AC,1,0)</f>
        <v>СИДЕНЬЕ D40</v>
      </c>
      <c r="AJ213" s="6"/>
    </row>
    <row r="214" spans="6:36" x14ac:dyDescent="0.3">
      <c r="F214" s="1"/>
      <c r="G214" s="1"/>
      <c r="I214" s="1"/>
      <c r="J214" s="3" t="s">
        <v>162</v>
      </c>
      <c r="K214" s="1">
        <v>26</v>
      </c>
      <c r="L214" s="1">
        <v>42661.85</v>
      </c>
      <c r="M214" s="8">
        <v>2.9457411143713781E-4</v>
      </c>
      <c r="N214" s="1">
        <v>20942.939062716214</v>
      </c>
      <c r="O214" s="6">
        <f t="shared" si="8"/>
        <v>1</v>
      </c>
      <c r="P214" s="6"/>
      <c r="Q214" s="6"/>
      <c r="R214" s="41"/>
      <c r="S214" s="3" t="s">
        <v>113</v>
      </c>
      <c r="T214" s="1">
        <v>47</v>
      </c>
      <c r="U214" s="1">
        <v>64539.299999999996</v>
      </c>
      <c r="V214" s="8">
        <v>3.9311212698090234E-4</v>
      </c>
      <c r="W214" s="1">
        <v>31976.13528834737</v>
      </c>
      <c r="X214" s="6">
        <f t="shared" si="9"/>
        <v>0.90644770954636256</v>
      </c>
      <c r="Y214" s="6"/>
      <c r="Z214" s="41"/>
      <c r="AA214" s="41"/>
      <c r="AB214" s="3" t="s">
        <v>165</v>
      </c>
      <c r="AC214" s="1">
        <v>19</v>
      </c>
      <c r="AD214" s="1">
        <v>43514.8</v>
      </c>
      <c r="AE214" s="8">
        <v>2.8278950982390638E-4</v>
      </c>
      <c r="AF214" s="1">
        <v>20021.949770106701</v>
      </c>
      <c r="AG214" s="6">
        <f t="shared" si="10"/>
        <v>8.779612512305965</v>
      </c>
      <c r="AH214" s="6">
        <f t="shared" si="11"/>
        <v>14.199520899150434</v>
      </c>
      <c r="AI214" s="6" t="str">
        <f>VLOOKUP(AB214,'ABC расчет'!AC:AC,1,0)</f>
        <v>LEAVES</v>
      </c>
      <c r="AJ214" s="6"/>
    </row>
    <row r="215" spans="6:36" x14ac:dyDescent="0.3">
      <c r="F215" s="1"/>
      <c r="G215" s="1"/>
      <c r="I215" s="1"/>
      <c r="J215" s="3" t="s">
        <v>266</v>
      </c>
      <c r="K215" s="1">
        <v>25</v>
      </c>
      <c r="L215" s="1">
        <v>42036.800000000003</v>
      </c>
      <c r="M215" s="8">
        <v>2.9025822854987949E-4</v>
      </c>
      <c r="N215" s="1">
        <v>16216.619934914466</v>
      </c>
      <c r="O215" s="6">
        <f t="shared" si="8"/>
        <v>1.8925950540918794</v>
      </c>
      <c r="P215" s="6"/>
      <c r="Q215" s="6"/>
      <c r="R215" s="41"/>
      <c r="S215" s="3" t="s">
        <v>216</v>
      </c>
      <c r="T215" s="1">
        <v>57</v>
      </c>
      <c r="U215" s="1">
        <v>64202.3</v>
      </c>
      <c r="V215" s="8">
        <v>3.9105944300706687E-4</v>
      </c>
      <c r="W215" s="1">
        <v>27654.282557708928</v>
      </c>
      <c r="X215" s="6">
        <f t="shared" si="9"/>
        <v>-0.64669165427351427</v>
      </c>
      <c r="Y215" s="6"/>
      <c r="Z215" s="41"/>
      <c r="AA215" s="41"/>
      <c r="AB215" s="3" t="s">
        <v>483</v>
      </c>
      <c r="AC215" s="1">
        <v>13</v>
      </c>
      <c r="AD215" s="1">
        <v>42830</v>
      </c>
      <c r="AE215" s="8">
        <v>2.7833920196709881E-4</v>
      </c>
      <c r="AF215" s="1">
        <v>3519.076485242108</v>
      </c>
      <c r="AG215" s="6">
        <f t="shared" si="10"/>
        <v>1</v>
      </c>
      <c r="AH215" s="6">
        <f t="shared" si="11"/>
        <v>1</v>
      </c>
      <c r="AI215" s="6" t="e">
        <f>VLOOKUP(AB215,'ABC расчет'!AC:AC,1,0)</f>
        <v>#N/A</v>
      </c>
      <c r="AJ215" s="6"/>
    </row>
    <row r="216" spans="6:36" x14ac:dyDescent="0.3">
      <c r="F216" s="1"/>
      <c r="G216" s="1"/>
      <c r="I216" s="1"/>
      <c r="J216" s="3" t="s">
        <v>181</v>
      </c>
      <c r="K216" s="1">
        <v>28</v>
      </c>
      <c r="L216" s="1">
        <v>42017.100000000006</v>
      </c>
      <c r="M216" s="8">
        <v>2.9012220280333285E-4</v>
      </c>
      <c r="N216" s="1">
        <v>15782.811046032675</v>
      </c>
      <c r="O216" s="6">
        <f t="shared" si="8"/>
        <v>1.5956364965917724</v>
      </c>
      <c r="P216" s="6"/>
      <c r="Q216" s="6"/>
      <c r="R216" s="41"/>
      <c r="S216" s="3" t="s">
        <v>209</v>
      </c>
      <c r="T216" s="1">
        <v>115</v>
      </c>
      <c r="U216" s="1">
        <v>64005.100000000006</v>
      </c>
      <c r="V216" s="8">
        <v>3.8985828787460288E-4</v>
      </c>
      <c r="W216" s="1">
        <v>21189.117839697225</v>
      </c>
      <c r="X216" s="6">
        <f t="shared" si="9"/>
        <v>-0.66896124300137794</v>
      </c>
      <c r="Y216" s="6"/>
      <c r="Z216" s="41"/>
      <c r="AA216" s="41"/>
      <c r="AB216" s="3" t="s">
        <v>157</v>
      </c>
      <c r="AC216" s="1">
        <v>10</v>
      </c>
      <c r="AD216" s="1">
        <v>42700.85</v>
      </c>
      <c r="AE216" s="8">
        <v>2.7749989522103175E-4</v>
      </c>
      <c r="AF216" s="1">
        <v>20478.503971471975</v>
      </c>
      <c r="AG216" s="6">
        <f t="shared" si="10"/>
        <v>5.0486281113034481</v>
      </c>
      <c r="AH216" s="6">
        <f t="shared" si="11"/>
        <v>1</v>
      </c>
      <c r="AI216" s="6" t="str">
        <f>VLOOKUP(AB216,'ABC расчет'!AC:AC,1,0)</f>
        <v>GLORY KIDS</v>
      </c>
      <c r="AJ216" s="6"/>
    </row>
    <row r="217" spans="6:36" x14ac:dyDescent="0.3">
      <c r="F217" s="1"/>
      <c r="G217" s="1"/>
      <c r="I217" s="1"/>
      <c r="J217" s="3" t="s">
        <v>98</v>
      </c>
      <c r="K217" s="1">
        <v>40</v>
      </c>
      <c r="L217" s="1">
        <v>38728.6</v>
      </c>
      <c r="M217" s="8">
        <v>2.6741556993436371E-4</v>
      </c>
      <c r="N217" s="1">
        <v>18354.907123237052</v>
      </c>
      <c r="O217" s="6">
        <f t="shared" si="8"/>
        <v>1</v>
      </c>
      <c r="P217" s="6"/>
      <c r="Q217" s="6"/>
      <c r="R217" s="41"/>
      <c r="S217" s="3" t="s">
        <v>100</v>
      </c>
      <c r="T217" s="1">
        <v>52</v>
      </c>
      <c r="U217" s="1">
        <v>62459.3</v>
      </c>
      <c r="V217" s="8">
        <v>3.8044274221657622E-4</v>
      </c>
      <c r="W217" s="1">
        <v>29720.488617067655</v>
      </c>
      <c r="X217" s="6">
        <f t="shared" si="9"/>
        <v>7.2521857616143492E-2</v>
      </c>
      <c r="Y217" s="6"/>
      <c r="Z217" s="41"/>
      <c r="AA217" s="41"/>
      <c r="AB217" s="3" t="s">
        <v>161</v>
      </c>
      <c r="AC217" s="1">
        <v>41</v>
      </c>
      <c r="AD217" s="1">
        <v>42209.3</v>
      </c>
      <c r="AE217" s="8">
        <v>2.7430546060214483E-4</v>
      </c>
      <c r="AF217" s="1">
        <v>16211.960455187571</v>
      </c>
      <c r="AG217" s="6">
        <f t="shared" si="10"/>
        <v>-0.38692388798659072</v>
      </c>
      <c r="AH217" s="6">
        <f t="shared" si="11"/>
        <v>-0.45888427363426221</v>
      </c>
      <c r="AI217" s="6" t="str">
        <f>VLOOKUP(AB217,'ABC расчет'!AC:AC,1,0)</f>
        <v>ISO NET</v>
      </c>
      <c r="AJ217" s="6"/>
    </row>
    <row r="218" spans="6:36" x14ac:dyDescent="0.3">
      <c r="F218" s="1"/>
      <c r="G218" s="1"/>
      <c r="I218" s="1"/>
      <c r="J218" s="3" t="s">
        <v>469</v>
      </c>
      <c r="K218" s="1">
        <v>28</v>
      </c>
      <c r="L218" s="1">
        <v>38324</v>
      </c>
      <c r="M218" s="8">
        <v>2.6462186348498413E-4</v>
      </c>
      <c r="N218" s="1">
        <v>18208.613098071233</v>
      </c>
      <c r="O218" s="6">
        <f t="shared" si="8"/>
        <v>1</v>
      </c>
      <c r="P218" s="6"/>
      <c r="Q218" s="6"/>
      <c r="R218" s="41"/>
      <c r="S218" s="3" t="s">
        <v>462</v>
      </c>
      <c r="T218" s="1">
        <v>11</v>
      </c>
      <c r="U218" s="1">
        <v>60399.85</v>
      </c>
      <c r="V218" s="8">
        <v>3.678985285373014E-4</v>
      </c>
      <c r="W218" s="1">
        <v>27691.229215010255</v>
      </c>
      <c r="X218" s="6">
        <f t="shared" si="9"/>
        <v>-0.60984070263164636</v>
      </c>
      <c r="Y218" s="6"/>
      <c r="Z218" s="41"/>
      <c r="AA218" s="41"/>
      <c r="AB218" s="3" t="s">
        <v>465</v>
      </c>
      <c r="AC218" s="1">
        <v>298.39999999999998</v>
      </c>
      <c r="AD218" s="1">
        <v>41776</v>
      </c>
      <c r="AE218" s="8">
        <v>2.7148957509636981E-4</v>
      </c>
      <c r="AF218" s="1">
        <v>12518.65895650699</v>
      </c>
      <c r="AG218" s="6">
        <f t="shared" si="10"/>
        <v>-0.44600878780135789</v>
      </c>
      <c r="AH218" s="6">
        <f t="shared" si="11"/>
        <v>1</v>
      </c>
      <c r="AI218" s="6" t="e">
        <f>VLOOKUP(AB218,'ABC расчет'!AC:AC,1,0)</f>
        <v>#N/A</v>
      </c>
      <c r="AJ218" s="6"/>
    </row>
    <row r="219" spans="6:36" x14ac:dyDescent="0.3">
      <c r="F219" s="1"/>
      <c r="G219" s="1"/>
      <c r="I219" s="1"/>
      <c r="J219" s="3" t="s">
        <v>214</v>
      </c>
      <c r="K219" s="1">
        <v>18</v>
      </c>
      <c r="L219" s="1">
        <v>37980</v>
      </c>
      <c r="M219" s="8">
        <v>2.6224659156559067E-4</v>
      </c>
      <c r="N219" s="1">
        <v>14200.867464719307</v>
      </c>
      <c r="O219" s="6">
        <f t="shared" ref="O219:O282" si="12">IFERROR((N219/VLOOKUP(J219,A:E,5,0))-1,1)</f>
        <v>1</v>
      </c>
      <c r="P219" s="6"/>
      <c r="Q219" s="6"/>
      <c r="R219" s="41"/>
      <c r="S219" s="3" t="s">
        <v>328</v>
      </c>
      <c r="T219" s="1">
        <v>19</v>
      </c>
      <c r="U219" s="1">
        <v>59297.5</v>
      </c>
      <c r="V219" s="8">
        <v>3.611840591647269E-4</v>
      </c>
      <c r="W219" s="1">
        <v>17098.796996037156</v>
      </c>
      <c r="X219" s="6">
        <f t="shared" ref="X219:X282" si="13">IFERROR((W219/VLOOKUP(S219,J:N,5,0))-1,1)</f>
        <v>-0.21548389604773432</v>
      </c>
      <c r="Y219" s="6"/>
      <c r="Z219" s="41"/>
      <c r="AA219" s="41"/>
      <c r="AB219" s="3" t="s">
        <v>63</v>
      </c>
      <c r="AC219" s="1">
        <v>26</v>
      </c>
      <c r="AD219" s="1">
        <v>41098.6</v>
      </c>
      <c r="AE219" s="8">
        <v>2.6708735759899615E-4</v>
      </c>
      <c r="AF219" s="1">
        <v>13568.948815611719</v>
      </c>
      <c r="AG219" s="6">
        <f t="shared" ref="AG219:AG282" si="14">IFERROR((AF219/VLOOKUP(AB219,S:W,5,0))-1,1)</f>
        <v>-0.34213556608065221</v>
      </c>
      <c r="AH219" s="6">
        <f t="shared" si="11"/>
        <v>1.8488530775520382</v>
      </c>
      <c r="AI219" s="6" t="str">
        <f>VLOOKUP(AB219,'ABC расчет'!AC:AC,1,0)</f>
        <v>MARTIN</v>
      </c>
      <c r="AJ219" s="6"/>
    </row>
    <row r="220" spans="6:36" x14ac:dyDescent="0.3">
      <c r="F220" s="1"/>
      <c r="G220" s="1"/>
      <c r="I220" s="1"/>
      <c r="J220" s="3" t="s">
        <v>470</v>
      </c>
      <c r="K220" s="1">
        <v>7</v>
      </c>
      <c r="L220" s="1">
        <v>36282.699999999997</v>
      </c>
      <c r="M220" s="8">
        <v>2.5052697229586247E-4</v>
      </c>
      <c r="N220" s="1">
        <v>15197.007760963857</v>
      </c>
      <c r="O220" s="6">
        <f t="shared" si="12"/>
        <v>1</v>
      </c>
      <c r="P220" s="6"/>
      <c r="Q220" s="6"/>
      <c r="R220" s="41"/>
      <c r="S220" s="3" t="s">
        <v>30</v>
      </c>
      <c r="T220" s="1">
        <v>23</v>
      </c>
      <c r="U220" s="1">
        <v>59143</v>
      </c>
      <c r="V220" s="8">
        <v>3.6024299188295363E-4</v>
      </c>
      <c r="W220" s="1">
        <v>25046.825718394553</v>
      </c>
      <c r="X220" s="6">
        <f t="shared" si="13"/>
        <v>-0.85210047144067735</v>
      </c>
      <c r="Y220" s="6"/>
      <c r="Z220" s="41"/>
      <c r="AA220" s="41"/>
      <c r="AB220" s="3" t="s">
        <v>129</v>
      </c>
      <c r="AC220" s="1">
        <v>10</v>
      </c>
      <c r="AD220" s="1">
        <v>40215.050000000003</v>
      </c>
      <c r="AE220" s="8">
        <v>2.6134543366955351E-4</v>
      </c>
      <c r="AF220" s="1">
        <v>21585.049219806056</v>
      </c>
      <c r="AG220" s="6">
        <f t="shared" si="14"/>
        <v>-0.70367502784936264</v>
      </c>
      <c r="AH220" s="6">
        <f t="shared" ref="AH220:AH283" si="15">IFERROR((AF220/VLOOKUP(AB220,A:E,5,0))-1,1)</f>
        <v>1</v>
      </c>
      <c r="AI220" s="6" t="e">
        <f>VLOOKUP(AB220,'ABC расчет'!AC:AC,1,0)</f>
        <v>#N/A</v>
      </c>
      <c r="AJ220" s="6"/>
    </row>
    <row r="221" spans="6:36" x14ac:dyDescent="0.3">
      <c r="F221" s="1"/>
      <c r="G221" s="1"/>
      <c r="I221" s="1"/>
      <c r="J221" s="3" t="s">
        <v>25</v>
      </c>
      <c r="K221" s="1">
        <v>10</v>
      </c>
      <c r="L221" s="1">
        <v>35965.599999999999</v>
      </c>
      <c r="M221" s="8">
        <v>2.4833744111667737E-4</v>
      </c>
      <c r="N221" s="1">
        <v>15394.004694919071</v>
      </c>
      <c r="O221" s="6">
        <f t="shared" si="12"/>
        <v>-0.86642820439184032</v>
      </c>
      <c r="P221" s="6"/>
      <c r="Q221" s="6"/>
      <c r="R221" s="41"/>
      <c r="S221" s="3" t="s">
        <v>43</v>
      </c>
      <c r="T221" s="1">
        <v>30</v>
      </c>
      <c r="U221" s="1">
        <v>58911.8</v>
      </c>
      <c r="V221" s="8">
        <v>3.5883474103799587E-4</v>
      </c>
      <c r="W221" s="1">
        <v>26904.654530282976</v>
      </c>
      <c r="X221" s="6">
        <f t="shared" si="13"/>
        <v>-0.58855218054246095</v>
      </c>
      <c r="Y221" s="6"/>
      <c r="Z221" s="41"/>
      <c r="AA221" s="41"/>
      <c r="AB221" s="3" t="s">
        <v>138</v>
      </c>
      <c r="AC221" s="1">
        <v>19</v>
      </c>
      <c r="AD221" s="1">
        <v>40016</v>
      </c>
      <c r="AE221" s="8">
        <v>2.6005186798775217E-4</v>
      </c>
      <c r="AF221" s="1">
        <v>18801.577979910388</v>
      </c>
      <c r="AG221" s="6">
        <f t="shared" si="14"/>
        <v>0.21710317636547072</v>
      </c>
      <c r="AH221" s="6">
        <f t="shared" si="15"/>
        <v>9.4948694265968889</v>
      </c>
      <c r="AI221" s="6" t="str">
        <f>VLOOKUP(AB221,'ABC расчет'!AC:AC,1,0)</f>
        <v>ALLER</v>
      </c>
      <c r="AJ221" s="6"/>
    </row>
    <row r="222" spans="6:36" x14ac:dyDescent="0.3">
      <c r="F222" s="1"/>
      <c r="G222" s="1"/>
      <c r="I222" s="1"/>
      <c r="J222" s="3" t="s">
        <v>27</v>
      </c>
      <c r="K222" s="1">
        <v>4</v>
      </c>
      <c r="L222" s="1">
        <v>35714</v>
      </c>
      <c r="M222" s="8">
        <v>2.4660017828260941E-4</v>
      </c>
      <c r="N222" s="1">
        <v>17859.497989613763</v>
      </c>
      <c r="O222" s="6">
        <f t="shared" si="12"/>
        <v>0.11735719650253751</v>
      </c>
      <c r="P222" s="6"/>
      <c r="Q222" s="6"/>
      <c r="R222" s="41"/>
      <c r="S222" s="3" t="s">
        <v>474</v>
      </c>
      <c r="T222" s="1">
        <v>9</v>
      </c>
      <c r="U222" s="1">
        <v>58590</v>
      </c>
      <c r="V222" s="8">
        <v>3.5687464102974575E-4</v>
      </c>
      <c r="W222" s="1">
        <v>29546.543031541816</v>
      </c>
      <c r="X222" s="6">
        <f t="shared" si="13"/>
        <v>3.6141152897868141</v>
      </c>
      <c r="Y222" s="6"/>
      <c r="Z222" s="41"/>
      <c r="AA222" s="41"/>
      <c r="AB222" s="3" t="s">
        <v>172</v>
      </c>
      <c r="AC222" s="1">
        <v>16</v>
      </c>
      <c r="AD222" s="1">
        <v>39756.300000000003</v>
      </c>
      <c r="AE222" s="8">
        <v>2.5836415631950901E-4</v>
      </c>
      <c r="AF222" s="1">
        <v>17498.781986295697</v>
      </c>
      <c r="AG222" s="6">
        <f t="shared" si="14"/>
        <v>-0.41389842770932905</v>
      </c>
      <c r="AH222" s="6">
        <f t="shared" si="15"/>
        <v>1</v>
      </c>
      <c r="AI222" s="6" t="str">
        <f>VLOOKUP(AB222,'ABC расчет'!AC:AC,1,0)</f>
        <v>MILANA GTS</v>
      </c>
      <c r="AJ222" s="6"/>
    </row>
    <row r="223" spans="6:36" x14ac:dyDescent="0.3">
      <c r="F223" s="1"/>
      <c r="G223" s="1"/>
      <c r="I223" s="1"/>
      <c r="J223" s="3" t="s">
        <v>17</v>
      </c>
      <c r="K223" s="1">
        <v>138</v>
      </c>
      <c r="L223" s="1">
        <v>35624</v>
      </c>
      <c r="M223" s="8">
        <v>2.4597874086183786E-4</v>
      </c>
      <c r="N223" s="1">
        <v>14792.654311776199</v>
      </c>
      <c r="O223" s="6">
        <f t="shared" si="12"/>
        <v>-0.41041013905414792</v>
      </c>
      <c r="P223" s="6"/>
      <c r="Q223" s="6"/>
      <c r="R223" s="41"/>
      <c r="S223" s="3" t="s">
        <v>27</v>
      </c>
      <c r="T223" s="1">
        <v>7</v>
      </c>
      <c r="U223" s="1">
        <v>58491</v>
      </c>
      <c r="V223" s="8">
        <v>3.5627162704336674E-4</v>
      </c>
      <c r="W223" s="1">
        <v>27578.822260362176</v>
      </c>
      <c r="X223" s="6">
        <f t="shared" si="13"/>
        <v>0.54421038465922789</v>
      </c>
      <c r="Y223" s="6"/>
      <c r="Z223" s="41"/>
      <c r="AA223" s="41"/>
      <c r="AB223" s="3" t="s">
        <v>471</v>
      </c>
      <c r="AC223" s="1">
        <v>8</v>
      </c>
      <c r="AD223" s="1">
        <v>38293</v>
      </c>
      <c r="AE223" s="8">
        <v>2.4885461267630434E-4</v>
      </c>
      <c r="AF223" s="1">
        <v>12992.809252562489</v>
      </c>
      <c r="AG223" s="6">
        <f t="shared" si="14"/>
        <v>-0.12967762289418772</v>
      </c>
      <c r="AH223" s="6">
        <f t="shared" si="15"/>
        <v>1</v>
      </c>
      <c r="AI223" s="6" t="e">
        <f>VLOOKUP(AB223,'ABC расчет'!AC:AC,1,0)</f>
        <v>#N/A</v>
      </c>
      <c r="AJ223" s="6"/>
    </row>
    <row r="224" spans="6:36" x14ac:dyDescent="0.3">
      <c r="F224" s="1"/>
      <c r="G224" s="1"/>
      <c r="I224" s="1"/>
      <c r="J224" s="3" t="s">
        <v>172</v>
      </c>
      <c r="K224" s="1">
        <v>15</v>
      </c>
      <c r="L224" s="1">
        <v>35366.31</v>
      </c>
      <c r="M224" s="8">
        <v>2.441994274289643E-4</v>
      </c>
      <c r="N224" s="1">
        <v>15394.225356797331</v>
      </c>
      <c r="O224" s="6">
        <f t="shared" si="12"/>
        <v>1</v>
      </c>
      <c r="P224" s="6"/>
      <c r="Q224" s="6"/>
      <c r="R224" s="41"/>
      <c r="S224" s="3" t="s">
        <v>336</v>
      </c>
      <c r="T224" s="1">
        <v>8</v>
      </c>
      <c r="U224" s="1">
        <v>58126.8</v>
      </c>
      <c r="V224" s="8">
        <v>3.540532664995362E-4</v>
      </c>
      <c r="W224" s="1">
        <v>27301.69826891282</v>
      </c>
      <c r="X224" s="6">
        <f t="shared" si="13"/>
        <v>-0.18758568466873826</v>
      </c>
      <c r="Y224" s="6"/>
      <c r="Z224" s="41"/>
      <c r="AA224" s="41"/>
      <c r="AB224" s="3" t="s">
        <v>297</v>
      </c>
      <c r="AC224" s="1">
        <v>22</v>
      </c>
      <c r="AD224" s="1">
        <v>38183.1</v>
      </c>
      <c r="AE224" s="8">
        <v>2.4814040585173779E-4</v>
      </c>
      <c r="AF224" s="1">
        <v>13946.596983345997</v>
      </c>
      <c r="AG224" s="6">
        <f t="shared" si="14"/>
        <v>15.281921818242616</v>
      </c>
      <c r="AH224" s="6">
        <f t="shared" si="15"/>
        <v>1</v>
      </c>
      <c r="AI224" s="6" t="str">
        <f>VLOOKUP(AB224,'ABC расчет'!AC:AC,1,0)</f>
        <v>SIMPLE</v>
      </c>
      <c r="AJ224" s="6"/>
    </row>
    <row r="225" spans="6:36" x14ac:dyDescent="0.3">
      <c r="F225" s="1"/>
      <c r="G225" s="1"/>
      <c r="I225" s="1"/>
      <c r="J225" s="3" t="s">
        <v>307</v>
      </c>
      <c r="K225" s="1">
        <v>22</v>
      </c>
      <c r="L225" s="1">
        <v>35265.699999999997</v>
      </c>
      <c r="M225" s="8">
        <v>2.4350472944114403E-4</v>
      </c>
      <c r="N225" s="1">
        <v>10050.125562007355</v>
      </c>
      <c r="O225" s="6">
        <f t="shared" si="12"/>
        <v>1</v>
      </c>
      <c r="P225" s="6"/>
      <c r="Q225" s="6"/>
      <c r="R225" s="41"/>
      <c r="S225" s="3" t="s">
        <v>230</v>
      </c>
      <c r="T225" s="1">
        <v>7</v>
      </c>
      <c r="U225" s="1">
        <v>56202.5</v>
      </c>
      <c r="V225" s="8">
        <v>3.4233225827742423E-4</v>
      </c>
      <c r="W225" s="1">
        <v>30569.838223252424</v>
      </c>
      <c r="X225" s="6">
        <f t="shared" si="13"/>
        <v>10.363149580093529</v>
      </c>
      <c r="Y225" s="6"/>
      <c r="Z225" s="41"/>
      <c r="AA225" s="41"/>
      <c r="AB225" s="3" t="s">
        <v>232</v>
      </c>
      <c r="AC225" s="1">
        <v>13</v>
      </c>
      <c r="AD225" s="1">
        <v>37934.300000000003</v>
      </c>
      <c r="AE225" s="8">
        <v>2.4652352998320143E-4</v>
      </c>
      <c r="AF225" s="1">
        <v>14389.551331345414</v>
      </c>
      <c r="AG225" s="6">
        <f t="shared" si="14"/>
        <v>0.12772484043772825</v>
      </c>
      <c r="AH225" s="6">
        <f t="shared" si="15"/>
        <v>0.89014604062947011</v>
      </c>
      <c r="AI225" s="6" t="str">
        <f>VLOOKUP(AB225,'ABC расчет'!AC:AC,1,0)</f>
        <v>TWINKS</v>
      </c>
      <c r="AJ225" s="6"/>
    </row>
    <row r="226" spans="6:36" x14ac:dyDescent="0.3">
      <c r="F226" s="1"/>
      <c r="G226" s="1"/>
      <c r="I226" s="1"/>
      <c r="J226" s="3" t="s">
        <v>471</v>
      </c>
      <c r="K226" s="1">
        <v>7</v>
      </c>
      <c r="L226" s="1">
        <v>34878.949999999997</v>
      </c>
      <c r="M226" s="8">
        <v>2.4083427474688409E-4</v>
      </c>
      <c r="N226" s="1">
        <v>12850.942590393544</v>
      </c>
      <c r="O226" s="6">
        <f t="shared" si="12"/>
        <v>1</v>
      </c>
      <c r="P226" s="6"/>
      <c r="Q226" s="6"/>
      <c r="R226" s="41"/>
      <c r="S226" s="3" t="s">
        <v>20</v>
      </c>
      <c r="T226" s="1">
        <v>7</v>
      </c>
      <c r="U226" s="1">
        <v>55601.8</v>
      </c>
      <c r="V226" s="8">
        <v>3.3867336432168832E-4</v>
      </c>
      <c r="W226" s="1">
        <v>23690.702748356554</v>
      </c>
      <c r="X226" s="6">
        <f t="shared" si="13"/>
        <v>-0.4255332968777884</v>
      </c>
      <c r="Y226" s="6"/>
      <c r="Z226" s="41"/>
      <c r="AA226" s="41"/>
      <c r="AB226" s="3" t="s">
        <v>190</v>
      </c>
      <c r="AC226" s="1">
        <v>7</v>
      </c>
      <c r="AD226" s="1">
        <v>37533.5</v>
      </c>
      <c r="AE226" s="8">
        <v>2.4391885213710256E-4</v>
      </c>
      <c r="AF226" s="1">
        <v>15765.776787967396</v>
      </c>
      <c r="AG226" s="6">
        <f t="shared" si="14"/>
        <v>-0.80555692444941496</v>
      </c>
      <c r="AH226" s="6">
        <f t="shared" si="15"/>
        <v>-0.23600246808122516</v>
      </c>
      <c r="AI226" s="6" t="str">
        <f>VLOOKUP(AB226,'ABC расчет'!AC:AC,1,0)</f>
        <v>TAKTIK</v>
      </c>
      <c r="AJ226" s="6"/>
    </row>
    <row r="227" spans="6:36" x14ac:dyDescent="0.3">
      <c r="F227" s="1"/>
      <c r="G227" s="1"/>
      <c r="I227" s="1"/>
      <c r="J227" s="3" t="s">
        <v>63</v>
      </c>
      <c r="K227" s="1">
        <v>21</v>
      </c>
      <c r="L227" s="1">
        <v>33741.1</v>
      </c>
      <c r="M227" s="8">
        <v>2.3297757953327411E-4</v>
      </c>
      <c r="N227" s="1">
        <v>16034.540690876429</v>
      </c>
      <c r="O227" s="6">
        <f t="shared" si="12"/>
        <v>2.3665135903364627</v>
      </c>
      <c r="P227" s="6"/>
      <c r="Q227" s="6"/>
      <c r="R227" s="41"/>
      <c r="S227" s="3" t="s">
        <v>162</v>
      </c>
      <c r="T227" s="1">
        <v>31</v>
      </c>
      <c r="U227" s="1">
        <v>54759.740000000005</v>
      </c>
      <c r="V227" s="8">
        <v>3.3354433444926116E-4</v>
      </c>
      <c r="W227" s="1">
        <v>28166.784444303095</v>
      </c>
      <c r="X227" s="6">
        <f t="shared" si="13"/>
        <v>0.34492987636330241</v>
      </c>
      <c r="Y227" s="6"/>
      <c r="Z227" s="41"/>
      <c r="AA227" s="41"/>
      <c r="AB227" s="3" t="s">
        <v>322</v>
      </c>
      <c r="AC227" s="1">
        <v>6</v>
      </c>
      <c r="AD227" s="1">
        <v>37285.9</v>
      </c>
      <c r="AE227" s="8">
        <v>2.4230977470523113E-4</v>
      </c>
      <c r="AF227" s="1">
        <v>16698.860587871059</v>
      </c>
      <c r="AG227" s="6">
        <f t="shared" si="14"/>
        <v>0.39118772216070008</v>
      </c>
      <c r="AH227" s="6">
        <f t="shared" si="15"/>
        <v>-0.16644921011637059</v>
      </c>
      <c r="AI227" s="6" t="str">
        <f>VLOOKUP(AB227,'ABC расчет'!AC:AC,1,0)</f>
        <v>GRAND</v>
      </c>
      <c r="AJ227" s="6"/>
    </row>
    <row r="228" spans="6:36" x14ac:dyDescent="0.3">
      <c r="F228" s="1"/>
      <c r="G228" s="1"/>
      <c r="I228" s="1"/>
      <c r="J228" s="3" t="s">
        <v>58</v>
      </c>
      <c r="K228" s="1">
        <v>14</v>
      </c>
      <c r="L228" s="1">
        <v>32522</v>
      </c>
      <c r="M228" s="8">
        <v>2.2455986442591205E-4</v>
      </c>
      <c r="N228" s="1">
        <v>15104.744578203336</v>
      </c>
      <c r="O228" s="6">
        <f t="shared" si="12"/>
        <v>1</v>
      </c>
      <c r="P228" s="6"/>
      <c r="Q228" s="6"/>
      <c r="R228" s="41"/>
      <c r="S228" s="3" t="s">
        <v>163</v>
      </c>
      <c r="T228" s="1">
        <v>16</v>
      </c>
      <c r="U228" s="1">
        <v>54489.700000000004</v>
      </c>
      <c r="V228" s="8">
        <v>3.3189950720803103E-4</v>
      </c>
      <c r="W228" s="1">
        <v>22087.056758146788</v>
      </c>
      <c r="X228" s="6">
        <f t="shared" si="13"/>
        <v>2.0513095074181988</v>
      </c>
      <c r="Y228" s="6"/>
      <c r="Z228" s="41"/>
      <c r="AA228" s="41"/>
      <c r="AB228" s="3" t="s">
        <v>209</v>
      </c>
      <c r="AC228" s="1">
        <v>58</v>
      </c>
      <c r="AD228" s="1">
        <v>36998.800000000003</v>
      </c>
      <c r="AE228" s="8">
        <v>2.4044399873313787E-4</v>
      </c>
      <c r="AF228" s="1">
        <v>14428.594379682218</v>
      </c>
      <c r="AG228" s="6">
        <f t="shared" si="14"/>
        <v>-0.31905639069831182</v>
      </c>
      <c r="AH228" s="6">
        <f t="shared" si="15"/>
        <v>-0.7808263547862444</v>
      </c>
      <c r="AI228" s="6" t="str">
        <f>VLOOKUP(AB228,'ABC расчет'!AC:AC,1,0)</f>
        <v>РАМА HANNA</v>
      </c>
      <c r="AJ228" s="6"/>
    </row>
    <row r="229" spans="6:36" x14ac:dyDescent="0.3">
      <c r="F229" s="1"/>
      <c r="G229" s="1"/>
      <c r="I229" s="1"/>
      <c r="J229" s="3" t="s">
        <v>141</v>
      </c>
      <c r="K229" s="1">
        <v>9</v>
      </c>
      <c r="L229" s="1">
        <v>32458.6</v>
      </c>
      <c r="M229" s="8">
        <v>2.2412209628727966E-4</v>
      </c>
      <c r="N229" s="1">
        <v>15492.651437918845</v>
      </c>
      <c r="O229" s="6">
        <f t="shared" si="12"/>
        <v>1</v>
      </c>
      <c r="P229" s="6"/>
      <c r="Q229" s="6"/>
      <c r="R229" s="41"/>
      <c r="S229" s="3" t="s">
        <v>141</v>
      </c>
      <c r="T229" s="1">
        <v>17</v>
      </c>
      <c r="U229" s="1">
        <v>51958.549999999996</v>
      </c>
      <c r="V229" s="8">
        <v>3.1648214507042321E-4</v>
      </c>
      <c r="W229" s="1">
        <v>16606.691306023218</v>
      </c>
      <c r="X229" s="6">
        <f t="shared" si="13"/>
        <v>7.1907631341767475E-2</v>
      </c>
      <c r="Y229" s="6"/>
      <c r="Z229" s="41"/>
      <c r="AA229" s="41"/>
      <c r="AB229" s="3" t="s">
        <v>470</v>
      </c>
      <c r="AC229" s="1">
        <v>7</v>
      </c>
      <c r="AD229" s="1">
        <v>36672.199999999997</v>
      </c>
      <c r="AE229" s="8">
        <v>2.3832152422082278E-4</v>
      </c>
      <c r="AF229" s="1">
        <v>14659.086515232895</v>
      </c>
      <c r="AG229" s="6">
        <f t="shared" si="14"/>
        <v>0.98657938060484329</v>
      </c>
      <c r="AH229" s="6">
        <f t="shared" si="15"/>
        <v>1</v>
      </c>
      <c r="AI229" s="6" t="e">
        <f>VLOOKUP(AB229,'ABC расчет'!AC:AC,1,0)</f>
        <v>#N/A</v>
      </c>
      <c r="AJ229" s="6"/>
    </row>
    <row r="230" spans="6:36" x14ac:dyDescent="0.3">
      <c r="F230" s="1"/>
      <c r="G230" s="1"/>
      <c r="I230" s="1"/>
      <c r="J230" s="3" t="s">
        <v>136</v>
      </c>
      <c r="K230" s="1">
        <v>17</v>
      </c>
      <c r="L230" s="1">
        <v>31639.5</v>
      </c>
      <c r="M230" s="8">
        <v>2.1846632527223553E-4</v>
      </c>
      <c r="N230" s="1">
        <v>13747.330071624674</v>
      </c>
      <c r="O230" s="6">
        <f t="shared" si="12"/>
        <v>1</v>
      </c>
      <c r="P230" s="6"/>
      <c r="Q230" s="6"/>
      <c r="R230" s="41"/>
      <c r="S230" s="3" t="s">
        <v>63</v>
      </c>
      <c r="T230" s="1">
        <v>31</v>
      </c>
      <c r="U230" s="1">
        <v>51730.100000000006</v>
      </c>
      <c r="V230" s="8">
        <v>3.1509064461397599E-4</v>
      </c>
      <c r="W230" s="1">
        <v>20625.75223100635</v>
      </c>
      <c r="X230" s="6">
        <f t="shared" si="13"/>
        <v>0.28633258841909304</v>
      </c>
      <c r="Y230" s="6"/>
      <c r="Z230" s="41"/>
      <c r="AA230" s="41"/>
      <c r="AB230" s="3" t="s">
        <v>65</v>
      </c>
      <c r="AC230" s="1">
        <v>6</v>
      </c>
      <c r="AD230" s="1">
        <v>35737.800000000003</v>
      </c>
      <c r="AE230" s="8">
        <v>2.3224914153770218E-4</v>
      </c>
      <c r="AF230" s="1">
        <v>15223.267952023663</v>
      </c>
      <c r="AG230" s="6">
        <f t="shared" si="14"/>
        <v>-0.44185463999034646</v>
      </c>
      <c r="AH230" s="6">
        <f t="shared" si="15"/>
        <v>3.9114497354747284</v>
      </c>
      <c r="AI230" s="6" t="e">
        <f>VLOOKUP(AB230,'ABC расчет'!AC:AC,1,0)</f>
        <v>#N/A</v>
      </c>
      <c r="AJ230" s="6"/>
    </row>
    <row r="231" spans="6:36" x14ac:dyDescent="0.3">
      <c r="F231" s="1"/>
      <c r="G231" s="1"/>
      <c r="I231" s="1"/>
      <c r="J231" s="3" t="s">
        <v>313</v>
      </c>
      <c r="K231" s="1">
        <v>13</v>
      </c>
      <c r="L231" s="1">
        <v>31309</v>
      </c>
      <c r="M231" s="8">
        <v>2.1618426896595781E-4</v>
      </c>
      <c r="N231" s="1">
        <v>12133.585287601521</v>
      </c>
      <c r="O231" s="6">
        <f t="shared" si="12"/>
        <v>2.89369339071918</v>
      </c>
      <c r="P231" s="6"/>
      <c r="Q231" s="6"/>
      <c r="R231" s="41"/>
      <c r="S231" s="3" t="s">
        <v>176</v>
      </c>
      <c r="T231" s="1">
        <v>21</v>
      </c>
      <c r="U231" s="1">
        <v>50306.799999999996</v>
      </c>
      <c r="V231" s="8">
        <v>3.0642125262596369E-4</v>
      </c>
      <c r="W231" s="1">
        <v>25610.679354099128</v>
      </c>
      <c r="X231" s="6">
        <f t="shared" si="13"/>
        <v>1.3760488263463526</v>
      </c>
      <c r="Y231" s="6"/>
      <c r="Z231" s="41"/>
      <c r="AA231" s="41"/>
      <c r="AB231" s="3" t="s">
        <v>499</v>
      </c>
      <c r="AC231" s="1">
        <v>23</v>
      </c>
      <c r="AD231" s="1">
        <v>35420</v>
      </c>
      <c r="AE231" s="8">
        <v>2.3018385556093017E-4</v>
      </c>
      <c r="AF231" s="1">
        <v>15621.157453768828</v>
      </c>
      <c r="AG231" s="6">
        <f t="shared" si="14"/>
        <v>1</v>
      </c>
      <c r="AH231" s="6">
        <f t="shared" si="15"/>
        <v>1</v>
      </c>
      <c r="AI231" s="6" t="e">
        <f>VLOOKUP(AB231,'ABC расчет'!AC:AC,1,0)</f>
        <v>#N/A</v>
      </c>
      <c r="AJ231" s="6"/>
    </row>
    <row r="232" spans="6:36" x14ac:dyDescent="0.3">
      <c r="F232" s="1"/>
      <c r="G232" s="1"/>
      <c r="I232" s="1"/>
      <c r="J232" s="3" t="s">
        <v>231</v>
      </c>
      <c r="K232" s="1">
        <v>21</v>
      </c>
      <c r="L232" s="1">
        <v>30945.9</v>
      </c>
      <c r="M232" s="8">
        <v>2.1367711421615621E-4</v>
      </c>
      <c r="N232" s="1">
        <v>11720.793116096624</v>
      </c>
      <c r="O232" s="6">
        <f t="shared" si="12"/>
        <v>1</v>
      </c>
      <c r="P232" s="6"/>
      <c r="Q232" s="6"/>
      <c r="R232" s="41"/>
      <c r="S232" s="3" t="s">
        <v>17</v>
      </c>
      <c r="T232" s="1">
        <v>166</v>
      </c>
      <c r="U232" s="1">
        <v>50070</v>
      </c>
      <c r="V232" s="8">
        <v>3.0497889189894811E-4</v>
      </c>
      <c r="W232" s="1">
        <v>23942.254926198384</v>
      </c>
      <c r="X232" s="6">
        <f t="shared" si="13"/>
        <v>0.61852324955220039</v>
      </c>
      <c r="Y232" s="6"/>
      <c r="Z232" s="41"/>
      <c r="AA232" s="41"/>
      <c r="AB232" s="3" t="s">
        <v>25</v>
      </c>
      <c r="AC232" s="1">
        <v>9</v>
      </c>
      <c r="AD232" s="1">
        <v>35015</v>
      </c>
      <c r="AE232" s="8">
        <v>2.2755188318650396E-4</v>
      </c>
      <c r="AF232" s="1">
        <v>12358.909772556999</v>
      </c>
      <c r="AG232" s="6">
        <f t="shared" si="14"/>
        <v>2.8440562851210887</v>
      </c>
      <c r="AH232" s="6">
        <f t="shared" si="15"/>
        <v>-0.89276333203766445</v>
      </c>
      <c r="AI232" s="6" t="str">
        <f>VLOOKUP(AB232,'ABC расчет'!AC:AC,1,0)</f>
        <v>CLUB</v>
      </c>
      <c r="AJ232" s="6"/>
    </row>
    <row r="233" spans="6:36" x14ac:dyDescent="0.3">
      <c r="F233" s="1"/>
      <c r="G233" s="1"/>
      <c r="I233" s="1"/>
      <c r="J233" s="3" t="s">
        <v>33</v>
      </c>
      <c r="K233" s="1">
        <v>6</v>
      </c>
      <c r="L233" s="1">
        <v>30524.65</v>
      </c>
      <c r="M233" s="8">
        <v>2.1076844184393385E-4</v>
      </c>
      <c r="N233" s="1">
        <v>17991.07958887206</v>
      </c>
      <c r="O233" s="6">
        <f t="shared" si="12"/>
        <v>7.6779869808768186</v>
      </c>
      <c r="P233" s="6"/>
      <c r="Q233" s="6"/>
      <c r="R233" s="41"/>
      <c r="S233" s="3" t="s">
        <v>491</v>
      </c>
      <c r="T233" s="1">
        <v>4</v>
      </c>
      <c r="U233" s="1">
        <v>49337.599999999999</v>
      </c>
      <c r="V233" s="8">
        <v>3.0051780660981712E-4</v>
      </c>
      <c r="W233" s="1">
        <v>30116.553275478509</v>
      </c>
      <c r="X233" s="6">
        <f t="shared" si="13"/>
        <v>1</v>
      </c>
      <c r="Y233" s="6"/>
      <c r="Z233" s="41"/>
      <c r="AA233" s="41"/>
      <c r="AB233" s="3" t="s">
        <v>234</v>
      </c>
      <c r="AC233" s="1">
        <v>79</v>
      </c>
      <c r="AD233" s="1">
        <v>34395</v>
      </c>
      <c r="AE233" s="8">
        <v>2.2352269090960454E-4</v>
      </c>
      <c r="AF233" s="1">
        <v>10638.11570105188</v>
      </c>
      <c r="AG233" s="6">
        <f t="shared" si="14"/>
        <v>-0.11430664305278881</v>
      </c>
      <c r="AH233" s="6">
        <f t="shared" si="15"/>
        <v>0.5353716466236349</v>
      </c>
      <c r="AI233" s="6" t="str">
        <f>VLOOKUP(AB233,'ABC расчет'!AC:AC,1,0)</f>
        <v>РАМА FOXY</v>
      </c>
      <c r="AJ233" s="6"/>
    </row>
    <row r="234" spans="6:36" x14ac:dyDescent="0.3">
      <c r="F234" s="1"/>
      <c r="G234" s="1"/>
      <c r="I234" s="1"/>
      <c r="J234" s="3" t="s">
        <v>224</v>
      </c>
      <c r="K234" s="1">
        <v>26</v>
      </c>
      <c r="L234" s="1">
        <v>29593.599999999999</v>
      </c>
      <c r="M234" s="8">
        <v>2.0433967172605222E-4</v>
      </c>
      <c r="N234" s="1">
        <v>11673.414228229587</v>
      </c>
      <c r="O234" s="6">
        <f t="shared" si="12"/>
        <v>-0.24655115814103012</v>
      </c>
      <c r="P234" s="6"/>
      <c r="Q234" s="6"/>
      <c r="R234" s="41"/>
      <c r="S234" s="3" t="s">
        <v>273</v>
      </c>
      <c r="T234" s="1">
        <v>36</v>
      </c>
      <c r="U234" s="1">
        <v>46620</v>
      </c>
      <c r="V234" s="8">
        <v>2.8396476813119553E-4</v>
      </c>
      <c r="W234" s="1">
        <v>15289.983481307552</v>
      </c>
      <c r="X234" s="6">
        <f t="shared" si="13"/>
        <v>6.9628876068217744</v>
      </c>
      <c r="Y234" s="6"/>
      <c r="Z234" s="41"/>
      <c r="AA234" s="41"/>
      <c r="AB234" s="3" t="s">
        <v>84</v>
      </c>
      <c r="AC234" s="1">
        <v>26</v>
      </c>
      <c r="AD234" s="1">
        <v>33567</v>
      </c>
      <c r="AE234" s="8">
        <v>2.181417696107776E-4</v>
      </c>
      <c r="AF234" s="1">
        <v>14747.161012564884</v>
      </c>
      <c r="AG234" s="6">
        <f t="shared" si="14"/>
        <v>1</v>
      </c>
      <c r="AH234" s="6">
        <f t="shared" si="15"/>
        <v>-0.48188846232440374</v>
      </c>
      <c r="AI234" s="6" t="str">
        <f>VLOOKUP(AB234,'ABC расчет'!AC:AC,1,0)</f>
        <v>SOFI</v>
      </c>
      <c r="AJ234" s="6"/>
    </row>
    <row r="235" spans="6:36" x14ac:dyDescent="0.3">
      <c r="F235" s="1"/>
      <c r="G235" s="1"/>
      <c r="I235" s="1"/>
      <c r="J235" s="3" t="s">
        <v>223</v>
      </c>
      <c r="K235" s="1">
        <v>28</v>
      </c>
      <c r="L235" s="1">
        <v>28728</v>
      </c>
      <c r="M235" s="8">
        <v>1.9836282471027617E-4</v>
      </c>
      <c r="N235" s="1">
        <v>11214.325033416666</v>
      </c>
      <c r="O235" s="6">
        <f t="shared" si="12"/>
        <v>0.43977842777979514</v>
      </c>
      <c r="P235" s="6"/>
      <c r="Q235" s="6"/>
      <c r="R235" s="41"/>
      <c r="S235" s="3" t="s">
        <v>234</v>
      </c>
      <c r="T235" s="1">
        <v>115</v>
      </c>
      <c r="U235" s="1">
        <v>46560</v>
      </c>
      <c r="V235" s="8">
        <v>2.8359930510914768E-4</v>
      </c>
      <c r="W235" s="1">
        <v>12011.059603878151</v>
      </c>
      <c r="X235" s="6">
        <f t="shared" si="13"/>
        <v>-0.61639749446238434</v>
      </c>
      <c r="Y235" s="6"/>
      <c r="Z235" s="41"/>
      <c r="AA235" s="41"/>
      <c r="AB235" s="3" t="s">
        <v>298</v>
      </c>
      <c r="AC235" s="1">
        <v>3</v>
      </c>
      <c r="AD235" s="1">
        <v>32415</v>
      </c>
      <c r="AE235" s="8">
        <v>2.1065527041240969E-4</v>
      </c>
      <c r="AF235" s="1">
        <v>18195.72993607707</v>
      </c>
      <c r="AG235" s="6">
        <f t="shared" si="14"/>
        <v>-6.313096157825826E-2</v>
      </c>
      <c r="AH235" s="6">
        <f t="shared" si="15"/>
        <v>1</v>
      </c>
      <c r="AI235" s="6" t="str">
        <f>VLOOKUP(AB235,'ABC расчет'!AC:AC,1,0)</f>
        <v>Премьера</v>
      </c>
      <c r="AJ235" s="6"/>
    </row>
    <row r="236" spans="6:36" x14ac:dyDescent="0.3">
      <c r="F236" s="1"/>
      <c r="G236" s="1"/>
      <c r="I236" s="1"/>
      <c r="J236" s="3" t="s">
        <v>113</v>
      </c>
      <c r="K236" s="1">
        <v>23</v>
      </c>
      <c r="L236" s="1">
        <v>28429.5</v>
      </c>
      <c r="M236" s="8">
        <v>1.9630172393138388E-4</v>
      </c>
      <c r="N236" s="1">
        <v>16772.62645507128</v>
      </c>
      <c r="O236" s="6">
        <f t="shared" si="12"/>
        <v>1</v>
      </c>
      <c r="P236" s="6"/>
      <c r="Q236" s="6"/>
      <c r="R236" s="41"/>
      <c r="S236" s="3" t="s">
        <v>183</v>
      </c>
      <c r="T236" s="1">
        <v>20</v>
      </c>
      <c r="U236" s="1">
        <v>46258.2</v>
      </c>
      <c r="V236" s="8">
        <v>2.8176102610824686E-4</v>
      </c>
      <c r="W236" s="1">
        <v>17052.106205857832</v>
      </c>
      <c r="X236" s="6">
        <f t="shared" si="13"/>
        <v>-0.49381142649368881</v>
      </c>
      <c r="Y236" s="6"/>
      <c r="Z236" s="41"/>
      <c r="AA236" s="41"/>
      <c r="AB236" s="3" t="s">
        <v>181</v>
      </c>
      <c r="AC236" s="1">
        <v>18</v>
      </c>
      <c r="AD236" s="1">
        <v>30760</v>
      </c>
      <c r="AE236" s="8">
        <v>1.9989992651197661E-4</v>
      </c>
      <c r="AF236" s="1">
        <v>11757.809860153744</v>
      </c>
      <c r="AG236" s="6">
        <f t="shared" si="14"/>
        <v>-0.73257079096883559</v>
      </c>
      <c r="AH236" s="6">
        <f t="shared" si="15"/>
        <v>0.93368597672423004</v>
      </c>
      <c r="AI236" s="6" t="e">
        <f>VLOOKUP(AB236,'ABC расчет'!AC:AC,1,0)</f>
        <v>#N/A</v>
      </c>
      <c r="AJ236" s="6"/>
    </row>
    <row r="237" spans="6:36" x14ac:dyDescent="0.3">
      <c r="F237" s="1"/>
      <c r="G237" s="1"/>
      <c r="I237" s="1"/>
      <c r="J237" s="3" t="s">
        <v>93</v>
      </c>
      <c r="K237" s="1">
        <v>24</v>
      </c>
      <c r="L237" s="1">
        <v>24446.019999999997</v>
      </c>
      <c r="M237" s="8">
        <v>1.6879635129921696E-4</v>
      </c>
      <c r="N237" s="1">
        <v>10343.19420202853</v>
      </c>
      <c r="O237" s="6">
        <f t="shared" si="12"/>
        <v>1</v>
      </c>
      <c r="P237" s="6"/>
      <c r="Q237" s="6"/>
      <c r="R237" s="41"/>
      <c r="S237" s="3" t="s">
        <v>104</v>
      </c>
      <c r="T237" s="1">
        <v>39</v>
      </c>
      <c r="U237" s="1">
        <v>44627.999999999993</v>
      </c>
      <c r="V237" s="8">
        <v>2.7183139579920617E-4</v>
      </c>
      <c r="W237" s="1">
        <v>21526.988940900061</v>
      </c>
      <c r="X237" s="6">
        <f t="shared" si="13"/>
        <v>-0.50415704815940665</v>
      </c>
      <c r="Y237" s="6"/>
      <c r="Z237" s="41"/>
      <c r="AA237" s="41"/>
      <c r="AB237" s="3" t="s">
        <v>205</v>
      </c>
      <c r="AC237" s="1">
        <v>50</v>
      </c>
      <c r="AD237" s="1">
        <v>29558.200000000004</v>
      </c>
      <c r="AE237" s="8">
        <v>1.9208979219201261E-4</v>
      </c>
      <c r="AF237" s="1">
        <v>10219.793312834534</v>
      </c>
      <c r="AG237" s="6">
        <f t="shared" si="14"/>
        <v>-2.1103621111584259E-2</v>
      </c>
      <c r="AH237" s="6">
        <f t="shared" si="15"/>
        <v>1</v>
      </c>
      <c r="AI237" s="6" t="str">
        <f>VLOOKUP(AB237,'ABC расчет'!AC:AC,1,0)</f>
        <v>РАМА 4L</v>
      </c>
      <c r="AJ237" s="6"/>
    </row>
    <row r="238" spans="6:36" x14ac:dyDescent="0.3">
      <c r="F238" s="1"/>
      <c r="G238" s="1"/>
      <c r="I238" s="1"/>
      <c r="J238" s="3" t="s">
        <v>176</v>
      </c>
      <c r="K238" s="1">
        <v>12</v>
      </c>
      <c r="L238" s="1">
        <v>24112.5</v>
      </c>
      <c r="M238" s="8">
        <v>1.6649344231504227E-4</v>
      </c>
      <c r="N238" s="1">
        <v>10778.683952164669</v>
      </c>
      <c r="O238" s="6">
        <f t="shared" si="12"/>
        <v>1</v>
      </c>
      <c r="P238" s="6"/>
      <c r="Q238" s="6"/>
      <c r="R238" s="41"/>
      <c r="S238" s="3" t="s">
        <v>80</v>
      </c>
      <c r="T238" s="1">
        <v>17</v>
      </c>
      <c r="U238" s="1">
        <v>42618.9</v>
      </c>
      <c r="V238" s="8">
        <v>2.5959386650593327E-4</v>
      </c>
      <c r="W238" s="1">
        <v>16648.13833201224</v>
      </c>
      <c r="X238" s="6">
        <f t="shared" si="13"/>
        <v>0.80907008000773684</v>
      </c>
      <c r="Y238" s="6"/>
      <c r="Z238" s="41"/>
      <c r="AA238" s="41"/>
      <c r="AB238" s="3" t="s">
        <v>231</v>
      </c>
      <c r="AC238" s="1">
        <v>19</v>
      </c>
      <c r="AD238" s="1">
        <v>29321.9</v>
      </c>
      <c r="AE238" s="8">
        <v>1.9055415003873627E-4</v>
      </c>
      <c r="AF238" s="1">
        <v>9355.131558334173</v>
      </c>
      <c r="AG238" s="6">
        <f t="shared" si="14"/>
        <v>0.27576498550418393</v>
      </c>
      <c r="AH238" s="6">
        <f t="shared" si="15"/>
        <v>1</v>
      </c>
      <c r="AI238" s="6" t="str">
        <f>VLOOKUP(AB238,'ABC расчет'!AC:AC,1,0)</f>
        <v>RAY HOKER</v>
      </c>
      <c r="AJ238" s="6"/>
    </row>
    <row r="239" spans="6:36" x14ac:dyDescent="0.3">
      <c r="F239" s="1"/>
      <c r="G239" s="1"/>
      <c r="I239" s="1"/>
      <c r="J239" s="3" t="s">
        <v>35</v>
      </c>
      <c r="K239" s="1">
        <v>7</v>
      </c>
      <c r="L239" s="1">
        <v>23956.800000000003</v>
      </c>
      <c r="M239" s="8">
        <v>1.6541835557710752E-4</v>
      </c>
      <c r="N239" s="1">
        <v>10550.690239889438</v>
      </c>
      <c r="O239" s="6">
        <f t="shared" si="12"/>
        <v>-0.8023427442861909</v>
      </c>
      <c r="P239" s="6"/>
      <c r="Q239" s="6"/>
      <c r="R239" s="41"/>
      <c r="S239" s="3" t="s">
        <v>232</v>
      </c>
      <c r="T239" s="1">
        <v>15</v>
      </c>
      <c r="U239" s="1">
        <v>40406.699999999997</v>
      </c>
      <c r="V239" s="8">
        <v>2.4611924488302829E-4</v>
      </c>
      <c r="W239" s="1">
        <v>12759.807016186756</v>
      </c>
      <c r="X239" s="6">
        <f t="shared" si="13"/>
        <v>0.85011765950495777</v>
      </c>
      <c r="Y239" s="6"/>
      <c r="Z239" s="41"/>
      <c r="AA239" s="41"/>
      <c r="AB239" s="3" t="s">
        <v>296</v>
      </c>
      <c r="AC239" s="1">
        <v>18</v>
      </c>
      <c r="AD239" s="1">
        <v>29125</v>
      </c>
      <c r="AE239" s="8">
        <v>1.8927455655595965E-4</v>
      </c>
      <c r="AF239" s="1">
        <v>14648.665058602561</v>
      </c>
      <c r="AG239" s="6">
        <f t="shared" si="14"/>
        <v>18.644376645308963</v>
      </c>
      <c r="AH239" s="6">
        <f t="shared" si="15"/>
        <v>1</v>
      </c>
      <c r="AI239" s="6" t="str">
        <f>VLOOKUP(AB239,'ABC расчет'!AC:AC,1,0)</f>
        <v>ROUND</v>
      </c>
      <c r="AJ239" s="6"/>
    </row>
    <row r="240" spans="6:36" x14ac:dyDescent="0.3">
      <c r="F240" s="1"/>
      <c r="G240" s="1"/>
      <c r="I240" s="1"/>
      <c r="J240" s="3" t="s">
        <v>80</v>
      </c>
      <c r="K240" s="1">
        <v>10</v>
      </c>
      <c r="L240" s="1">
        <v>23828.6</v>
      </c>
      <c r="M240" s="8">
        <v>1.6453315249551957E-4</v>
      </c>
      <c r="N240" s="1">
        <v>9202.5944798893815</v>
      </c>
      <c r="O240" s="6">
        <f t="shared" si="12"/>
        <v>1.1715610382947705</v>
      </c>
      <c r="P240" s="6"/>
      <c r="Q240" s="6"/>
      <c r="R240" s="41"/>
      <c r="S240" s="3" t="s">
        <v>224</v>
      </c>
      <c r="T240" s="1">
        <v>35</v>
      </c>
      <c r="U240" s="1">
        <v>39857.199999999997</v>
      </c>
      <c r="V240" s="8">
        <v>2.4277221270610651E-4</v>
      </c>
      <c r="W240" s="1">
        <v>17717.957008955662</v>
      </c>
      <c r="X240" s="6">
        <f t="shared" si="13"/>
        <v>0.51780418843603404</v>
      </c>
      <c r="Y240" s="6"/>
      <c r="Z240" s="41"/>
      <c r="AA240" s="41"/>
      <c r="AB240" s="3" t="s">
        <v>40</v>
      </c>
      <c r="AC240" s="1">
        <v>15</v>
      </c>
      <c r="AD240" s="1">
        <v>28429.9</v>
      </c>
      <c r="AE240" s="8">
        <v>1.8475731211777777E-4</v>
      </c>
      <c r="AF240" s="1">
        <v>13668.233627800641</v>
      </c>
      <c r="AG240" s="6">
        <f t="shared" si="14"/>
        <v>-0.73145058359852388</v>
      </c>
      <c r="AH240" s="6">
        <f t="shared" si="15"/>
        <v>-0.97057277714426338</v>
      </c>
      <c r="AI240" s="6" t="str">
        <f>VLOOKUP(AB240,'ABC расчет'!AC:AC,1,0)</f>
        <v>FOREX</v>
      </c>
      <c r="AJ240" s="6"/>
    </row>
    <row r="241" spans="6:36" x14ac:dyDescent="0.3">
      <c r="F241" s="1"/>
      <c r="G241" s="1"/>
      <c r="I241" s="1"/>
      <c r="J241" s="3" t="s">
        <v>207</v>
      </c>
      <c r="K241" s="1">
        <v>34</v>
      </c>
      <c r="L241" s="1">
        <v>22834.6</v>
      </c>
      <c r="M241" s="8">
        <v>1.5766972142610943E-4</v>
      </c>
      <c r="N241" s="1">
        <v>12342.972178414431</v>
      </c>
      <c r="O241" s="6">
        <f t="shared" si="12"/>
        <v>1</v>
      </c>
      <c r="P241" s="6"/>
      <c r="Q241" s="6"/>
      <c r="R241" s="41"/>
      <c r="S241" s="3" t="s">
        <v>62</v>
      </c>
      <c r="T241" s="1">
        <v>37</v>
      </c>
      <c r="U241" s="1">
        <v>38678.5</v>
      </c>
      <c r="V241" s="8">
        <v>2.3559269163797613E-4</v>
      </c>
      <c r="W241" s="1">
        <v>16191.196051540481</v>
      </c>
      <c r="X241" s="6">
        <f t="shared" si="13"/>
        <v>1.2954039201206058</v>
      </c>
      <c r="Y241" s="6"/>
      <c r="Z241" s="41"/>
      <c r="AA241" s="41"/>
      <c r="AB241" s="3" t="s">
        <v>474</v>
      </c>
      <c r="AC241" s="1">
        <v>8</v>
      </c>
      <c r="AD241" s="1">
        <v>28321.5</v>
      </c>
      <c r="AE241" s="8">
        <v>1.8405285333904245E-4</v>
      </c>
      <c r="AF241" s="1">
        <v>-1796.0185649224941</v>
      </c>
      <c r="AG241" s="6">
        <f t="shared" si="14"/>
        <v>-1.0607860812347891</v>
      </c>
      <c r="AH241" s="6">
        <f t="shared" si="15"/>
        <v>1</v>
      </c>
      <c r="AI241" s="6" t="e">
        <f>VLOOKUP(AB241,'ABC расчет'!AC:AC,1,0)</f>
        <v>#N/A</v>
      </c>
      <c r="AJ241" s="6"/>
    </row>
    <row r="242" spans="6:36" x14ac:dyDescent="0.3">
      <c r="F242" s="1"/>
      <c r="G242" s="1"/>
      <c r="I242" s="1"/>
      <c r="J242" s="3" t="s">
        <v>111</v>
      </c>
      <c r="K242" s="1">
        <v>8</v>
      </c>
      <c r="L242" s="1">
        <v>22385.8</v>
      </c>
      <c r="M242" s="8">
        <v>1.5457082015452869E-4</v>
      </c>
      <c r="N242" s="1">
        <v>14382.307976665841</v>
      </c>
      <c r="O242" s="6">
        <f t="shared" si="12"/>
        <v>0.67097921206717936</v>
      </c>
      <c r="P242" s="6"/>
      <c r="Q242" s="6"/>
      <c r="R242" s="41"/>
      <c r="S242" s="3" t="s">
        <v>298</v>
      </c>
      <c r="T242" s="1">
        <v>7</v>
      </c>
      <c r="U242" s="1">
        <v>38400</v>
      </c>
      <c r="V242" s="8">
        <v>2.3389633411063725E-4</v>
      </c>
      <c r="W242" s="1">
        <v>19421.8500023544</v>
      </c>
      <c r="X242" s="6">
        <f t="shared" si="13"/>
        <v>3.5470848271168043</v>
      </c>
      <c r="Y242" s="6"/>
      <c r="Z242" s="41"/>
      <c r="AA242" s="41"/>
      <c r="AB242" s="3" t="s">
        <v>199</v>
      </c>
      <c r="AC242" s="1">
        <v>6</v>
      </c>
      <c r="AD242" s="1">
        <v>28244.75</v>
      </c>
      <c r="AE242" s="8">
        <v>1.8355407832734564E-4</v>
      </c>
      <c r="AF242" s="1">
        <v>10500.178967866423</v>
      </c>
      <c r="AG242" s="6">
        <f t="shared" si="14"/>
        <v>3.404549806775675</v>
      </c>
      <c r="AH242" s="6">
        <f t="shared" si="15"/>
        <v>1</v>
      </c>
      <c r="AI242" s="6" t="str">
        <f>VLOOKUP(AB242,'ABC расчет'!AC:AC,1,0)</f>
        <v>WESTER</v>
      </c>
      <c r="AJ242" s="6"/>
    </row>
    <row r="243" spans="6:36" x14ac:dyDescent="0.3">
      <c r="F243" s="1"/>
      <c r="G243" s="1"/>
      <c r="I243" s="1"/>
      <c r="J243" s="3" t="s">
        <v>235</v>
      </c>
      <c r="K243" s="1">
        <v>10</v>
      </c>
      <c r="L243" s="1">
        <v>21936</v>
      </c>
      <c r="M243" s="8">
        <v>1.5146501402271714E-4</v>
      </c>
      <c r="N243" s="1">
        <v>10788.577476646889</v>
      </c>
      <c r="O243" s="6">
        <f t="shared" si="12"/>
        <v>-0.77392557493023639</v>
      </c>
      <c r="P243" s="6"/>
      <c r="Q243" s="6"/>
      <c r="R243" s="41"/>
      <c r="S243" s="3" t="s">
        <v>471</v>
      </c>
      <c r="T243" s="1">
        <v>7</v>
      </c>
      <c r="U243" s="1">
        <v>37883.449999999997</v>
      </c>
      <c r="V243" s="8">
        <v>2.3075000204332343E-4</v>
      </c>
      <c r="W243" s="1">
        <v>14928.731691087894</v>
      </c>
      <c r="X243" s="6">
        <f t="shared" si="13"/>
        <v>0.16168378981379616</v>
      </c>
      <c r="Y243" s="6"/>
      <c r="Z243" s="41"/>
      <c r="AA243" s="41"/>
      <c r="AB243" s="3" t="s">
        <v>236</v>
      </c>
      <c r="AC243" s="1">
        <v>13</v>
      </c>
      <c r="AD243" s="1">
        <v>27433.9</v>
      </c>
      <c r="AE243" s="8">
        <v>1.7828460968585553E-4</v>
      </c>
      <c r="AF243" s="1">
        <v>9578.1138493350591</v>
      </c>
      <c r="AG243" s="6">
        <f t="shared" si="14"/>
        <v>1</v>
      </c>
      <c r="AH243" s="6">
        <f t="shared" si="15"/>
        <v>5.4719985927417953</v>
      </c>
      <c r="AI243" s="6" t="str">
        <f>VLOOKUP(AB243,'ABC расчет'!AC:AC,1,0)</f>
        <v>СТОЛ УЧЕН. E-176</v>
      </c>
      <c r="AJ243" s="6"/>
    </row>
    <row r="244" spans="6:36" x14ac:dyDescent="0.3">
      <c r="F244" s="1"/>
      <c r="G244" s="1"/>
      <c r="I244" s="1"/>
      <c r="J244" s="3" t="s">
        <v>133</v>
      </c>
      <c r="K244" s="1">
        <v>10</v>
      </c>
      <c r="L244" s="1">
        <v>20950.7</v>
      </c>
      <c r="M244" s="8">
        <v>1.4466165523731493E-4</v>
      </c>
      <c r="N244" s="1">
        <v>8857.9121539405915</v>
      </c>
      <c r="O244" s="6">
        <f t="shared" si="12"/>
        <v>1</v>
      </c>
      <c r="P244" s="6"/>
      <c r="Q244" s="6"/>
      <c r="R244" s="41"/>
      <c r="S244" s="3" t="s">
        <v>93</v>
      </c>
      <c r="T244" s="1">
        <v>33</v>
      </c>
      <c r="U244" s="1">
        <v>37639.649999999994</v>
      </c>
      <c r="V244" s="8">
        <v>2.2926500396373557E-4</v>
      </c>
      <c r="W244" s="1">
        <v>15315.049758071984</v>
      </c>
      <c r="X244" s="6">
        <f t="shared" si="13"/>
        <v>0.48068860150265413</v>
      </c>
      <c r="Y244" s="6"/>
      <c r="Z244" s="41"/>
      <c r="AA244" s="41"/>
      <c r="AB244" s="3" t="s">
        <v>277</v>
      </c>
      <c r="AC244" s="1">
        <v>6</v>
      </c>
      <c r="AD244" s="1">
        <v>26839.35</v>
      </c>
      <c r="AE244" s="8">
        <v>1.744208092532256E-4</v>
      </c>
      <c r="AF244" s="1">
        <v>9362.9976562690099</v>
      </c>
      <c r="AG244" s="6">
        <f t="shared" si="14"/>
        <v>-0.85589347784272429</v>
      </c>
      <c r="AH244" s="6">
        <f t="shared" si="15"/>
        <v>1</v>
      </c>
      <c r="AI244" s="6" t="str">
        <f>VLOOKUP(AB244,'ABC расчет'!AC:AC,1,0)</f>
        <v>PEONY</v>
      </c>
      <c r="AJ244" s="6"/>
    </row>
    <row r="245" spans="6:36" x14ac:dyDescent="0.3">
      <c r="F245" s="1"/>
      <c r="G245" s="1"/>
      <c r="I245" s="1"/>
      <c r="J245" s="3" t="s">
        <v>107</v>
      </c>
      <c r="K245" s="1">
        <v>20</v>
      </c>
      <c r="L245" s="1">
        <v>20577.099999999999</v>
      </c>
      <c r="M245" s="8">
        <v>1.4208199945508993E-4</v>
      </c>
      <c r="N245" s="1">
        <v>12818.377952410858</v>
      </c>
      <c r="O245" s="6">
        <f t="shared" si="12"/>
        <v>1</v>
      </c>
      <c r="P245" s="6"/>
      <c r="Q245" s="6"/>
      <c r="R245" s="41"/>
      <c r="S245" s="3" t="s">
        <v>322</v>
      </c>
      <c r="T245" s="1">
        <v>6</v>
      </c>
      <c r="U245" s="1">
        <v>36645.199999999997</v>
      </c>
      <c r="V245" s="8">
        <v>2.2320775892581052E-4</v>
      </c>
      <c r="W245" s="1">
        <v>12003.312221542252</v>
      </c>
      <c r="X245" s="6">
        <f t="shared" si="13"/>
        <v>-0.7720001109928657</v>
      </c>
      <c r="Y245" s="6"/>
      <c r="Z245" s="41"/>
      <c r="AA245" s="41"/>
      <c r="AB245" s="3" t="s">
        <v>310</v>
      </c>
      <c r="AC245" s="1">
        <v>5</v>
      </c>
      <c r="AD245" s="1">
        <v>26053</v>
      </c>
      <c r="AE245" s="8">
        <v>1.6931055869364521E-4</v>
      </c>
      <c r="AF245" s="1">
        <v>7647.7137946222329</v>
      </c>
      <c r="AG245" s="6">
        <f t="shared" si="14"/>
        <v>3.2879358998432533</v>
      </c>
      <c r="AH245" s="6">
        <f t="shared" si="15"/>
        <v>0.92513362928319842</v>
      </c>
      <c r="AI245" s="6" t="str">
        <f>VLOOKUP(AB245,'ABC расчет'!AC:AC,1,0)</f>
        <v>FRIDAY</v>
      </c>
      <c r="AJ245" s="6"/>
    </row>
    <row r="246" spans="6:36" x14ac:dyDescent="0.3">
      <c r="F246" s="1"/>
      <c r="G246" s="1"/>
      <c r="I246" s="1"/>
      <c r="J246" s="3" t="s">
        <v>269</v>
      </c>
      <c r="K246" s="1">
        <v>4</v>
      </c>
      <c r="L246" s="1">
        <v>20522.599999999999</v>
      </c>
      <c r="M246" s="8">
        <v>1.4170568457251161E-4</v>
      </c>
      <c r="N246" s="1">
        <v>7493.4855258005819</v>
      </c>
      <c r="O246" s="6">
        <f t="shared" si="12"/>
        <v>1</v>
      </c>
      <c r="P246" s="6"/>
      <c r="Q246" s="6"/>
      <c r="R246" s="41"/>
      <c r="S246" s="3" t="s">
        <v>138</v>
      </c>
      <c r="T246" s="1">
        <v>17</v>
      </c>
      <c r="U246" s="1">
        <v>34805.5</v>
      </c>
      <c r="V246" s="8">
        <v>2.1200205356478608E-4</v>
      </c>
      <c r="W246" s="1">
        <v>15447.809474999402</v>
      </c>
      <c r="X246" s="6">
        <f t="shared" si="13"/>
        <v>-0.2019548630076119</v>
      </c>
      <c r="Y246" s="6"/>
      <c r="Z246" s="41"/>
      <c r="AA246" s="41"/>
      <c r="AB246" s="3" t="s">
        <v>156</v>
      </c>
      <c r="AC246" s="1">
        <v>6</v>
      </c>
      <c r="AD246" s="1">
        <v>25120.559999999998</v>
      </c>
      <c r="AE246" s="8">
        <v>1.6325091345707735E-4</v>
      </c>
      <c r="AF246" s="1">
        <v>13138.488688685848</v>
      </c>
      <c r="AG246" s="6">
        <f t="shared" si="14"/>
        <v>-0.62877322493054288</v>
      </c>
      <c r="AH246" s="6">
        <f t="shared" si="15"/>
        <v>-0.10924649775727235</v>
      </c>
      <c r="AI246" s="6" t="str">
        <f>VLOOKUP(AB246,'ABC расчет'!AC:AC,1,0)</f>
        <v>GLORY</v>
      </c>
      <c r="AJ246" s="6"/>
    </row>
    <row r="247" spans="6:36" x14ac:dyDescent="0.3">
      <c r="F247" s="1"/>
      <c r="G247" s="1"/>
      <c r="I247" s="1"/>
      <c r="J247" s="3" t="s">
        <v>287</v>
      </c>
      <c r="K247" s="1">
        <v>20</v>
      </c>
      <c r="L247" s="1">
        <v>20439.099999999999</v>
      </c>
      <c r="M247" s="8">
        <v>1.4112912874324023E-4</v>
      </c>
      <c r="N247" s="1">
        <v>8653.1611217593818</v>
      </c>
      <c r="O247" s="6">
        <f t="shared" si="12"/>
        <v>1</v>
      </c>
      <c r="P247" s="6"/>
      <c r="Q247" s="6"/>
      <c r="R247" s="41"/>
      <c r="S247" s="3" t="s">
        <v>205</v>
      </c>
      <c r="T247" s="1">
        <v>63</v>
      </c>
      <c r="U247" s="1">
        <v>34487.300000000003</v>
      </c>
      <c r="V247" s="8">
        <v>2.1006388133785887E-4</v>
      </c>
      <c r="W247" s="1">
        <v>10440.117599004303</v>
      </c>
      <c r="X247" s="6">
        <f t="shared" si="13"/>
        <v>-0.57246304897508371</v>
      </c>
      <c r="Y247" s="6"/>
      <c r="Z247" s="41"/>
      <c r="AA247" s="41"/>
      <c r="AB247" s="3" t="s">
        <v>17</v>
      </c>
      <c r="AC247" s="1">
        <v>70</v>
      </c>
      <c r="AD247" s="1">
        <v>25102.5</v>
      </c>
      <c r="AE247" s="8">
        <v>1.6313354698526962E-4</v>
      </c>
      <c r="AF247" s="1">
        <v>13801.104295397501</v>
      </c>
      <c r="AG247" s="6">
        <f t="shared" si="14"/>
        <v>-0.42356706425776591</v>
      </c>
      <c r="AH247" s="6">
        <f t="shared" si="15"/>
        <v>-0.44993028357697207</v>
      </c>
      <c r="AI247" s="6" t="str">
        <f>VLOOKUP(AB247,'ABC расчет'!AC:AC,1,0)</f>
        <v>BOOM</v>
      </c>
      <c r="AJ247" s="6"/>
    </row>
    <row r="248" spans="6:36" x14ac:dyDescent="0.3">
      <c r="F248" s="1"/>
      <c r="G248" s="1"/>
      <c r="I248" s="1"/>
      <c r="J248" s="3" t="s">
        <v>175</v>
      </c>
      <c r="K248" s="1">
        <v>3</v>
      </c>
      <c r="L248" s="1">
        <v>20065.099999999999</v>
      </c>
      <c r="M248" s="8">
        <v>1.3854671101692294E-4</v>
      </c>
      <c r="N248" s="1">
        <v>8373.561236489335</v>
      </c>
      <c r="O248" s="6">
        <f t="shared" si="12"/>
        <v>-0.94776075233204859</v>
      </c>
      <c r="P248" s="6"/>
      <c r="Q248" s="6"/>
      <c r="R248" s="41"/>
      <c r="S248" s="3" t="s">
        <v>90</v>
      </c>
      <c r="T248" s="1">
        <v>20</v>
      </c>
      <c r="U248" s="1">
        <v>33638.400000000001</v>
      </c>
      <c r="V248" s="8">
        <v>2.0489318868091824E-4</v>
      </c>
      <c r="W248" s="1">
        <v>10460.274338956384</v>
      </c>
      <c r="X248" s="6">
        <f t="shared" si="13"/>
        <v>1.0980101436820187</v>
      </c>
      <c r="Y248" s="6"/>
      <c r="Z248" s="41"/>
      <c r="AA248" s="41"/>
      <c r="AB248" s="3" t="s">
        <v>80</v>
      </c>
      <c r="AC248" s="1">
        <v>9</v>
      </c>
      <c r="AD248" s="1">
        <v>24865.599999999999</v>
      </c>
      <c r="AE248" s="8">
        <v>1.6159400561366078E-4</v>
      </c>
      <c r="AF248" s="1">
        <v>11174.119971723872</v>
      </c>
      <c r="AG248" s="6">
        <f t="shared" si="14"/>
        <v>-0.32880663598058479</v>
      </c>
      <c r="AH248" s="6">
        <f t="shared" si="15"/>
        <v>1.6367872256953673</v>
      </c>
      <c r="AI248" s="6" t="str">
        <f>VLOOKUP(AB248,'ABC расчет'!AC:AC,1,0)</f>
        <v>ROSE</v>
      </c>
      <c r="AJ248" s="6"/>
    </row>
    <row r="249" spans="6:36" x14ac:dyDescent="0.3">
      <c r="F249" s="1"/>
      <c r="G249" s="1"/>
      <c r="I249" s="1"/>
      <c r="J249" s="3" t="s">
        <v>163</v>
      </c>
      <c r="K249" s="1">
        <v>7</v>
      </c>
      <c r="L249" s="1">
        <v>20002.600000000002</v>
      </c>
      <c r="M249" s="8">
        <v>1.3811515725249828E-4</v>
      </c>
      <c r="N249" s="1">
        <v>7238.5501059298585</v>
      </c>
      <c r="O249" s="6">
        <f t="shared" si="12"/>
        <v>1</v>
      </c>
      <c r="P249" s="6"/>
      <c r="Q249" s="6"/>
      <c r="R249" s="41"/>
      <c r="S249" s="3" t="s">
        <v>295</v>
      </c>
      <c r="T249" s="1">
        <v>32</v>
      </c>
      <c r="U249" s="1">
        <v>33600</v>
      </c>
      <c r="V249" s="8">
        <v>2.0465929234680759E-4</v>
      </c>
      <c r="W249" s="1">
        <v>11621.053624298558</v>
      </c>
      <c r="X249" s="6">
        <f t="shared" si="13"/>
        <v>1</v>
      </c>
      <c r="Y249" s="6"/>
      <c r="Z249" s="41"/>
      <c r="AA249" s="41"/>
      <c r="AB249" s="3" t="s">
        <v>221</v>
      </c>
      <c r="AC249" s="1">
        <v>30</v>
      </c>
      <c r="AD249" s="1">
        <v>24165</v>
      </c>
      <c r="AE249" s="8">
        <v>1.5704101834076447E-4</v>
      </c>
      <c r="AF249" s="1">
        <v>11919.50262466753</v>
      </c>
      <c r="AG249" s="6">
        <f t="shared" si="14"/>
        <v>-0.78793335596000957</v>
      </c>
      <c r="AH249" s="6">
        <f t="shared" si="15"/>
        <v>1</v>
      </c>
      <c r="AI249" s="6" t="str">
        <f>VLOOKUP(AB249,'ABC расчет'!AC:AC,1,0)</f>
        <v>СТУЛ УЧЕН. E-261</v>
      </c>
      <c r="AJ249" s="6"/>
    </row>
    <row r="250" spans="6:36" x14ac:dyDescent="0.3">
      <c r="F250" s="1"/>
      <c r="G250" s="1"/>
      <c r="I250" s="1"/>
      <c r="J250" s="3" t="s">
        <v>230</v>
      </c>
      <c r="K250" s="1">
        <v>2</v>
      </c>
      <c r="L250" s="1">
        <v>19460</v>
      </c>
      <c r="M250" s="8">
        <v>1.3436858009126894E-4</v>
      </c>
      <c r="N250" s="1">
        <v>2690.2610062271842</v>
      </c>
      <c r="O250" s="6">
        <f t="shared" si="12"/>
        <v>1</v>
      </c>
      <c r="P250" s="6"/>
      <c r="Q250" s="6"/>
      <c r="R250" s="41"/>
      <c r="S250" s="3" t="s">
        <v>227</v>
      </c>
      <c r="T250" s="1">
        <v>15</v>
      </c>
      <c r="U250" s="1">
        <v>31620.799999999999</v>
      </c>
      <c r="V250" s="8">
        <v>1.9260388545952182E-4</v>
      </c>
      <c r="W250" s="1">
        <v>12803.602104604852</v>
      </c>
      <c r="X250" s="6">
        <f t="shared" si="13"/>
        <v>1.7859273204321111</v>
      </c>
      <c r="Y250" s="6"/>
      <c r="Z250" s="41"/>
      <c r="AA250" s="41"/>
      <c r="AB250" s="3" t="s">
        <v>492</v>
      </c>
      <c r="AC250" s="1">
        <v>10</v>
      </c>
      <c r="AD250" s="1">
        <v>24045</v>
      </c>
      <c r="AE250" s="8">
        <v>1.5626117467426782E-4</v>
      </c>
      <c r="AF250" s="1">
        <v>8111.8031662233716</v>
      </c>
      <c r="AG250" s="6">
        <f t="shared" si="14"/>
        <v>0.11154972661587803</v>
      </c>
      <c r="AH250" s="6">
        <f t="shared" si="15"/>
        <v>1</v>
      </c>
      <c r="AI250" s="6" t="e">
        <f>VLOOKUP(AB250,'ABC расчет'!AC:AC,1,0)</f>
        <v>#N/A</v>
      </c>
      <c r="AJ250" s="6"/>
    </row>
    <row r="251" spans="6:36" x14ac:dyDescent="0.3">
      <c r="F251" s="1"/>
      <c r="G251" s="1"/>
      <c r="I251" s="1"/>
      <c r="J251" s="3" t="s">
        <v>157</v>
      </c>
      <c r="K251" s="1">
        <v>5</v>
      </c>
      <c r="L251" s="1">
        <v>18292.8</v>
      </c>
      <c r="M251" s="8">
        <v>1.2630922722988512E-4</v>
      </c>
      <c r="N251" s="1">
        <v>9277.61926370322</v>
      </c>
      <c r="O251" s="6">
        <f t="shared" si="12"/>
        <v>1</v>
      </c>
      <c r="P251" s="6"/>
      <c r="Q251" s="6"/>
      <c r="R251" s="41"/>
      <c r="S251" s="3" t="s">
        <v>12</v>
      </c>
      <c r="T251" s="1">
        <v>23</v>
      </c>
      <c r="U251" s="1">
        <v>31338.75</v>
      </c>
      <c r="V251" s="8">
        <v>1.9088590470337847E-4</v>
      </c>
      <c r="W251" s="1">
        <v>15545.190301412424</v>
      </c>
      <c r="X251" s="6">
        <f t="shared" si="13"/>
        <v>5.1822969650712007</v>
      </c>
      <c r="Y251" s="6"/>
      <c r="Z251" s="41"/>
      <c r="AA251" s="41"/>
      <c r="AB251" s="3" t="s">
        <v>306</v>
      </c>
      <c r="AC251" s="1">
        <v>11</v>
      </c>
      <c r="AD251" s="1">
        <v>23719.500000000004</v>
      </c>
      <c r="AE251" s="8">
        <v>1.5414584872889566E-4</v>
      </c>
      <c r="AF251" s="1">
        <v>9478.7198051610721</v>
      </c>
      <c r="AG251" s="6">
        <f t="shared" si="14"/>
        <v>-0.82629231964791294</v>
      </c>
      <c r="AH251" s="6">
        <f t="shared" si="15"/>
        <v>1</v>
      </c>
      <c r="AI251" s="6" t="str">
        <f>VLOOKUP(AB251,'ABC расчет'!AC:AC,1,0)</f>
        <v>VERONIKA GTS</v>
      </c>
      <c r="AJ251" s="6"/>
    </row>
    <row r="252" spans="6:36" x14ac:dyDescent="0.3">
      <c r="F252" s="1"/>
      <c r="G252" s="1"/>
      <c r="I252" s="1"/>
      <c r="J252" s="3" t="s">
        <v>180</v>
      </c>
      <c r="K252" s="1">
        <v>14</v>
      </c>
      <c r="L252" s="1">
        <v>18181.900000000001</v>
      </c>
      <c r="M252" s="8">
        <v>1.2554347823028996E-4</v>
      </c>
      <c r="N252" s="1">
        <v>9204.1716286079463</v>
      </c>
      <c r="O252" s="6">
        <f t="shared" si="12"/>
        <v>0.90253426893838173</v>
      </c>
      <c r="P252" s="6"/>
      <c r="Q252" s="6"/>
      <c r="R252" s="41"/>
      <c r="S252" s="3" t="s">
        <v>200</v>
      </c>
      <c r="T252" s="1">
        <v>8</v>
      </c>
      <c r="U252" s="1">
        <v>29964.54</v>
      </c>
      <c r="V252" s="8">
        <v>1.8251552237790508E-4</v>
      </c>
      <c r="W252" s="1">
        <v>13624.016906043367</v>
      </c>
      <c r="X252" s="6">
        <f t="shared" si="13"/>
        <v>1</v>
      </c>
      <c r="Y252" s="6"/>
      <c r="Z252" s="41"/>
      <c r="AA252" s="41"/>
      <c r="AB252" s="3" t="s">
        <v>93</v>
      </c>
      <c r="AC252" s="1">
        <v>21</v>
      </c>
      <c r="AD252" s="1">
        <v>21926</v>
      </c>
      <c r="AE252" s="8">
        <v>1.42490435263381E-4</v>
      </c>
      <c r="AF252" s="1">
        <v>9296.8670387029215</v>
      </c>
      <c r="AG252" s="6">
        <f t="shared" si="14"/>
        <v>-0.39295874413970522</v>
      </c>
      <c r="AH252" s="6">
        <f t="shared" si="15"/>
        <v>1</v>
      </c>
      <c r="AI252" s="6" t="str">
        <f>VLOOKUP(AB252,'ABC расчет'!AC:AC,1,0)</f>
        <v>TIZIANO</v>
      </c>
      <c r="AJ252" s="6"/>
    </row>
    <row r="253" spans="6:36" x14ac:dyDescent="0.3">
      <c r="F253" s="1"/>
      <c r="G253" s="1"/>
      <c r="I253" s="1"/>
      <c r="J253" s="3" t="s">
        <v>342</v>
      </c>
      <c r="K253" s="1">
        <v>35</v>
      </c>
      <c r="L253" s="1">
        <v>18002.5</v>
      </c>
      <c r="M253" s="8">
        <v>1.2430474630488537E-4</v>
      </c>
      <c r="N253" s="1">
        <v>7232.5262764803792</v>
      </c>
      <c r="O253" s="6">
        <f t="shared" si="12"/>
        <v>1</v>
      </c>
      <c r="P253" s="6"/>
      <c r="Q253" s="6"/>
      <c r="R253" s="41"/>
      <c r="S253" s="3" t="s">
        <v>218</v>
      </c>
      <c r="T253" s="1">
        <v>20</v>
      </c>
      <c r="U253" s="1">
        <v>29516</v>
      </c>
      <c r="V253" s="8">
        <v>1.7978344264608253E-4</v>
      </c>
      <c r="W253" s="1">
        <v>12249.326337714931</v>
      </c>
      <c r="X253" s="6">
        <f t="shared" si="13"/>
        <v>1</v>
      </c>
      <c r="Y253" s="6"/>
      <c r="Z253" s="41"/>
      <c r="AA253" s="41"/>
      <c r="AB253" s="3" t="s">
        <v>287</v>
      </c>
      <c r="AC253" s="1">
        <v>19</v>
      </c>
      <c r="AD253" s="1">
        <v>21299.45</v>
      </c>
      <c r="AE253" s="8">
        <v>1.3841867651968531E-4</v>
      </c>
      <c r="AF253" s="1">
        <v>9427.1450881928467</v>
      </c>
      <c r="AG253" s="6">
        <f t="shared" si="14"/>
        <v>-0.14375963801457958</v>
      </c>
      <c r="AH253" s="6">
        <f t="shared" si="15"/>
        <v>1</v>
      </c>
      <c r="AI253" s="6" t="e">
        <f>VLOOKUP(AB253,'ABC расчет'!AC:AC,1,0)</f>
        <v>#N/A</v>
      </c>
      <c r="AJ253" s="6"/>
    </row>
    <row r="254" spans="6:36" x14ac:dyDescent="0.3">
      <c r="F254" s="1"/>
      <c r="G254" s="1"/>
      <c r="I254" s="1"/>
      <c r="J254" s="3" t="s">
        <v>62</v>
      </c>
      <c r="K254" s="1">
        <v>17</v>
      </c>
      <c r="L254" s="1">
        <v>17326.599999999999</v>
      </c>
      <c r="M254" s="8">
        <v>1.1963775127489107E-4</v>
      </c>
      <c r="N254" s="1">
        <v>7053.7459266383748</v>
      </c>
      <c r="O254" s="6">
        <f t="shared" si="12"/>
        <v>1</v>
      </c>
      <c r="P254" s="6"/>
      <c r="Q254" s="6"/>
      <c r="R254" s="41"/>
      <c r="S254" s="3" t="s">
        <v>313</v>
      </c>
      <c r="T254" s="1">
        <v>12</v>
      </c>
      <c r="U254" s="1">
        <v>26799</v>
      </c>
      <c r="V254" s="8">
        <v>1.6323405879768146E-4</v>
      </c>
      <c r="W254" s="1">
        <v>8434.6427527095657</v>
      </c>
      <c r="X254" s="6">
        <f t="shared" si="13"/>
        <v>-0.30485157084375147</v>
      </c>
      <c r="Y254" s="6"/>
      <c r="Z254" s="41"/>
      <c r="AA254" s="41"/>
      <c r="AB254" s="3" t="s">
        <v>159</v>
      </c>
      <c r="AC254" s="1">
        <v>3</v>
      </c>
      <c r="AD254" s="1">
        <v>21247.5</v>
      </c>
      <c r="AE254" s="8">
        <v>1.3808106919906447E-4</v>
      </c>
      <c r="AF254" s="1">
        <v>5515.133587440615</v>
      </c>
      <c r="AG254" s="6">
        <f t="shared" si="14"/>
        <v>-0.77234517015046256</v>
      </c>
      <c r="AH254" s="6">
        <f t="shared" si="15"/>
        <v>0.20091626252866313</v>
      </c>
      <c r="AI254" s="6" t="e">
        <f>VLOOKUP(AB254,'ABC расчет'!AC:AC,1,0)</f>
        <v>#N/A</v>
      </c>
      <c r="AJ254" s="6"/>
    </row>
    <row r="255" spans="6:36" x14ac:dyDescent="0.3">
      <c r="F255" s="1"/>
      <c r="G255" s="1"/>
      <c r="I255" s="1"/>
      <c r="J255" s="3" t="s">
        <v>217</v>
      </c>
      <c r="K255" s="1">
        <v>14</v>
      </c>
      <c r="L255" s="1">
        <v>16569</v>
      </c>
      <c r="M255" s="8">
        <v>1.1440662916404086E-4</v>
      </c>
      <c r="N255" s="1">
        <v>5194.0947166438318</v>
      </c>
      <c r="O255" s="6">
        <f t="shared" si="12"/>
        <v>-0.73328590639571689</v>
      </c>
      <c r="P255" s="6"/>
      <c r="Q255" s="6"/>
      <c r="R255" s="41"/>
      <c r="S255" s="3" t="s">
        <v>276</v>
      </c>
      <c r="T255" s="1">
        <v>12</v>
      </c>
      <c r="U255" s="1">
        <v>26730</v>
      </c>
      <c r="V255" s="8">
        <v>1.628137763223264E-4</v>
      </c>
      <c r="W255" s="1">
        <v>15663.708293528845</v>
      </c>
      <c r="X255" s="6">
        <f t="shared" si="13"/>
        <v>1.8367867290856328</v>
      </c>
      <c r="Y255" s="6"/>
      <c r="Z255" s="41"/>
      <c r="AA255" s="41"/>
      <c r="AB255" s="3" t="s">
        <v>273</v>
      </c>
      <c r="AC255" s="1">
        <v>19</v>
      </c>
      <c r="AD255" s="1">
        <v>21009</v>
      </c>
      <c r="AE255" s="8">
        <v>1.3653112991190237E-4</v>
      </c>
      <c r="AF255" s="1">
        <v>8257.9327134524974</v>
      </c>
      <c r="AG255" s="6">
        <f t="shared" si="14"/>
        <v>-0.45991225408790926</v>
      </c>
      <c r="AH255" s="6">
        <f t="shared" si="15"/>
        <v>1</v>
      </c>
      <c r="AI255" s="6" t="str">
        <f>VLOOKUP(AB255,'ABC расчет'!AC:AC,1,0)</f>
        <v>СКАМЬЯ E-661</v>
      </c>
      <c r="AJ255" s="6"/>
    </row>
    <row r="256" spans="6:36" x14ac:dyDescent="0.3">
      <c r="F256" s="1"/>
      <c r="G256" s="1"/>
      <c r="I256" s="1"/>
      <c r="J256" s="3" t="s">
        <v>472</v>
      </c>
      <c r="K256" s="1">
        <v>8</v>
      </c>
      <c r="L256" s="1">
        <v>16330.099999999999</v>
      </c>
      <c r="M256" s="8">
        <v>1.1275705805490395E-4</v>
      </c>
      <c r="N256" s="1">
        <v>7137.4570089767376</v>
      </c>
      <c r="O256" s="6">
        <f t="shared" si="12"/>
        <v>1</v>
      </c>
      <c r="P256" s="6"/>
      <c r="Q256" s="6"/>
      <c r="R256" s="41"/>
      <c r="S256" s="3" t="s">
        <v>287</v>
      </c>
      <c r="T256" s="1">
        <v>24</v>
      </c>
      <c r="U256" s="1">
        <v>26647.45</v>
      </c>
      <c r="V256" s="8">
        <v>1.6231096011449221E-4</v>
      </c>
      <c r="W256" s="1">
        <v>11009.928411145569</v>
      </c>
      <c r="X256" s="6">
        <f t="shared" si="13"/>
        <v>0.27235911318695094</v>
      </c>
      <c r="Y256" s="6"/>
      <c r="Z256" s="41"/>
      <c r="AA256" s="41"/>
      <c r="AB256" s="3" t="s">
        <v>180</v>
      </c>
      <c r="AC256" s="1">
        <v>15</v>
      </c>
      <c r="AD256" s="1">
        <v>20671</v>
      </c>
      <c r="AE256" s="8">
        <v>1.3433457025127012E-4</v>
      </c>
      <c r="AF256" s="1">
        <v>8857.1462018068869</v>
      </c>
      <c r="AG256" s="6">
        <f t="shared" si="14"/>
        <v>-0.7882331309919004</v>
      </c>
      <c r="AH256" s="6">
        <f t="shared" si="15"/>
        <v>0.83080290697312931</v>
      </c>
      <c r="AI256" s="6" t="str">
        <f>VLOOKUP(AB256,'ABC расчет'!AC:AC,1,0)</f>
        <v>PIKE</v>
      </c>
      <c r="AJ256" s="6"/>
    </row>
    <row r="257" spans="6:36" x14ac:dyDescent="0.3">
      <c r="F257" s="1"/>
      <c r="G257" s="1"/>
      <c r="I257" s="1"/>
      <c r="J257" s="3" t="s">
        <v>473</v>
      </c>
      <c r="K257" s="1">
        <v>5</v>
      </c>
      <c r="L257" s="1">
        <v>15433</v>
      </c>
      <c r="M257" s="8">
        <v>1.0656270794185785E-4</v>
      </c>
      <c r="N257" s="1">
        <v>6468.7965062448402</v>
      </c>
      <c r="O257" s="6">
        <f t="shared" si="12"/>
        <v>1</v>
      </c>
      <c r="P257" s="6"/>
      <c r="Q257" s="6"/>
      <c r="R257" s="41"/>
      <c r="S257" s="3" t="s">
        <v>130</v>
      </c>
      <c r="T257" s="1">
        <v>6</v>
      </c>
      <c r="U257" s="1">
        <v>23885.4</v>
      </c>
      <c r="V257" s="8">
        <v>1.4548717444703686E-4</v>
      </c>
      <c r="W257" s="1">
        <v>11848.711554361211</v>
      </c>
      <c r="X257" s="6">
        <f t="shared" si="13"/>
        <v>1</v>
      </c>
      <c r="Y257" s="6"/>
      <c r="Z257" s="41"/>
      <c r="AA257" s="41"/>
      <c r="AB257" s="3" t="s">
        <v>472</v>
      </c>
      <c r="AC257" s="1">
        <v>9</v>
      </c>
      <c r="AD257" s="1">
        <v>19554.25</v>
      </c>
      <c r="AE257" s="8">
        <v>1.270771501299356E-4</v>
      </c>
      <c r="AF257" s="1">
        <v>8108.2324765549638</v>
      </c>
      <c r="AG257" s="6">
        <f t="shared" si="14"/>
        <v>-0.71719341028497485</v>
      </c>
      <c r="AH257" s="6">
        <f t="shared" si="15"/>
        <v>1</v>
      </c>
      <c r="AI257" s="6" t="e">
        <f>VLOOKUP(AB257,'ABC расчет'!AC:AC,1,0)</f>
        <v>#N/A</v>
      </c>
      <c r="AJ257" s="6"/>
    </row>
    <row r="258" spans="6:36" x14ac:dyDescent="0.3">
      <c r="F258" s="1"/>
      <c r="G258" s="1"/>
      <c r="I258" s="1"/>
      <c r="J258" s="3" t="s">
        <v>232</v>
      </c>
      <c r="K258" s="1">
        <v>6</v>
      </c>
      <c r="L258" s="1">
        <v>15196.6</v>
      </c>
      <c r="M258" s="8">
        <v>1.0493039898329792E-4</v>
      </c>
      <c r="N258" s="1">
        <v>6896.7543499914163</v>
      </c>
      <c r="O258" s="6">
        <f t="shared" si="12"/>
        <v>-9.4073704755914478E-2</v>
      </c>
      <c r="P258" s="6"/>
      <c r="Q258" s="6"/>
      <c r="R258" s="41"/>
      <c r="S258" s="3" t="s">
        <v>231</v>
      </c>
      <c r="T258" s="1">
        <v>15</v>
      </c>
      <c r="U258" s="1">
        <v>22621.200000000001</v>
      </c>
      <c r="V258" s="8">
        <v>1.3778686857248822E-4</v>
      </c>
      <c r="W258" s="1">
        <v>7332.9583933023623</v>
      </c>
      <c r="X258" s="6">
        <f t="shared" si="13"/>
        <v>-0.37436329430371706</v>
      </c>
      <c r="Y258" s="6"/>
      <c r="Z258" s="41"/>
      <c r="AA258" s="41"/>
      <c r="AB258" s="3" t="s">
        <v>35</v>
      </c>
      <c r="AC258" s="1">
        <v>5</v>
      </c>
      <c r="AD258" s="1">
        <v>18825.349999999999</v>
      </c>
      <c r="AE258" s="8">
        <v>1.2234024972569046E-4</v>
      </c>
      <c r="AF258" s="1">
        <v>8059.0399589852714</v>
      </c>
      <c r="AG258" s="6">
        <f t="shared" si="14"/>
        <v>4.7883960860727282</v>
      </c>
      <c r="AH258" s="6">
        <f t="shared" si="15"/>
        <v>-0.84902146819186219</v>
      </c>
      <c r="AI258" s="6" t="str">
        <f>VLOOKUP(AB258,'ABC расчет'!AC:AC,1,0)</f>
        <v>FACTOR</v>
      </c>
      <c r="AJ258" s="6"/>
    </row>
    <row r="259" spans="6:36" x14ac:dyDescent="0.3">
      <c r="F259" s="1"/>
      <c r="G259" s="1"/>
      <c r="I259" s="1"/>
      <c r="J259" s="3" t="s">
        <v>341</v>
      </c>
      <c r="K259" s="1">
        <v>4</v>
      </c>
      <c r="L259" s="1">
        <v>14629.25</v>
      </c>
      <c r="M259" s="8">
        <v>1.0101292653135643E-4</v>
      </c>
      <c r="N259" s="1">
        <v>7046.339372103912</v>
      </c>
      <c r="O259" s="6">
        <f t="shared" si="12"/>
        <v>1</v>
      </c>
      <c r="P259" s="6"/>
      <c r="Q259" s="6"/>
      <c r="R259" s="41"/>
      <c r="S259" s="3" t="s">
        <v>133</v>
      </c>
      <c r="T259" s="1">
        <v>10</v>
      </c>
      <c r="U259" s="1">
        <v>21493.5</v>
      </c>
      <c r="V259" s="8">
        <v>1.3091799107309849E-4</v>
      </c>
      <c r="W259" s="1">
        <v>7617.4404744634876</v>
      </c>
      <c r="X259" s="6">
        <f t="shared" si="13"/>
        <v>-0.1400410907129237</v>
      </c>
      <c r="Y259" s="6"/>
      <c r="Z259" s="41"/>
      <c r="AA259" s="41"/>
      <c r="AB259" s="3" t="s">
        <v>195</v>
      </c>
      <c r="AC259" s="1">
        <v>3</v>
      </c>
      <c r="AD259" s="1">
        <v>18288</v>
      </c>
      <c r="AE259" s="8">
        <v>1.1884817477409065E-4</v>
      </c>
      <c r="AF259" s="1">
        <v>9415.0837120874894</v>
      </c>
      <c r="AG259" s="6">
        <f t="shared" si="14"/>
        <v>-0.95460687339049377</v>
      </c>
      <c r="AH259" s="6">
        <f t="shared" si="15"/>
        <v>-0.33040411864034447</v>
      </c>
      <c r="AI259" s="6" t="e">
        <f>VLOOKUP(AB259,'ABC расчет'!AC:AC,1,0)</f>
        <v>#N/A</v>
      </c>
      <c r="AJ259" s="6"/>
    </row>
    <row r="260" spans="6:36" x14ac:dyDescent="0.3">
      <c r="F260" s="1"/>
      <c r="G260" s="1"/>
      <c r="I260" s="1"/>
      <c r="J260" s="3" t="s">
        <v>144</v>
      </c>
      <c r="K260" s="1">
        <v>4</v>
      </c>
      <c r="L260" s="1">
        <v>14467.55</v>
      </c>
      <c r="M260" s="8">
        <v>9.9896410632036885E-5</v>
      </c>
      <c r="N260" s="1">
        <v>6346.483856529705</v>
      </c>
      <c r="O260" s="6">
        <f t="shared" si="12"/>
        <v>1</v>
      </c>
      <c r="P260" s="6"/>
      <c r="Q260" s="6"/>
      <c r="R260" s="41"/>
      <c r="S260" s="3" t="s">
        <v>137</v>
      </c>
      <c r="T260" s="1">
        <v>9</v>
      </c>
      <c r="U260" s="1">
        <v>19203.2</v>
      </c>
      <c r="V260" s="8">
        <v>1.1696765841649452E-4</v>
      </c>
      <c r="W260" s="1">
        <v>9419.1909212398677</v>
      </c>
      <c r="X260" s="6">
        <f t="shared" si="13"/>
        <v>1.7707392103394004</v>
      </c>
      <c r="Y260" s="6"/>
      <c r="Z260" s="41"/>
      <c r="AA260" s="41"/>
      <c r="AB260" s="3" t="s">
        <v>202</v>
      </c>
      <c r="AC260" s="1">
        <v>4</v>
      </c>
      <c r="AD260" s="1">
        <v>17953.5</v>
      </c>
      <c r="AE260" s="8">
        <v>1.1667436055373121E-4</v>
      </c>
      <c r="AF260" s="1">
        <v>9820.7225744922544</v>
      </c>
      <c r="AG260" s="6">
        <f t="shared" si="14"/>
        <v>-0.8247437669672919</v>
      </c>
      <c r="AH260" s="6">
        <f t="shared" si="15"/>
        <v>1</v>
      </c>
      <c r="AI260" s="6" t="e">
        <f>VLOOKUP(AB260,'ABC расчет'!AC:AC,1,0)</f>
        <v>#N/A</v>
      </c>
      <c r="AJ260" s="6"/>
    </row>
    <row r="261" spans="6:36" x14ac:dyDescent="0.3">
      <c r="F261" s="1"/>
      <c r="G261" s="1"/>
      <c r="I261" s="1"/>
      <c r="J261" s="3" t="s">
        <v>240</v>
      </c>
      <c r="K261" s="1">
        <v>6</v>
      </c>
      <c r="L261" s="1">
        <v>14452.4</v>
      </c>
      <c r="M261" s="8">
        <v>9.9791801999540354E-5</v>
      </c>
      <c r="N261" s="1">
        <v>6134.7015708972649</v>
      </c>
      <c r="O261" s="6">
        <f t="shared" si="12"/>
        <v>1</v>
      </c>
      <c r="P261" s="6"/>
      <c r="Q261" s="6"/>
      <c r="R261" s="41"/>
      <c r="S261" s="3" t="s">
        <v>481</v>
      </c>
      <c r="T261" s="1">
        <v>3</v>
      </c>
      <c r="U261" s="1">
        <v>18374.5</v>
      </c>
      <c r="V261" s="8">
        <v>1.1192000497697667E-4</v>
      </c>
      <c r="W261" s="1">
        <v>9066.9032490097889</v>
      </c>
      <c r="X261" s="6">
        <f t="shared" si="13"/>
        <v>2.5229548514375497</v>
      </c>
      <c r="Y261" s="6"/>
      <c r="Z261" s="41"/>
      <c r="AA261" s="41"/>
      <c r="AB261" s="3" t="s">
        <v>462</v>
      </c>
      <c r="AC261" s="1">
        <v>3</v>
      </c>
      <c r="AD261" s="1">
        <v>17495</v>
      </c>
      <c r="AE261" s="8">
        <v>1.136947078779919E-4</v>
      </c>
      <c r="AF261" s="1">
        <v>7699.2856660596199</v>
      </c>
      <c r="AG261" s="6">
        <f t="shared" si="14"/>
        <v>-0.72195941154225973</v>
      </c>
      <c r="AH261" s="6">
        <f t="shared" si="15"/>
        <v>1</v>
      </c>
      <c r="AI261" s="6" t="e">
        <f>VLOOKUP(AB261,'ABC расчет'!AC:AC,1,0)</f>
        <v>#N/A</v>
      </c>
      <c r="AJ261" s="6"/>
    </row>
    <row r="262" spans="6:36" x14ac:dyDescent="0.3">
      <c r="F262" s="1"/>
      <c r="G262" s="1"/>
      <c r="I262" s="1"/>
      <c r="J262" s="3" t="s">
        <v>47</v>
      </c>
      <c r="K262" s="1">
        <v>1</v>
      </c>
      <c r="L262" s="1">
        <v>14215</v>
      </c>
      <c r="M262" s="8">
        <v>9.8152588180749634E-5</v>
      </c>
      <c r="N262" s="1">
        <v>5896.3786833630966</v>
      </c>
      <c r="O262" s="6">
        <f t="shared" si="12"/>
        <v>1</v>
      </c>
      <c r="P262" s="6"/>
      <c r="Q262" s="6"/>
      <c r="R262" s="41"/>
      <c r="S262" s="3" t="s">
        <v>470</v>
      </c>
      <c r="T262" s="1">
        <v>3</v>
      </c>
      <c r="U262" s="1">
        <v>16891.95</v>
      </c>
      <c r="V262" s="8">
        <v>1.0288971825469217E-4</v>
      </c>
      <c r="W262" s="1">
        <v>7379.0590289775992</v>
      </c>
      <c r="X262" s="6">
        <f t="shared" si="13"/>
        <v>-0.51444000391103384</v>
      </c>
      <c r="Y262" s="6"/>
      <c r="Z262" s="41"/>
      <c r="AA262" s="41"/>
      <c r="AB262" s="3" t="s">
        <v>467</v>
      </c>
      <c r="AC262" s="1">
        <v>4</v>
      </c>
      <c r="AD262" s="1">
        <v>17222.5</v>
      </c>
      <c r="AE262" s="8">
        <v>1.1192381288532241E-4</v>
      </c>
      <c r="AF262" s="1">
        <v>7748.5918047372534</v>
      </c>
      <c r="AG262" s="6">
        <f t="shared" si="14"/>
        <v>-0.81584846682968959</v>
      </c>
      <c r="AH262" s="6">
        <f t="shared" si="15"/>
        <v>1</v>
      </c>
      <c r="AI262" s="6" t="e">
        <f>VLOOKUP(AB262,'ABC расчет'!AC:AC,1,0)</f>
        <v>#N/A</v>
      </c>
      <c r="AJ262" s="6"/>
    </row>
    <row r="263" spans="6:36" x14ac:dyDescent="0.3">
      <c r="F263" s="1"/>
      <c r="G263" s="1"/>
      <c r="I263" s="1"/>
      <c r="J263" s="3" t="s">
        <v>308</v>
      </c>
      <c r="K263" s="1">
        <v>4</v>
      </c>
      <c r="L263" s="1">
        <v>14156</v>
      </c>
      <c r="M263" s="8">
        <v>9.7745201427132738E-5</v>
      </c>
      <c r="N263" s="1">
        <v>3040.7744227114531</v>
      </c>
      <c r="O263" s="6">
        <f t="shared" si="12"/>
        <v>1</v>
      </c>
      <c r="P263" s="6"/>
      <c r="Q263" s="6"/>
      <c r="R263" s="41"/>
      <c r="S263" s="3" t="s">
        <v>73</v>
      </c>
      <c r="T263" s="1">
        <v>7</v>
      </c>
      <c r="U263" s="1">
        <v>16885.2</v>
      </c>
      <c r="V263" s="8">
        <v>1.0284860366471178E-4</v>
      </c>
      <c r="W263" s="1">
        <v>9072.3883322122456</v>
      </c>
      <c r="X263" s="6">
        <f t="shared" si="13"/>
        <v>2.2279813308831677</v>
      </c>
      <c r="Y263" s="6"/>
      <c r="Z263" s="41"/>
      <c r="AA263" s="41"/>
      <c r="AB263" s="3" t="s">
        <v>358</v>
      </c>
      <c r="AC263" s="1">
        <v>8</v>
      </c>
      <c r="AD263" s="1">
        <v>17133.199999999997</v>
      </c>
      <c r="AE263" s="8">
        <v>1.1134347922350446E-4</v>
      </c>
      <c r="AF263" s="1">
        <v>6753.5711394946557</v>
      </c>
      <c r="AG263" s="6">
        <f t="shared" si="14"/>
        <v>1</v>
      </c>
      <c r="AH263" s="6">
        <f t="shared" si="15"/>
        <v>1</v>
      </c>
      <c r="AI263" s="6" t="str">
        <f>VLOOKUP(AB263,'ABC расчет'!AC:AC,1,0)</f>
        <v>VERONIKA HOKER</v>
      </c>
      <c r="AJ263" s="6"/>
    </row>
    <row r="264" spans="6:36" x14ac:dyDescent="0.3">
      <c r="F264" s="1"/>
      <c r="G264" s="1"/>
      <c r="I264" s="1"/>
      <c r="J264" s="3" t="s">
        <v>474</v>
      </c>
      <c r="K264" s="1">
        <v>2</v>
      </c>
      <c r="L264" s="1">
        <v>13640</v>
      </c>
      <c r="M264" s="8">
        <v>9.4182293548042564E-5</v>
      </c>
      <c r="N264" s="1">
        <v>6403.5120875592502</v>
      </c>
      <c r="O264" s="6">
        <f t="shared" si="12"/>
        <v>1</v>
      </c>
      <c r="P264" s="6"/>
      <c r="Q264" s="6"/>
      <c r="R264" s="41"/>
      <c r="S264" s="3" t="s">
        <v>110</v>
      </c>
      <c r="T264" s="1">
        <v>20</v>
      </c>
      <c r="U264" s="1">
        <v>16456.5</v>
      </c>
      <c r="V264" s="8">
        <v>1.0023737037217974E-4</v>
      </c>
      <c r="W264" s="1">
        <v>7312.3739052492529</v>
      </c>
      <c r="X264" s="6">
        <f t="shared" si="13"/>
        <v>1.6566327066212554</v>
      </c>
      <c r="Y264" s="6"/>
      <c r="Z264" s="41"/>
      <c r="AA264" s="41"/>
      <c r="AB264" s="3" t="s">
        <v>163</v>
      </c>
      <c r="AC264" s="1">
        <v>5</v>
      </c>
      <c r="AD264" s="1">
        <v>15959.15</v>
      </c>
      <c r="AE264" s="8">
        <v>1.037136837514178E-4</v>
      </c>
      <c r="AF264" s="1">
        <v>6294.3140134663763</v>
      </c>
      <c r="AG264" s="6">
        <f t="shared" si="14"/>
        <v>-0.71502250922840926</v>
      </c>
      <c r="AH264" s="6">
        <f t="shared" si="15"/>
        <v>1</v>
      </c>
      <c r="AI264" s="6" t="str">
        <f>VLOOKUP(AB264,'ABC расчет'!AC:AC,1,0)</f>
        <v>KAJA EXT</v>
      </c>
      <c r="AJ264" s="6"/>
    </row>
    <row r="265" spans="6:36" x14ac:dyDescent="0.3">
      <c r="F265" s="1"/>
      <c r="G265" s="1"/>
      <c r="I265" s="1"/>
      <c r="J265" s="3" t="s">
        <v>202</v>
      </c>
      <c r="K265" s="1">
        <v>4</v>
      </c>
      <c r="L265" s="1">
        <v>13600</v>
      </c>
      <c r="M265" s="8">
        <v>9.3906099138810773E-5</v>
      </c>
      <c r="N265" s="1">
        <v>5580.3675692233719</v>
      </c>
      <c r="O265" s="6">
        <f t="shared" si="12"/>
        <v>1</v>
      </c>
      <c r="P265" s="6"/>
      <c r="Q265" s="6"/>
      <c r="R265" s="41"/>
      <c r="S265" s="3" t="s">
        <v>142</v>
      </c>
      <c r="T265" s="1">
        <v>5</v>
      </c>
      <c r="U265" s="1">
        <v>15920.4</v>
      </c>
      <c r="V265" s="8">
        <v>9.6971958270182014E-5</v>
      </c>
      <c r="W265" s="1">
        <v>6897.7638762586421</v>
      </c>
      <c r="X265" s="6">
        <f t="shared" si="13"/>
        <v>1.5389943906593686</v>
      </c>
      <c r="Y265" s="6"/>
      <c r="Z265" s="41"/>
      <c r="AA265" s="41"/>
      <c r="AB265" s="3" t="s">
        <v>269</v>
      </c>
      <c r="AC265" s="1">
        <v>2</v>
      </c>
      <c r="AD265" s="1">
        <v>15770</v>
      </c>
      <c r="AE265" s="8">
        <v>1.0248445517210245E-4</v>
      </c>
      <c r="AF265" s="1">
        <v>7896.7776137029687</v>
      </c>
      <c r="AG265" s="6">
        <f t="shared" si="14"/>
        <v>-0.98823392314266778</v>
      </c>
      <c r="AH265" s="6">
        <f t="shared" si="15"/>
        <v>1</v>
      </c>
      <c r="AI265" s="6" t="str">
        <f>VLOOKUP(AB265,'ABC расчет'!AC:AC,1,0)</f>
        <v>REWIND</v>
      </c>
      <c r="AJ265" s="6"/>
    </row>
    <row r="266" spans="6:36" x14ac:dyDescent="0.3">
      <c r="F266" s="1"/>
      <c r="G266" s="1"/>
      <c r="I266" s="1"/>
      <c r="J266" s="3" t="s">
        <v>316</v>
      </c>
      <c r="K266" s="1">
        <v>22</v>
      </c>
      <c r="L266" s="1">
        <v>13318</v>
      </c>
      <c r="M266" s="8">
        <v>9.1958928553726601E-5</v>
      </c>
      <c r="N266" s="1">
        <v>5710.5660290111646</v>
      </c>
      <c r="O266" s="6">
        <f t="shared" si="12"/>
        <v>1</v>
      </c>
      <c r="P266" s="6"/>
      <c r="Q266" s="6"/>
      <c r="R266" s="41"/>
      <c r="S266" s="3" t="s">
        <v>131</v>
      </c>
      <c r="T266" s="1">
        <v>2</v>
      </c>
      <c r="U266" s="1">
        <v>14545</v>
      </c>
      <c r="V266" s="8">
        <v>8.8594327594771323E-5</v>
      </c>
      <c r="W266" s="1">
        <v>7781.0630598584612</v>
      </c>
      <c r="X266" s="6">
        <f t="shared" si="13"/>
        <v>-0.67470169857803053</v>
      </c>
      <c r="Y266" s="6"/>
      <c r="Z266" s="41"/>
      <c r="AA266" s="41"/>
      <c r="AB266" s="3" t="s">
        <v>217</v>
      </c>
      <c r="AC266" s="1">
        <v>11</v>
      </c>
      <c r="AD266" s="1">
        <v>15341</v>
      </c>
      <c r="AE266" s="8">
        <v>9.9696514064376898E-5</v>
      </c>
      <c r="AF266" s="1">
        <v>6362.4339601044967</v>
      </c>
      <c r="AG266" s="6">
        <f t="shared" si="14"/>
        <v>-0.87113568561548493</v>
      </c>
      <c r="AH266" s="6">
        <f t="shared" si="15"/>
        <v>-0.67329228684476772</v>
      </c>
      <c r="AI266" s="6" t="str">
        <f>VLOOKUP(AB266,'ABC расчет'!AC:AC,1,0)</f>
        <v>СТОЛ УЧЕН. E-162</v>
      </c>
      <c r="AJ266" s="6"/>
    </row>
    <row r="267" spans="6:36" x14ac:dyDescent="0.3">
      <c r="F267" s="1"/>
      <c r="G267" s="1"/>
      <c r="I267" s="1"/>
      <c r="J267" s="3" t="s">
        <v>475</v>
      </c>
      <c r="K267" s="1">
        <v>3</v>
      </c>
      <c r="L267" s="1">
        <v>13176</v>
      </c>
      <c r="M267" s="8">
        <v>9.0978438400953732E-5</v>
      </c>
      <c r="N267" s="1">
        <v>4365.5524671206122</v>
      </c>
      <c r="O267" s="6">
        <f t="shared" si="12"/>
        <v>1</v>
      </c>
      <c r="P267" s="6"/>
      <c r="Q267" s="6"/>
      <c r="R267" s="41"/>
      <c r="S267" s="3" t="s">
        <v>77</v>
      </c>
      <c r="T267" s="1">
        <v>8</v>
      </c>
      <c r="U267" s="1">
        <v>13788</v>
      </c>
      <c r="V267" s="8">
        <v>8.3983402466600694E-5</v>
      </c>
      <c r="W267" s="1">
        <v>5209.8027565319344</v>
      </c>
      <c r="X267" s="6">
        <f t="shared" si="13"/>
        <v>-0.86735113476021264</v>
      </c>
      <c r="Y267" s="6"/>
      <c r="Z267" s="41"/>
      <c r="AA267" s="41"/>
      <c r="AB267" s="3" t="s">
        <v>481</v>
      </c>
      <c r="AC267" s="1">
        <v>3</v>
      </c>
      <c r="AD267" s="1">
        <v>13750</v>
      </c>
      <c r="AE267" s="8">
        <v>8.9357086786075375E-5</v>
      </c>
      <c r="AF267" s="1">
        <v>6027.3580789028474</v>
      </c>
      <c r="AG267" s="6">
        <f t="shared" si="14"/>
        <v>-0.3352352050783044</v>
      </c>
      <c r="AH267" s="6">
        <f t="shared" si="15"/>
        <v>1</v>
      </c>
      <c r="AI267" s="6" t="e">
        <f>VLOOKUP(AB267,'ABC расчет'!AC:AC,1,0)</f>
        <v>#N/A</v>
      </c>
      <c r="AJ267" s="6"/>
    </row>
    <row r="268" spans="6:36" x14ac:dyDescent="0.3">
      <c r="F268" s="1"/>
      <c r="G268" s="1"/>
      <c r="I268" s="1"/>
      <c r="J268" s="3" t="s">
        <v>90</v>
      </c>
      <c r="K268" s="1">
        <v>8</v>
      </c>
      <c r="L268" s="1">
        <v>12696</v>
      </c>
      <c r="M268" s="8">
        <v>8.7664105490172173E-5</v>
      </c>
      <c r="N268" s="1">
        <v>4985.8073234090989</v>
      </c>
      <c r="O268" s="6">
        <f t="shared" si="12"/>
        <v>0.60419904391706214</v>
      </c>
      <c r="P268" s="6"/>
      <c r="Q268" s="6"/>
      <c r="R268" s="41"/>
      <c r="S268" s="3" t="s">
        <v>25</v>
      </c>
      <c r="T268" s="1">
        <v>3</v>
      </c>
      <c r="U268" s="1">
        <v>13608.9</v>
      </c>
      <c r="V268" s="8">
        <v>8.289249534578779E-5</v>
      </c>
      <c r="W268" s="1">
        <v>3215.0699302696839</v>
      </c>
      <c r="X268" s="6">
        <f t="shared" si="13"/>
        <v>-0.79114791803780293</v>
      </c>
      <c r="Y268" s="6"/>
      <c r="Z268" s="41"/>
      <c r="AA268" s="41"/>
      <c r="AB268" s="3" t="s">
        <v>244</v>
      </c>
      <c r="AC268" s="1">
        <v>3</v>
      </c>
      <c r="AD268" s="1">
        <v>13670</v>
      </c>
      <c r="AE268" s="8">
        <v>8.8837191008410941E-5</v>
      </c>
      <c r="AF268" s="1">
        <v>5059.3487670440563</v>
      </c>
      <c r="AG268" s="6">
        <f t="shared" si="14"/>
        <v>4.9181207587922273</v>
      </c>
      <c r="AH268" s="6">
        <f t="shared" si="15"/>
        <v>-0.92978982588382708</v>
      </c>
      <c r="AI268" s="6" t="str">
        <f>VLOOKUP(AB268,'ABC расчет'!AC:AC,1,0)</f>
        <v>ROCKY</v>
      </c>
      <c r="AJ268" s="6"/>
    </row>
    <row r="269" spans="6:36" x14ac:dyDescent="0.3">
      <c r="F269" s="1"/>
      <c r="G269" s="1"/>
      <c r="I269" s="1"/>
      <c r="J269" s="3" t="s">
        <v>276</v>
      </c>
      <c r="K269" s="1">
        <v>6</v>
      </c>
      <c r="L269" s="1">
        <v>12315</v>
      </c>
      <c r="M269" s="8">
        <v>8.5033353742239315E-5</v>
      </c>
      <c r="N269" s="1">
        <v>5521.6376095278938</v>
      </c>
      <c r="O269" s="6">
        <f t="shared" si="12"/>
        <v>1</v>
      </c>
      <c r="P269" s="6"/>
      <c r="Q269" s="6"/>
      <c r="R269" s="41"/>
      <c r="S269" s="3" t="s">
        <v>210</v>
      </c>
      <c r="T269" s="1">
        <v>16</v>
      </c>
      <c r="U269" s="1">
        <v>13350</v>
      </c>
      <c r="V269" s="8">
        <v>8.1315522405651239E-5</v>
      </c>
      <c r="W269" s="1">
        <v>2892.3281515732297</v>
      </c>
      <c r="X269" s="6">
        <f t="shared" si="13"/>
        <v>0.64676242539996776</v>
      </c>
      <c r="Y269" s="6"/>
      <c r="Z269" s="41"/>
      <c r="AA269" s="41"/>
      <c r="AB269" s="3" t="s">
        <v>473</v>
      </c>
      <c r="AC269" s="1">
        <v>4</v>
      </c>
      <c r="AD269" s="1">
        <v>13524</v>
      </c>
      <c r="AE269" s="8">
        <v>8.7888381214173343E-5</v>
      </c>
      <c r="AF269" s="1">
        <v>4380.2078090347604</v>
      </c>
      <c r="AG269" s="6">
        <f t="shared" si="14"/>
        <v>0.89641770643319063</v>
      </c>
      <c r="AH269" s="6">
        <f t="shared" si="15"/>
        <v>1</v>
      </c>
      <c r="AI269" s="6" t="e">
        <f>VLOOKUP(AB269,'ABC расчет'!AC:AC,1,0)</f>
        <v>#N/A</v>
      </c>
      <c r="AJ269" s="6"/>
    </row>
    <row r="270" spans="6:36" x14ac:dyDescent="0.3">
      <c r="F270" s="1"/>
      <c r="G270" s="1"/>
      <c r="I270" s="1"/>
      <c r="J270" s="3" t="s">
        <v>201</v>
      </c>
      <c r="K270" s="1">
        <v>5</v>
      </c>
      <c r="L270" s="1">
        <v>11148</v>
      </c>
      <c r="M270" s="8">
        <v>7.6975381852901649E-5</v>
      </c>
      <c r="N270" s="1">
        <v>2646.5678200363222</v>
      </c>
      <c r="O270" s="6">
        <f t="shared" si="12"/>
        <v>0.45276607156169479</v>
      </c>
      <c r="P270" s="6"/>
      <c r="Q270" s="6"/>
      <c r="R270" s="41"/>
      <c r="S270" s="3" t="s">
        <v>492</v>
      </c>
      <c r="T270" s="1">
        <v>4</v>
      </c>
      <c r="U270" s="1">
        <v>12687.6</v>
      </c>
      <c r="V270" s="8">
        <v>7.7280810642242737E-5</v>
      </c>
      <c r="W270" s="1">
        <v>7297.7420370745094</v>
      </c>
      <c r="X270" s="6">
        <f t="shared" si="13"/>
        <v>1</v>
      </c>
      <c r="Y270" s="6"/>
      <c r="Z270" s="41"/>
      <c r="AA270" s="41"/>
      <c r="AB270" s="3" t="s">
        <v>87</v>
      </c>
      <c r="AC270" s="1">
        <v>2</v>
      </c>
      <c r="AD270" s="1">
        <v>13437</v>
      </c>
      <c r="AE270" s="8">
        <v>8.7322994555963262E-5</v>
      </c>
      <c r="AF270" s="1">
        <v>6694.6779044762588</v>
      </c>
      <c r="AG270" s="6">
        <f t="shared" si="14"/>
        <v>1</v>
      </c>
      <c r="AH270" s="6">
        <f t="shared" si="15"/>
        <v>0.28740677453767716</v>
      </c>
      <c r="AI270" s="6" t="str">
        <f>VLOOKUP(AB270,'ABC расчет'!AC:AC,1,0)</f>
        <v>STAR</v>
      </c>
      <c r="AJ270" s="6"/>
    </row>
    <row r="271" spans="6:36" x14ac:dyDescent="0.3">
      <c r="F271" s="1"/>
      <c r="G271" s="1"/>
      <c r="I271" s="1"/>
      <c r="J271" s="3" t="s">
        <v>476</v>
      </c>
      <c r="K271" s="1">
        <v>4</v>
      </c>
      <c r="L271" s="1">
        <v>10790</v>
      </c>
      <c r="M271" s="8">
        <v>7.450344189027707E-5</v>
      </c>
      <c r="N271" s="1">
        <v>4659.0919515938658</v>
      </c>
      <c r="O271" s="6">
        <f t="shared" si="12"/>
        <v>1</v>
      </c>
      <c r="P271" s="6"/>
      <c r="Q271" s="6"/>
      <c r="R271" s="41"/>
      <c r="S271" s="3" t="s">
        <v>136</v>
      </c>
      <c r="T271" s="1">
        <v>9</v>
      </c>
      <c r="U271" s="1">
        <v>12567.1</v>
      </c>
      <c r="V271" s="8">
        <v>7.6546839072963273E-5</v>
      </c>
      <c r="W271" s="1">
        <v>5629.5655211832709</v>
      </c>
      <c r="X271" s="6">
        <f t="shared" si="13"/>
        <v>-0.59049753720520348</v>
      </c>
      <c r="Y271" s="6"/>
      <c r="Z271" s="41"/>
      <c r="AA271" s="41"/>
      <c r="AB271" s="3" t="s">
        <v>12</v>
      </c>
      <c r="AC271" s="1">
        <v>10</v>
      </c>
      <c r="AD271" s="1">
        <v>13349.6</v>
      </c>
      <c r="AE271" s="8">
        <v>8.6755008418864867E-5</v>
      </c>
      <c r="AF271" s="1">
        <v>6507.9224815303014</v>
      </c>
      <c r="AG271" s="6">
        <f t="shared" si="14"/>
        <v>-0.58135459551505164</v>
      </c>
      <c r="AH271" s="6">
        <f t="shared" si="15"/>
        <v>1</v>
      </c>
      <c r="AI271" s="6" t="str">
        <f>VLOOKUP(AB271,'ABC расчет'!AC:AC,1,0)</f>
        <v>BAMBO</v>
      </c>
      <c r="AJ271" s="6"/>
    </row>
    <row r="272" spans="6:36" x14ac:dyDescent="0.3">
      <c r="F272" s="1"/>
      <c r="G272" s="1"/>
      <c r="I272" s="1"/>
      <c r="J272" s="3" t="s">
        <v>477</v>
      </c>
      <c r="K272" s="1">
        <v>8</v>
      </c>
      <c r="L272" s="1">
        <v>10764</v>
      </c>
      <c r="M272" s="8">
        <v>7.4323915524276412E-5</v>
      </c>
      <c r="N272" s="1">
        <v>1255.6743813708515</v>
      </c>
      <c r="O272" s="6">
        <f t="shared" si="12"/>
        <v>1</v>
      </c>
      <c r="P272" s="6"/>
      <c r="Q272" s="6"/>
      <c r="R272" s="41"/>
      <c r="S272" s="3" t="s">
        <v>237</v>
      </c>
      <c r="T272" s="1">
        <v>7</v>
      </c>
      <c r="U272" s="1">
        <v>11445</v>
      </c>
      <c r="V272" s="8">
        <v>6.9712071455631342E-5</v>
      </c>
      <c r="W272" s="1">
        <v>4391.2415305805544</v>
      </c>
      <c r="X272" s="6">
        <f t="shared" si="13"/>
        <v>1</v>
      </c>
      <c r="Y272" s="6"/>
      <c r="Z272" s="41"/>
      <c r="AA272" s="41"/>
      <c r="AB272" s="3" t="s">
        <v>73</v>
      </c>
      <c r="AC272" s="1">
        <v>5</v>
      </c>
      <c r="AD272" s="1">
        <v>12757.5</v>
      </c>
      <c r="AE272" s="8">
        <v>8.2907129794425937E-5</v>
      </c>
      <c r="AF272" s="1">
        <v>6991.2220161477553</v>
      </c>
      <c r="AG272" s="6">
        <f t="shared" si="14"/>
        <v>-0.22939563870685975</v>
      </c>
      <c r="AH272" s="6">
        <f t="shared" si="15"/>
        <v>1</v>
      </c>
      <c r="AI272" s="6" t="str">
        <f>VLOOKUP(AB272,'ABC расчет'!AC:AC,1,0)</f>
        <v>OLIVIA</v>
      </c>
      <c r="AJ272" s="6"/>
    </row>
    <row r="273" spans="6:36" x14ac:dyDescent="0.3">
      <c r="F273" s="1"/>
      <c r="G273" s="1"/>
      <c r="I273" s="1"/>
      <c r="J273" s="3" t="s">
        <v>137</v>
      </c>
      <c r="K273" s="1">
        <v>5</v>
      </c>
      <c r="L273" s="1">
        <v>10620</v>
      </c>
      <c r="M273" s="8">
        <v>7.3329615651041935E-5</v>
      </c>
      <c r="N273" s="1">
        <v>3399.5227288410406</v>
      </c>
      <c r="O273" s="6">
        <f t="shared" si="12"/>
        <v>1</v>
      </c>
      <c r="P273" s="6"/>
      <c r="Q273" s="6"/>
      <c r="R273" s="41"/>
      <c r="S273" s="3" t="s">
        <v>102</v>
      </c>
      <c r="T273" s="1">
        <v>9</v>
      </c>
      <c r="U273" s="1">
        <v>11255.1</v>
      </c>
      <c r="V273" s="8">
        <v>6.8555380990849827E-5</v>
      </c>
      <c r="W273" s="1">
        <v>5144.2727436266714</v>
      </c>
      <c r="X273" s="6">
        <f t="shared" si="13"/>
        <v>0.44181753794351342</v>
      </c>
      <c r="Y273" s="6"/>
      <c r="Z273" s="41"/>
      <c r="AA273" s="41"/>
      <c r="AB273" s="3" t="s">
        <v>102</v>
      </c>
      <c r="AC273" s="1">
        <v>8</v>
      </c>
      <c r="AD273" s="1">
        <v>12366.3</v>
      </c>
      <c r="AE273" s="8">
        <v>8.0364839441646828E-5</v>
      </c>
      <c r="AF273" s="1">
        <v>5225.4251041661028</v>
      </c>
      <c r="AG273" s="6">
        <f t="shared" si="14"/>
        <v>1.577528342368173E-2</v>
      </c>
      <c r="AH273" s="6">
        <f t="shared" si="15"/>
        <v>-0.66706388671302974</v>
      </c>
      <c r="AI273" s="6" t="str">
        <f>VLOOKUP(AB273,'ABC расчет'!AC:AC,1,0)</f>
        <v>ZETA</v>
      </c>
      <c r="AJ273" s="6"/>
    </row>
    <row r="274" spans="6:36" x14ac:dyDescent="0.3">
      <c r="F274" s="1"/>
      <c r="G274" s="1"/>
      <c r="I274" s="1"/>
      <c r="J274" s="3" t="s">
        <v>311</v>
      </c>
      <c r="K274" s="1">
        <v>3</v>
      </c>
      <c r="L274" s="1">
        <v>10281</v>
      </c>
      <c r="M274" s="8">
        <v>7.0988868032802462E-5</v>
      </c>
      <c r="N274" s="1">
        <v>4028.5099662694693</v>
      </c>
      <c r="O274" s="6">
        <f t="shared" si="12"/>
        <v>0.44218437806068867</v>
      </c>
      <c r="P274" s="6"/>
      <c r="Q274" s="6"/>
      <c r="R274" s="41"/>
      <c r="S274" s="3" t="s">
        <v>175</v>
      </c>
      <c r="T274" s="1">
        <v>1</v>
      </c>
      <c r="U274" s="1">
        <v>9082.5</v>
      </c>
      <c r="V274" s="8">
        <v>5.5321964962496431E-5</v>
      </c>
      <c r="W274" s="1">
        <v>4485.740149111929</v>
      </c>
      <c r="X274" s="6">
        <f t="shared" si="13"/>
        <v>-0.46429720612008063</v>
      </c>
      <c r="Y274" s="6"/>
      <c r="Z274" s="41"/>
      <c r="AA274" s="41"/>
      <c r="AB274" s="3" t="s">
        <v>108</v>
      </c>
      <c r="AC274" s="1">
        <v>11</v>
      </c>
      <c r="AD274" s="1">
        <v>12071.5</v>
      </c>
      <c r="AE274" s="8">
        <v>7.8449023500953374E-5</v>
      </c>
      <c r="AF274" s="1">
        <v>7581.9057801965828</v>
      </c>
      <c r="AG274" s="6">
        <f t="shared" si="14"/>
        <v>1.2456267427055714</v>
      </c>
      <c r="AH274" s="6">
        <f t="shared" si="15"/>
        <v>1</v>
      </c>
      <c r="AI274" s="6" t="str">
        <f>VLOOKUP(AB274,'ABC расчет'!AC:AC,1,0)</f>
        <v>KARINA</v>
      </c>
      <c r="AJ274" s="6"/>
    </row>
    <row r="275" spans="6:36" x14ac:dyDescent="0.3">
      <c r="F275" s="1"/>
      <c r="G275" s="1"/>
      <c r="I275" s="1"/>
      <c r="J275" s="3" t="s">
        <v>300</v>
      </c>
      <c r="K275" s="1">
        <v>1</v>
      </c>
      <c r="L275" s="1">
        <v>9965</v>
      </c>
      <c r="M275" s="8">
        <v>6.8806932199871269E-5</v>
      </c>
      <c r="N275" s="1">
        <v>5072.2354173179838</v>
      </c>
      <c r="O275" s="6">
        <f t="shared" si="12"/>
        <v>1</v>
      </c>
      <c r="P275" s="6"/>
      <c r="Q275" s="6"/>
      <c r="R275" s="41"/>
      <c r="S275" s="3" t="s">
        <v>240</v>
      </c>
      <c r="T275" s="1">
        <v>4</v>
      </c>
      <c r="U275" s="1">
        <v>8935.7000000000007</v>
      </c>
      <c r="V275" s="8">
        <v>5.4427798768552643E-5</v>
      </c>
      <c r="W275" s="1">
        <v>3131.7453633580731</v>
      </c>
      <c r="X275" s="6">
        <f t="shared" si="13"/>
        <v>-0.48950322568013327</v>
      </c>
      <c r="Y275" s="6"/>
      <c r="Z275" s="41"/>
      <c r="AA275" s="41"/>
      <c r="AB275" s="3" t="s">
        <v>479</v>
      </c>
      <c r="AC275" s="1">
        <v>1</v>
      </c>
      <c r="AD275" s="1">
        <v>11850</v>
      </c>
      <c r="AE275" s="8">
        <v>7.7009562066544966E-5</v>
      </c>
      <c r="AF275" s="1">
        <v>3056.6239624920013</v>
      </c>
      <c r="AG275" s="6">
        <f t="shared" si="14"/>
        <v>1</v>
      </c>
      <c r="AH275" s="6">
        <f t="shared" si="15"/>
        <v>1</v>
      </c>
      <c r="AI275" s="6" t="e">
        <f>VLOOKUP(AB275,'ABC расчет'!AC:AC,1,0)</f>
        <v>#N/A</v>
      </c>
      <c r="AJ275" s="6"/>
    </row>
    <row r="276" spans="6:36" x14ac:dyDescent="0.3">
      <c r="F276" s="1"/>
      <c r="G276" s="1"/>
      <c r="I276" s="1"/>
      <c r="J276" s="3" t="s">
        <v>55</v>
      </c>
      <c r="K276" s="1">
        <v>36</v>
      </c>
      <c r="L276" s="1">
        <v>9867.3333999999995</v>
      </c>
      <c r="M276" s="8">
        <v>6.8132557977654319E-5</v>
      </c>
      <c r="N276" s="1">
        <v>5220.6093706587044</v>
      </c>
      <c r="O276" s="6">
        <f t="shared" si="12"/>
        <v>-9.2555379220374268E-2</v>
      </c>
      <c r="P276" s="6"/>
      <c r="Q276" s="6"/>
      <c r="R276" s="41"/>
      <c r="S276" s="3" t="s">
        <v>44</v>
      </c>
      <c r="T276" s="1">
        <v>3</v>
      </c>
      <c r="U276" s="1">
        <v>8877.51</v>
      </c>
      <c r="V276" s="8">
        <v>5.4073360547669881E-5</v>
      </c>
      <c r="W276" s="1">
        <v>-102.59456679486425</v>
      </c>
      <c r="X276" s="6">
        <f t="shared" si="13"/>
        <v>1</v>
      </c>
      <c r="Y276" s="6"/>
      <c r="Z276" s="41"/>
      <c r="AA276" s="41"/>
      <c r="AB276" s="3" t="s">
        <v>490</v>
      </c>
      <c r="AC276" s="1">
        <v>8</v>
      </c>
      <c r="AD276" s="1">
        <v>11542</v>
      </c>
      <c r="AE276" s="8">
        <v>7.5007963322536875E-5</v>
      </c>
      <c r="AF276" s="1">
        <v>4390.7624677295544</v>
      </c>
      <c r="AG276" s="6">
        <f t="shared" si="14"/>
        <v>-0.89263165284330981</v>
      </c>
      <c r="AH276" s="6">
        <f t="shared" si="15"/>
        <v>1</v>
      </c>
      <c r="AI276" s="6" t="e">
        <f>VLOOKUP(AB276,'ABC расчет'!AC:AC,1,0)</f>
        <v>#N/A</v>
      </c>
      <c r="AJ276" s="6"/>
    </row>
    <row r="277" spans="6:36" x14ac:dyDescent="0.3">
      <c r="F277" s="1"/>
      <c r="G277" s="1"/>
      <c r="I277" s="1"/>
      <c r="J277" s="3" t="s">
        <v>478</v>
      </c>
      <c r="K277" s="1">
        <v>7</v>
      </c>
      <c r="L277" s="1">
        <v>9738.75</v>
      </c>
      <c r="M277" s="8">
        <v>6.724470757265392E-5</v>
      </c>
      <c r="N277" s="1">
        <v>4691.2680325829515</v>
      </c>
      <c r="O277" s="6">
        <f t="shared" si="12"/>
        <v>1</v>
      </c>
      <c r="P277" s="6"/>
      <c r="Q277" s="6"/>
      <c r="R277" s="41"/>
      <c r="S277" s="3" t="s">
        <v>97</v>
      </c>
      <c r="T277" s="1">
        <v>1</v>
      </c>
      <c r="U277" s="1">
        <v>8820</v>
      </c>
      <c r="V277" s="8">
        <v>5.3723064241036997E-5</v>
      </c>
      <c r="W277" s="1">
        <v>2830.9496221367576</v>
      </c>
      <c r="X277" s="6">
        <f t="shared" si="13"/>
        <v>-0.98376779288680993</v>
      </c>
      <c r="Y277" s="6"/>
      <c r="Z277" s="41"/>
      <c r="AA277" s="41"/>
      <c r="AB277" s="3" t="s">
        <v>176</v>
      </c>
      <c r="AC277" s="1">
        <v>5</v>
      </c>
      <c r="AD277" s="1">
        <v>10795.6</v>
      </c>
      <c r="AE277" s="8">
        <v>7.0157335716927659E-5</v>
      </c>
      <c r="AF277" s="1">
        <v>5394.7467858033624</v>
      </c>
      <c r="AG277" s="6">
        <f t="shared" si="14"/>
        <v>-0.78935557658528477</v>
      </c>
      <c r="AH277" s="6">
        <f t="shared" si="15"/>
        <v>1</v>
      </c>
      <c r="AI277" s="6" t="str">
        <f>VLOOKUP(AB277,'ABC расчет'!AC:AC,1,0)</f>
        <v>NETWORK CF</v>
      </c>
      <c r="AJ277" s="6"/>
    </row>
    <row r="278" spans="6:36" x14ac:dyDescent="0.3">
      <c r="F278" s="1"/>
      <c r="G278" s="1"/>
      <c r="I278" s="1"/>
      <c r="J278" s="3" t="s">
        <v>227</v>
      </c>
      <c r="K278" s="1">
        <v>4</v>
      </c>
      <c r="L278" s="1">
        <v>9540</v>
      </c>
      <c r="M278" s="8">
        <v>6.5872366601783444E-5</v>
      </c>
      <c r="N278" s="1">
        <v>4595.8133978236556</v>
      </c>
      <c r="O278" s="6">
        <f t="shared" si="12"/>
        <v>1</v>
      </c>
      <c r="P278" s="6"/>
      <c r="Q278" s="6"/>
      <c r="R278" s="41"/>
      <c r="S278" s="3" t="s">
        <v>294</v>
      </c>
      <c r="T278" s="1">
        <v>8</v>
      </c>
      <c r="U278" s="1">
        <v>8556</v>
      </c>
      <c r="V278" s="8">
        <v>5.2115026944026361E-5</v>
      </c>
      <c r="W278" s="1">
        <v>3440.4749241950431</v>
      </c>
      <c r="X278" s="6">
        <f t="shared" si="13"/>
        <v>1</v>
      </c>
      <c r="Y278" s="6"/>
      <c r="Z278" s="41"/>
      <c r="AA278" s="41"/>
      <c r="AB278" s="3" t="s">
        <v>276</v>
      </c>
      <c r="AC278" s="1">
        <v>8</v>
      </c>
      <c r="AD278" s="1">
        <v>10592.4</v>
      </c>
      <c r="AE278" s="8">
        <v>6.8836800441659978E-5</v>
      </c>
      <c r="AF278" s="1">
        <v>2920.8730572573782</v>
      </c>
      <c r="AG278" s="6">
        <f t="shared" si="14"/>
        <v>-0.81352608191356068</v>
      </c>
      <c r="AH278" s="6">
        <f t="shared" si="15"/>
        <v>1</v>
      </c>
      <c r="AI278" s="6" t="str">
        <f>VLOOKUP(AB278,'ABC расчет'!AC:AC,1,0)</f>
        <v>NICE</v>
      </c>
      <c r="AJ278" s="6"/>
    </row>
    <row r="279" spans="6:36" x14ac:dyDescent="0.3">
      <c r="F279" s="1"/>
      <c r="G279" s="1"/>
      <c r="I279" s="1"/>
      <c r="J279" s="3" t="s">
        <v>13</v>
      </c>
      <c r="K279" s="1">
        <v>6</v>
      </c>
      <c r="L279" s="1">
        <v>9405</v>
      </c>
      <c r="M279" s="8">
        <v>6.4940210470626128E-5</v>
      </c>
      <c r="N279" s="1">
        <v>5402.7292626908056</v>
      </c>
      <c r="O279" s="6">
        <f t="shared" si="12"/>
        <v>-0.90964051541882607</v>
      </c>
      <c r="P279" s="6"/>
      <c r="Q279" s="6"/>
      <c r="R279" s="41"/>
      <c r="S279" s="3" t="s">
        <v>187</v>
      </c>
      <c r="T279" s="1">
        <v>2</v>
      </c>
      <c r="U279" s="1">
        <v>8065.05</v>
      </c>
      <c r="V279" s="8">
        <v>4.912462576611966E-5</v>
      </c>
      <c r="W279" s="1">
        <v>3647.608087257724</v>
      </c>
      <c r="X279" s="6">
        <f t="shared" si="13"/>
        <v>6.8015272356158674E-2</v>
      </c>
      <c r="Y279" s="6"/>
      <c r="Z279" s="41"/>
      <c r="AA279" s="41"/>
      <c r="AB279" s="3" t="s">
        <v>201</v>
      </c>
      <c r="AC279" s="1">
        <v>5</v>
      </c>
      <c r="AD279" s="1">
        <v>10343.5</v>
      </c>
      <c r="AE279" s="8">
        <v>6.72192747034015E-5</v>
      </c>
      <c r="AF279" s="1">
        <v>2354.0073247240989</v>
      </c>
      <c r="AG279" s="6">
        <f t="shared" si="14"/>
        <v>1.4018125535652342</v>
      </c>
      <c r="AH279" s="6">
        <f t="shared" si="15"/>
        <v>0.29217243090333866</v>
      </c>
      <c r="AI279" s="6" t="e">
        <f>VLOOKUP(AB279,'ABC расчет'!AC:AC,1,0)</f>
        <v>#N/A</v>
      </c>
      <c r="AJ279" s="6"/>
    </row>
    <row r="280" spans="6:36" x14ac:dyDescent="0.3">
      <c r="F280" s="1"/>
      <c r="G280" s="1"/>
      <c r="I280" s="1"/>
      <c r="J280" s="3" t="s">
        <v>310</v>
      </c>
      <c r="K280" s="1">
        <v>2</v>
      </c>
      <c r="L280" s="1">
        <v>8937.7999999999993</v>
      </c>
      <c r="M280" s="8">
        <v>6.1714259770798743E-5</v>
      </c>
      <c r="N280" s="1">
        <v>3741.0115562798637</v>
      </c>
      <c r="O280" s="6">
        <f t="shared" si="12"/>
        <v>-5.8287568293187153E-2</v>
      </c>
      <c r="P280" s="6"/>
      <c r="Q280" s="6"/>
      <c r="R280" s="41"/>
      <c r="S280" s="3" t="s">
        <v>308</v>
      </c>
      <c r="T280" s="1">
        <v>2</v>
      </c>
      <c r="U280" s="1">
        <v>7952</v>
      </c>
      <c r="V280" s="8">
        <v>4.8436032522077799E-5</v>
      </c>
      <c r="W280" s="1">
        <v>1677.0747492349187</v>
      </c>
      <c r="X280" s="6">
        <f t="shared" si="13"/>
        <v>-0.4484711734257899</v>
      </c>
      <c r="Y280" s="6"/>
      <c r="Z280" s="41"/>
      <c r="AA280" s="41"/>
      <c r="AB280" s="3" t="s">
        <v>162</v>
      </c>
      <c r="AC280" s="1">
        <v>6</v>
      </c>
      <c r="AD280" s="1">
        <v>10259.25</v>
      </c>
      <c r="AE280" s="8">
        <v>6.6671759462548635E-5</v>
      </c>
      <c r="AF280" s="1">
        <v>4951.9587787528944</v>
      </c>
      <c r="AG280" s="6">
        <f t="shared" si="14"/>
        <v>-0.82419154772370695</v>
      </c>
      <c r="AH280" s="6">
        <f t="shared" si="15"/>
        <v>1</v>
      </c>
      <c r="AI280" s="6" t="str">
        <f>VLOOKUP(AB280,'ABC расчет'!AC:AC,1,0)</f>
        <v>JUNIOR</v>
      </c>
      <c r="AJ280" s="6"/>
    </row>
    <row r="281" spans="6:36" x14ac:dyDescent="0.3">
      <c r="F281" s="1"/>
      <c r="G281" s="1"/>
      <c r="I281" s="1"/>
      <c r="J281" s="3" t="s">
        <v>298</v>
      </c>
      <c r="K281" s="1">
        <v>1</v>
      </c>
      <c r="L281" s="1">
        <v>8230</v>
      </c>
      <c r="M281" s="8">
        <v>5.6826999699442105E-5</v>
      </c>
      <c r="N281" s="1">
        <v>4271.2750566101322</v>
      </c>
      <c r="O281" s="6">
        <f t="shared" si="12"/>
        <v>1</v>
      </c>
      <c r="P281" s="6"/>
      <c r="Q281" s="6"/>
      <c r="R281" s="41"/>
      <c r="S281" s="3" t="s">
        <v>157</v>
      </c>
      <c r="T281" s="1">
        <v>2</v>
      </c>
      <c r="U281" s="1">
        <v>7690.5</v>
      </c>
      <c r="V281" s="8">
        <v>4.6843222850985826E-5</v>
      </c>
      <c r="W281" s="1">
        <v>3385.6444130202881</v>
      </c>
      <c r="X281" s="6">
        <f t="shared" si="13"/>
        <v>-0.63507400801993175</v>
      </c>
      <c r="Y281" s="6"/>
      <c r="Z281" s="41"/>
      <c r="AA281" s="41"/>
      <c r="AB281" s="3" t="s">
        <v>500</v>
      </c>
      <c r="AC281" s="1">
        <v>5</v>
      </c>
      <c r="AD281" s="1">
        <v>10042.5</v>
      </c>
      <c r="AE281" s="8">
        <v>6.5263166839939056E-5</v>
      </c>
      <c r="AF281" s="1">
        <v>3163.8736441897104</v>
      </c>
      <c r="AG281" s="6">
        <f t="shared" si="14"/>
        <v>1</v>
      </c>
      <c r="AH281" s="6">
        <f t="shared" si="15"/>
        <v>1</v>
      </c>
      <c r="AI281" s="6" t="e">
        <f>VLOOKUP(AB281,'ABC расчет'!AC:AC,1,0)</f>
        <v>#N/A</v>
      </c>
      <c r="AJ281" s="6"/>
    </row>
    <row r="282" spans="6:36" x14ac:dyDescent="0.3">
      <c r="F282" s="1"/>
      <c r="G282" s="1"/>
      <c r="I282" s="1"/>
      <c r="J282" s="3" t="s">
        <v>187</v>
      </c>
      <c r="K282" s="1">
        <v>2</v>
      </c>
      <c r="L282" s="1">
        <v>7668</v>
      </c>
      <c r="M282" s="8">
        <v>5.294646824973537E-5</v>
      </c>
      <c r="N282" s="1">
        <v>3415.3145387244331</v>
      </c>
      <c r="O282" s="6">
        <f t="shared" si="12"/>
        <v>1</v>
      </c>
      <c r="P282" s="6"/>
      <c r="Q282" s="6"/>
      <c r="R282" s="41"/>
      <c r="S282" s="3" t="s">
        <v>41</v>
      </c>
      <c r="T282" s="1">
        <v>1</v>
      </c>
      <c r="U282" s="1">
        <v>7605</v>
      </c>
      <c r="V282" s="8">
        <v>4.6322438044567614E-5</v>
      </c>
      <c r="W282" s="1">
        <v>-43.327570261842311</v>
      </c>
      <c r="X282" s="6">
        <f t="shared" si="13"/>
        <v>-1.0009292952946058</v>
      </c>
      <c r="Y282" s="6"/>
      <c r="Z282" s="41"/>
      <c r="AA282" s="41"/>
      <c r="AB282" s="3" t="s">
        <v>206</v>
      </c>
      <c r="AC282" s="1">
        <v>12</v>
      </c>
      <c r="AD282" s="1">
        <v>8515.2000000000007</v>
      </c>
      <c r="AE282" s="8">
        <v>5.5337706574602845E-5</v>
      </c>
      <c r="AF282" s="1">
        <v>3673.7944755625963</v>
      </c>
      <c r="AG282" s="6">
        <f t="shared" si="14"/>
        <v>2.7156537396214433</v>
      </c>
      <c r="AH282" s="6">
        <f t="shared" si="15"/>
        <v>1</v>
      </c>
      <c r="AI282" s="6" t="str">
        <f>VLOOKUP(AB282,'ABC расчет'!AC:AC,1,0)</f>
        <v>РАМА 4LХ</v>
      </c>
      <c r="AJ282" s="6"/>
    </row>
    <row r="283" spans="6:36" x14ac:dyDescent="0.3">
      <c r="F283" s="1"/>
      <c r="G283" s="1"/>
      <c r="I283" s="1"/>
      <c r="J283" s="3" t="s">
        <v>102</v>
      </c>
      <c r="K283" s="1">
        <v>12</v>
      </c>
      <c r="L283" s="1">
        <v>7574.4</v>
      </c>
      <c r="M283" s="8">
        <v>5.2300173332132959E-5</v>
      </c>
      <c r="N283" s="1">
        <v>3567.9082881486011</v>
      </c>
      <c r="O283" s="6">
        <f t="shared" ref="O283:O346" si="16">IFERROR((N283/VLOOKUP(J283,A:E,5,0))-1,1)</f>
        <v>-0.77267198470159093</v>
      </c>
      <c r="P283" s="6"/>
      <c r="Q283" s="6"/>
      <c r="R283" s="41"/>
      <c r="S283" s="3" t="s">
        <v>493</v>
      </c>
      <c r="T283" s="1">
        <v>1</v>
      </c>
      <c r="U283" s="1">
        <v>7282.5</v>
      </c>
      <c r="V283" s="8">
        <v>4.4358074301060311E-5</v>
      </c>
      <c r="W283" s="1">
        <v>3463.7008980424957</v>
      </c>
      <c r="X283" s="6">
        <f t="shared" ref="X283:X346" si="17">IFERROR((W283/VLOOKUP(S283,J:N,5,0))-1,1)</f>
        <v>1</v>
      </c>
      <c r="Y283" s="6"/>
      <c r="Z283" s="41"/>
      <c r="AA283" s="41"/>
      <c r="AB283" s="3" t="s">
        <v>55</v>
      </c>
      <c r="AC283" s="1">
        <v>29</v>
      </c>
      <c r="AD283" s="1">
        <v>8237.7000000000007</v>
      </c>
      <c r="AE283" s="8">
        <v>5.3534318095829326E-5</v>
      </c>
      <c r="AF283" s="1">
        <v>4161.9070197386955</v>
      </c>
      <c r="AG283" s="6">
        <f t="shared" ref="AG283:AG342" si="18">IFERROR((AF283/VLOOKUP(AB283,S:W,5,0))-1,1)</f>
        <v>1.2376832113409479</v>
      </c>
      <c r="AH283" s="6">
        <f t="shared" si="15"/>
        <v>-0.27657867710368034</v>
      </c>
      <c r="AI283" s="6" t="str">
        <f>VLOOKUP(AB283,'ABC расчет'!AC:AC,1,0)</f>
        <v>JOLA</v>
      </c>
      <c r="AJ283" s="6"/>
    </row>
    <row r="284" spans="6:36" x14ac:dyDescent="0.3">
      <c r="F284" s="1"/>
      <c r="G284" s="1"/>
      <c r="I284" s="1"/>
      <c r="J284" s="3" t="s">
        <v>208</v>
      </c>
      <c r="K284" s="1">
        <v>15</v>
      </c>
      <c r="L284" s="1">
        <v>7035.2</v>
      </c>
      <c r="M284" s="8">
        <v>4.8577072695688349E-5</v>
      </c>
      <c r="N284" s="1">
        <v>1246.4195169633531</v>
      </c>
      <c r="O284" s="6">
        <f t="shared" si="16"/>
        <v>-0.92355365286395186</v>
      </c>
      <c r="P284" s="6"/>
      <c r="Q284" s="6"/>
      <c r="R284" s="41"/>
      <c r="S284" s="3" t="s">
        <v>111</v>
      </c>
      <c r="T284" s="1">
        <v>2</v>
      </c>
      <c r="U284" s="1">
        <v>7215.4</v>
      </c>
      <c r="V284" s="8">
        <v>4.3949364821403436E-5</v>
      </c>
      <c r="W284" s="1">
        <v>4198.290385982642</v>
      </c>
      <c r="X284" s="6">
        <f t="shared" si="17"/>
        <v>-0.70809341638393253</v>
      </c>
      <c r="Y284" s="6"/>
      <c r="Z284" s="41"/>
      <c r="AA284" s="41"/>
      <c r="AB284" s="3" t="s">
        <v>484</v>
      </c>
      <c r="AC284" s="1">
        <v>4</v>
      </c>
      <c r="AD284" s="1">
        <v>8010</v>
      </c>
      <c r="AE284" s="8">
        <v>5.2054564738651906E-5</v>
      </c>
      <c r="AF284" s="1">
        <v>2406.3478498366258</v>
      </c>
      <c r="AG284" s="6">
        <f t="shared" si="18"/>
        <v>3.8873340396339477</v>
      </c>
      <c r="AH284" s="6">
        <f t="shared" ref="AH284:AH342" si="19">IFERROR((AF284/VLOOKUP(AB284,A:E,5,0))-1,1)</f>
        <v>1</v>
      </c>
      <c r="AI284" s="6" t="e">
        <f>VLOOKUP(AB284,'ABC расчет'!AC:AC,1,0)</f>
        <v>#N/A</v>
      </c>
      <c r="AJ284" s="6"/>
    </row>
    <row r="285" spans="6:36" x14ac:dyDescent="0.3">
      <c r="F285" s="1"/>
      <c r="G285" s="1"/>
      <c r="I285" s="1"/>
      <c r="J285" s="3" t="s">
        <v>110</v>
      </c>
      <c r="K285" s="1">
        <v>8</v>
      </c>
      <c r="L285" s="1">
        <v>6464.5</v>
      </c>
      <c r="M285" s="8">
        <v>4.4636468961973696E-5</v>
      </c>
      <c r="N285" s="1">
        <v>2752.4971318106059</v>
      </c>
      <c r="O285" s="6">
        <f t="shared" si="16"/>
        <v>1</v>
      </c>
      <c r="P285" s="6"/>
      <c r="Q285" s="6"/>
      <c r="R285" s="41"/>
      <c r="S285" s="3" t="s">
        <v>107</v>
      </c>
      <c r="T285" s="1">
        <v>7</v>
      </c>
      <c r="U285" s="1">
        <v>7042</v>
      </c>
      <c r="V285" s="8">
        <v>4.289317668768509E-5</v>
      </c>
      <c r="W285" s="1">
        <v>4047.5661792840438</v>
      </c>
      <c r="X285" s="6">
        <f t="shared" si="17"/>
        <v>-0.68423725729488383</v>
      </c>
      <c r="Y285" s="6"/>
      <c r="Z285" s="41"/>
      <c r="AA285" s="41"/>
      <c r="AB285" s="3" t="s">
        <v>501</v>
      </c>
      <c r="AC285" s="1">
        <v>2</v>
      </c>
      <c r="AD285" s="1">
        <v>7856</v>
      </c>
      <c r="AE285" s="8">
        <v>5.1053765366647867E-5</v>
      </c>
      <c r="AF285" s="1">
        <v>964.91570828262729</v>
      </c>
      <c r="AG285" s="6">
        <f t="shared" si="18"/>
        <v>1</v>
      </c>
      <c r="AH285" s="6">
        <f t="shared" si="19"/>
        <v>1</v>
      </c>
      <c r="AI285" s="6" t="e">
        <f>VLOOKUP(AB285,'ABC расчет'!AC:AC,1,0)</f>
        <v>#N/A</v>
      </c>
      <c r="AJ285" s="6"/>
    </row>
    <row r="286" spans="6:36" x14ac:dyDescent="0.3">
      <c r="F286" s="1"/>
      <c r="G286" s="1"/>
      <c r="I286" s="1"/>
      <c r="J286" s="3" t="s">
        <v>142</v>
      </c>
      <c r="K286" s="1">
        <v>2</v>
      </c>
      <c r="L286" s="1">
        <v>6411.7</v>
      </c>
      <c r="M286" s="8">
        <v>4.4271892341787718E-5</v>
      </c>
      <c r="N286" s="1">
        <v>2716.730648021367</v>
      </c>
      <c r="O286" s="6">
        <f t="shared" si="16"/>
        <v>1</v>
      </c>
      <c r="P286" s="6"/>
      <c r="Q286" s="6"/>
      <c r="R286" s="41"/>
      <c r="S286" s="3" t="s">
        <v>207</v>
      </c>
      <c r="T286" s="1">
        <v>10</v>
      </c>
      <c r="U286" s="1">
        <v>6718.8</v>
      </c>
      <c r="V286" s="8">
        <v>4.0924549208920566E-5</v>
      </c>
      <c r="W286" s="1">
        <v>3253.3767201382097</v>
      </c>
      <c r="X286" s="6">
        <f t="shared" si="17"/>
        <v>-0.73641869453228104</v>
      </c>
      <c r="Y286" s="6"/>
      <c r="Z286" s="41"/>
      <c r="AA286" s="41"/>
      <c r="AB286" s="3" t="s">
        <v>227</v>
      </c>
      <c r="AC286" s="1">
        <v>3</v>
      </c>
      <c r="AD286" s="1">
        <v>7783.5</v>
      </c>
      <c r="AE286" s="8">
        <v>5.0582609818139465E-5</v>
      </c>
      <c r="AF286" s="1">
        <v>3633.0496667067682</v>
      </c>
      <c r="AG286" s="6">
        <f t="shared" si="18"/>
        <v>-0.71624784673680764</v>
      </c>
      <c r="AH286" s="6">
        <f t="shared" si="19"/>
        <v>1</v>
      </c>
      <c r="AI286" s="6" t="str">
        <f>VLOOKUP(AB286,'ABC расчет'!AC:AC,1,0)</f>
        <v>BANDI</v>
      </c>
      <c r="AJ286" s="6"/>
    </row>
    <row r="287" spans="6:36" x14ac:dyDescent="0.3">
      <c r="F287" s="1"/>
      <c r="G287" s="1"/>
      <c r="I287" s="1"/>
      <c r="J287" s="3" t="s">
        <v>179</v>
      </c>
      <c r="K287" s="1">
        <v>3</v>
      </c>
      <c r="L287" s="1">
        <v>6373.8</v>
      </c>
      <c r="M287" s="8">
        <v>4.4010198139040596E-5</v>
      </c>
      <c r="N287" s="1">
        <v>2945.7461521330288</v>
      </c>
      <c r="O287" s="6">
        <f t="shared" si="16"/>
        <v>1</v>
      </c>
      <c r="P287" s="6"/>
      <c r="Q287" s="6"/>
      <c r="R287" s="41"/>
      <c r="S287" s="3" t="s">
        <v>473</v>
      </c>
      <c r="T287" s="1">
        <v>2</v>
      </c>
      <c r="U287" s="1">
        <v>6348</v>
      </c>
      <c r="V287" s="8">
        <v>3.8665987732664719E-5</v>
      </c>
      <c r="W287" s="1">
        <v>2309.7273317876352</v>
      </c>
      <c r="X287" s="6">
        <f t="shared" si="17"/>
        <v>-0.64294326934571633</v>
      </c>
      <c r="Y287" s="6"/>
      <c r="Z287" s="41"/>
      <c r="AA287" s="41"/>
      <c r="AB287" s="3" t="s">
        <v>144</v>
      </c>
      <c r="AC287" s="1">
        <v>2</v>
      </c>
      <c r="AD287" s="1">
        <v>7704</v>
      </c>
      <c r="AE287" s="8">
        <v>5.0065963389085435E-5</v>
      </c>
      <c r="AF287" s="1">
        <v>3342.1182614566223</v>
      </c>
      <c r="AG287" s="6">
        <f t="shared" si="18"/>
        <v>1.8757814054068231</v>
      </c>
      <c r="AH287" s="6">
        <f t="shared" si="19"/>
        <v>1</v>
      </c>
      <c r="AI287" s="6" t="str">
        <f>VLOOKUP(AB287,'ABC расчет'!AC:AC,1,0)</f>
        <v>BRAVOS</v>
      </c>
      <c r="AJ287" s="6"/>
    </row>
    <row r="288" spans="6:36" x14ac:dyDescent="0.3">
      <c r="F288" s="1"/>
      <c r="G288" s="1"/>
      <c r="I288" s="1"/>
      <c r="J288" s="3" t="s">
        <v>479</v>
      </c>
      <c r="K288" s="1">
        <v>1</v>
      </c>
      <c r="L288" s="1">
        <v>6367.5</v>
      </c>
      <c r="M288" s="8">
        <v>4.396669751958659E-5</v>
      </c>
      <c r="N288" s="1">
        <v>928.14659761928783</v>
      </c>
      <c r="O288" s="6">
        <f t="shared" si="16"/>
        <v>1</v>
      </c>
      <c r="P288" s="6"/>
      <c r="Q288" s="6"/>
      <c r="R288" s="41"/>
      <c r="S288" s="3" t="s">
        <v>208</v>
      </c>
      <c r="T288" s="1">
        <v>10</v>
      </c>
      <c r="U288" s="1">
        <v>5815</v>
      </c>
      <c r="V288" s="8">
        <v>3.5419457886806136E-5</v>
      </c>
      <c r="W288" s="1">
        <v>1102.8124322202484</v>
      </c>
      <c r="X288" s="6">
        <f t="shared" si="17"/>
        <v>-0.11521569005351751</v>
      </c>
      <c r="Y288" s="6"/>
      <c r="Z288" s="41"/>
      <c r="AA288" s="41"/>
      <c r="AB288" s="3" t="s">
        <v>207</v>
      </c>
      <c r="AC288" s="1">
        <v>10</v>
      </c>
      <c r="AD288" s="1">
        <v>6939.6</v>
      </c>
      <c r="AE288" s="8">
        <v>4.5098359233501725E-5</v>
      </c>
      <c r="AF288" s="1">
        <v>3298.1381524971125</v>
      </c>
      <c r="AG288" s="6">
        <f t="shared" si="18"/>
        <v>1.3758453511341751E-2</v>
      </c>
      <c r="AH288" s="6">
        <f t="shared" si="19"/>
        <v>1</v>
      </c>
      <c r="AI288" s="6" t="str">
        <f>VLOOKUP(AB288,'ABC расчет'!AC:AC,1,0)</f>
        <v>РАМА CF</v>
      </c>
      <c r="AJ288" s="6"/>
    </row>
    <row r="289" spans="6:36" x14ac:dyDescent="0.3">
      <c r="F289" s="1"/>
      <c r="G289" s="1"/>
      <c r="I289" s="1"/>
      <c r="J289" s="3" t="s">
        <v>480</v>
      </c>
      <c r="K289" s="1">
        <v>2</v>
      </c>
      <c r="L289" s="1">
        <v>6000</v>
      </c>
      <c r="M289" s="8">
        <v>4.1429161384769459E-5</v>
      </c>
      <c r="N289" s="1">
        <v>-5079.1106058751902</v>
      </c>
      <c r="O289" s="6">
        <f t="shared" si="16"/>
        <v>1</v>
      </c>
      <c r="P289" s="6"/>
      <c r="Q289" s="6"/>
      <c r="R289" s="41"/>
      <c r="S289" s="3" t="s">
        <v>199</v>
      </c>
      <c r="T289" s="1">
        <v>2</v>
      </c>
      <c r="U289" s="1">
        <v>5703</v>
      </c>
      <c r="V289" s="8">
        <v>3.4737260245650113E-5</v>
      </c>
      <c r="W289" s="1">
        <v>2383.9392057080672</v>
      </c>
      <c r="X289" s="6">
        <f t="shared" si="17"/>
        <v>-0.89777273788042933</v>
      </c>
      <c r="Y289" s="6"/>
      <c r="Z289" s="41"/>
      <c r="AA289" s="41"/>
      <c r="AB289" s="3" t="s">
        <v>141</v>
      </c>
      <c r="AC289" s="1">
        <v>2</v>
      </c>
      <c r="AD289" s="1">
        <v>6906.35</v>
      </c>
      <c r="AE289" s="8">
        <v>4.4882277550909944E-5</v>
      </c>
      <c r="AF289" s="1">
        <v>2769.7492375797956</v>
      </c>
      <c r="AG289" s="6">
        <f t="shared" si="18"/>
        <v>-0.83321486583090687</v>
      </c>
      <c r="AH289" s="6">
        <f t="shared" si="19"/>
        <v>1</v>
      </c>
      <c r="AI289" s="6" t="str">
        <f>VLOOKUP(AB289,'ABC расчет'!AC:AC,1,0)</f>
        <v>BADEN</v>
      </c>
      <c r="AJ289" s="6"/>
    </row>
    <row r="290" spans="6:36" x14ac:dyDescent="0.3">
      <c r="F290" s="1"/>
      <c r="G290" s="1"/>
      <c r="I290" s="1"/>
      <c r="J290" s="3" t="s">
        <v>481</v>
      </c>
      <c r="K290" s="1">
        <v>1</v>
      </c>
      <c r="L290" s="1">
        <v>5860.4</v>
      </c>
      <c r="M290" s="8">
        <v>4.0465242896550488E-5</v>
      </c>
      <c r="N290" s="1">
        <v>2573.6643333110042</v>
      </c>
      <c r="O290" s="6">
        <f t="shared" si="16"/>
        <v>1</v>
      </c>
      <c r="P290" s="6"/>
      <c r="Q290" s="6"/>
      <c r="R290" s="41"/>
      <c r="S290" s="3" t="s">
        <v>108</v>
      </c>
      <c r="T290" s="1">
        <v>5</v>
      </c>
      <c r="U290" s="1">
        <v>5354.2</v>
      </c>
      <c r="V290" s="8">
        <v>3.2612701877478486E-5</v>
      </c>
      <c r="W290" s="1">
        <v>3376.2983117406975</v>
      </c>
      <c r="X290" s="6">
        <f t="shared" si="17"/>
        <v>1</v>
      </c>
      <c r="Y290" s="6"/>
      <c r="Z290" s="41"/>
      <c r="AA290" s="41"/>
      <c r="AB290" s="3" t="s">
        <v>13</v>
      </c>
      <c r="AC290" s="1">
        <v>4</v>
      </c>
      <c r="AD290" s="1">
        <v>6642</v>
      </c>
      <c r="AE290" s="8">
        <v>4.3164346940590008E-5</v>
      </c>
      <c r="AF290" s="1">
        <v>3223.6360155367056</v>
      </c>
      <c r="AG290" s="6">
        <f t="shared" si="18"/>
        <v>1</v>
      </c>
      <c r="AH290" s="6">
        <f t="shared" si="19"/>
        <v>-0.94608538116971419</v>
      </c>
      <c r="AI290" s="6" t="str">
        <f>VLOOKUP(AB290,'ABC расчет'!AC:AC,1,0)</f>
        <v>BC-11</v>
      </c>
      <c r="AJ290" s="6"/>
    </row>
    <row r="291" spans="6:36" x14ac:dyDescent="0.3">
      <c r="F291" s="1"/>
      <c r="G291" s="1"/>
      <c r="I291" s="1"/>
      <c r="J291" s="3" t="s">
        <v>84</v>
      </c>
      <c r="K291" s="1">
        <v>4</v>
      </c>
      <c r="L291" s="1">
        <v>5364</v>
      </c>
      <c r="M291" s="8">
        <v>3.7037670277983898E-5</v>
      </c>
      <c r="N291" s="1">
        <v>2286.1771388785774</v>
      </c>
      <c r="O291" s="6">
        <f t="shared" si="16"/>
        <v>-0.91967981146920674</v>
      </c>
      <c r="P291" s="6"/>
      <c r="Q291" s="6"/>
      <c r="R291" s="41"/>
      <c r="S291" s="3" t="s">
        <v>494</v>
      </c>
      <c r="T291" s="1">
        <v>5</v>
      </c>
      <c r="U291" s="1">
        <v>4803.1000000000004</v>
      </c>
      <c r="V291" s="8">
        <v>2.92559240199688E-5</v>
      </c>
      <c r="W291" s="1">
        <v>-2064.3265112762197</v>
      </c>
      <c r="X291" s="6">
        <f t="shared" si="17"/>
        <v>1</v>
      </c>
      <c r="Y291" s="6"/>
      <c r="Z291" s="41"/>
      <c r="AA291" s="41"/>
      <c r="AB291" s="3" t="s">
        <v>71</v>
      </c>
      <c r="AC291" s="1">
        <v>1</v>
      </c>
      <c r="AD291" s="1">
        <v>6484</v>
      </c>
      <c r="AE291" s="8">
        <v>4.2137552779702742E-5</v>
      </c>
      <c r="AF291" s="1">
        <v>3157.0387808009341</v>
      </c>
      <c r="AG291" s="6">
        <f t="shared" si="18"/>
        <v>1</v>
      </c>
      <c r="AH291" s="6">
        <f t="shared" si="19"/>
        <v>-0.79598497180987371</v>
      </c>
      <c r="AI291" s="6" t="str">
        <f>VLOOKUP(AB291,'ABC расчет'!AC:AC,1,0)</f>
        <v>NOVA</v>
      </c>
      <c r="AJ291" s="6"/>
    </row>
    <row r="292" spans="6:36" x14ac:dyDescent="0.3">
      <c r="F292" s="1"/>
      <c r="G292" s="1"/>
      <c r="I292" s="1"/>
      <c r="J292" s="3" t="s">
        <v>73</v>
      </c>
      <c r="K292" s="1">
        <v>2</v>
      </c>
      <c r="L292" s="1">
        <v>5116.8</v>
      </c>
      <c r="M292" s="8">
        <v>3.5330788828931397E-5</v>
      </c>
      <c r="N292" s="1">
        <v>2810.5454778854196</v>
      </c>
      <c r="O292" s="6">
        <f t="shared" si="16"/>
        <v>1</v>
      </c>
      <c r="P292" s="6"/>
      <c r="Q292" s="6"/>
      <c r="R292" s="41"/>
      <c r="S292" s="3" t="s">
        <v>165</v>
      </c>
      <c r="T292" s="1">
        <v>2</v>
      </c>
      <c r="U292" s="1">
        <v>4560</v>
      </c>
      <c r="V292" s="8">
        <v>2.7775189675638173E-5</v>
      </c>
      <c r="W292" s="1">
        <v>2047.3152433097437</v>
      </c>
      <c r="X292" s="6">
        <f t="shared" si="17"/>
        <v>1</v>
      </c>
      <c r="Y292" s="6"/>
      <c r="Z292" s="41"/>
      <c r="AA292" s="41"/>
      <c r="AB292" s="3" t="s">
        <v>293</v>
      </c>
      <c r="AC292" s="1">
        <v>6</v>
      </c>
      <c r="AD292" s="1">
        <v>6044.4</v>
      </c>
      <c r="AE292" s="8">
        <v>3.9280725481436654E-5</v>
      </c>
      <c r="AF292" s="1">
        <v>2036.8632157766954</v>
      </c>
      <c r="AG292" s="6">
        <f t="shared" si="18"/>
        <v>-0.92774622140338292</v>
      </c>
      <c r="AH292" s="6">
        <f t="shared" si="19"/>
        <v>1</v>
      </c>
      <c r="AI292" s="6" t="str">
        <f>VLOOKUP(AB292,'ABC расчет'!AC:AC,1,0)</f>
        <v>СТУЛ УЧЕН. E-278</v>
      </c>
      <c r="AJ292" s="6"/>
    </row>
    <row r="293" spans="6:36" x14ac:dyDescent="0.3">
      <c r="F293" s="1"/>
      <c r="G293" s="1"/>
      <c r="I293" s="1"/>
      <c r="J293" s="3" t="s">
        <v>12</v>
      </c>
      <c r="K293" s="1">
        <v>4</v>
      </c>
      <c r="L293" s="1">
        <v>4989.3999999999996</v>
      </c>
      <c r="M293" s="8">
        <v>3.445110963552812E-5</v>
      </c>
      <c r="N293" s="1">
        <v>2514.4683908326929</v>
      </c>
      <c r="O293" s="6">
        <f t="shared" si="16"/>
        <v>1</v>
      </c>
      <c r="P293" s="6"/>
      <c r="Q293" s="6"/>
      <c r="R293" s="41"/>
      <c r="S293" s="3" t="s">
        <v>310</v>
      </c>
      <c r="T293" s="1">
        <v>1</v>
      </c>
      <c r="U293" s="1">
        <v>4464</v>
      </c>
      <c r="V293" s="8">
        <v>2.7190448840361581E-5</v>
      </c>
      <c r="W293" s="1">
        <v>1783.542005584038</v>
      </c>
      <c r="X293" s="6">
        <f t="shared" si="17"/>
        <v>-0.52324605825125348</v>
      </c>
      <c r="Y293" s="6"/>
      <c r="Z293" s="41"/>
      <c r="AA293" s="41"/>
      <c r="AB293" s="3" t="s">
        <v>21</v>
      </c>
      <c r="AC293" s="1">
        <v>2</v>
      </c>
      <c r="AD293" s="1">
        <v>5372.8</v>
      </c>
      <c r="AE293" s="8">
        <v>3.4916200427943694E-5</v>
      </c>
      <c r="AF293" s="1">
        <v>2425.060164348557</v>
      </c>
      <c r="AG293" s="6">
        <f t="shared" si="18"/>
        <v>1</v>
      </c>
      <c r="AH293" s="6">
        <f t="shared" si="19"/>
        <v>-0.11245581904547453</v>
      </c>
      <c r="AI293" s="6" t="str">
        <f>VLOOKUP(AB293,'ABC расчет'!AC:AC,1,0)</f>
        <v>CAMILLA</v>
      </c>
      <c r="AJ293" s="6"/>
    </row>
    <row r="294" spans="6:36" x14ac:dyDescent="0.3">
      <c r="F294" s="1"/>
      <c r="G294" s="1"/>
      <c r="I294" s="1"/>
      <c r="J294" s="3" t="s">
        <v>273</v>
      </c>
      <c r="K294" s="1">
        <v>5</v>
      </c>
      <c r="L294" s="1">
        <v>4972.5</v>
      </c>
      <c r="M294" s="8">
        <v>3.433441749762769E-5</v>
      </c>
      <c r="N294" s="1">
        <v>1920.1556315084347</v>
      </c>
      <c r="O294" s="6">
        <f t="shared" si="16"/>
        <v>1</v>
      </c>
      <c r="P294" s="6"/>
      <c r="Q294" s="6"/>
      <c r="R294" s="41"/>
      <c r="S294" s="3" t="s">
        <v>201</v>
      </c>
      <c r="T294" s="1">
        <v>2</v>
      </c>
      <c r="U294" s="1">
        <v>4114</v>
      </c>
      <c r="V294" s="8">
        <v>2.5058581211749003E-5</v>
      </c>
      <c r="W294" s="1">
        <v>980.0961866194873</v>
      </c>
      <c r="X294" s="6">
        <f t="shared" si="17"/>
        <v>-0.6296727485313276</v>
      </c>
      <c r="Y294" s="6"/>
      <c r="Z294" s="41"/>
      <c r="AA294" s="41"/>
      <c r="AB294" s="3" t="s">
        <v>58</v>
      </c>
      <c r="AC294" s="1">
        <v>3</v>
      </c>
      <c r="AD294" s="1">
        <v>5359.5</v>
      </c>
      <c r="AE294" s="8">
        <v>3.482976775490698E-5</v>
      </c>
      <c r="AF294" s="1">
        <v>1724.3684691992239</v>
      </c>
      <c r="AG294" s="6">
        <f t="shared" si="18"/>
        <v>2.7063858751264296</v>
      </c>
      <c r="AH294" s="6">
        <f t="shared" si="19"/>
        <v>1</v>
      </c>
      <c r="AI294" s="6" t="str">
        <f>VLOOKUP(AB294,'ABC расчет'!AC:AC,1,0)</f>
        <v>LATINA</v>
      </c>
      <c r="AJ294" s="6"/>
    </row>
    <row r="295" spans="6:36" x14ac:dyDescent="0.3">
      <c r="F295" s="1"/>
      <c r="G295" s="1"/>
      <c r="I295" s="1"/>
      <c r="J295" s="3" t="s">
        <v>68</v>
      </c>
      <c r="K295" s="1">
        <v>1</v>
      </c>
      <c r="L295" s="1">
        <v>4908.75</v>
      </c>
      <c r="M295" s="8">
        <v>3.3894232657914511E-5</v>
      </c>
      <c r="N295" s="1">
        <v>2503.6238138423014</v>
      </c>
      <c r="O295" s="6">
        <f t="shared" si="16"/>
        <v>-0.99108103800949188</v>
      </c>
      <c r="P295" s="6"/>
      <c r="Q295" s="6"/>
      <c r="R295" s="41"/>
      <c r="S295" s="3" t="s">
        <v>309</v>
      </c>
      <c r="T295" s="1">
        <v>1</v>
      </c>
      <c r="U295" s="1">
        <v>4027.5</v>
      </c>
      <c r="V295" s="8">
        <v>2.453170535496332E-5</v>
      </c>
      <c r="W295" s="1">
        <v>1514.1539095014989</v>
      </c>
      <c r="X295" s="6">
        <f t="shared" si="17"/>
        <v>1</v>
      </c>
      <c r="Y295" s="6"/>
      <c r="Z295" s="41"/>
      <c r="AA295" s="41"/>
      <c r="AB295" s="3" t="s">
        <v>502</v>
      </c>
      <c r="AC295" s="1">
        <v>2</v>
      </c>
      <c r="AD295" s="1">
        <v>4880</v>
      </c>
      <c r="AE295" s="8">
        <v>3.1713642437530751E-5</v>
      </c>
      <c r="AF295" s="1">
        <v>1570.9730816079907</v>
      </c>
      <c r="AG295" s="6">
        <f t="shared" si="18"/>
        <v>1</v>
      </c>
      <c r="AH295" s="6">
        <f t="shared" si="19"/>
        <v>1</v>
      </c>
      <c r="AI295" s="6" t="e">
        <f>VLOOKUP(AB295,'ABC расчет'!AC:AC,1,0)</f>
        <v>#N/A</v>
      </c>
      <c r="AJ295" s="6"/>
    </row>
    <row r="296" spans="6:36" x14ac:dyDescent="0.3">
      <c r="F296" s="1"/>
      <c r="G296" s="1"/>
      <c r="I296" s="1"/>
      <c r="J296" s="3" t="s">
        <v>210</v>
      </c>
      <c r="K296" s="1">
        <v>5</v>
      </c>
      <c r="L296" s="1">
        <v>4593.1000000000004</v>
      </c>
      <c r="M296" s="8">
        <v>3.1714713526064102E-5</v>
      </c>
      <c r="N296" s="1">
        <v>1756.3724475136341</v>
      </c>
      <c r="O296" s="6">
        <f t="shared" si="16"/>
        <v>1</v>
      </c>
      <c r="P296" s="6"/>
      <c r="Q296" s="6"/>
      <c r="R296" s="41"/>
      <c r="S296" s="3" t="s">
        <v>495</v>
      </c>
      <c r="T296" s="1">
        <v>1</v>
      </c>
      <c r="U296" s="1">
        <v>3910</v>
      </c>
      <c r="V296" s="8">
        <v>2.3816006936786242E-5</v>
      </c>
      <c r="W296" s="1">
        <v>1883.9695099127193</v>
      </c>
      <c r="X296" s="6">
        <f t="shared" si="17"/>
        <v>1</v>
      </c>
      <c r="Y296" s="6"/>
      <c r="Z296" s="41"/>
      <c r="AA296" s="41"/>
      <c r="AB296" s="3" t="s">
        <v>503</v>
      </c>
      <c r="AC296" s="1">
        <v>1</v>
      </c>
      <c r="AD296" s="1">
        <v>4879</v>
      </c>
      <c r="AE296" s="8">
        <v>3.1707143740309945E-5</v>
      </c>
      <c r="AF296" s="1">
        <v>1048.8793441459241</v>
      </c>
      <c r="AG296" s="6">
        <f t="shared" si="18"/>
        <v>1</v>
      </c>
      <c r="AH296" s="6">
        <f t="shared" si="19"/>
        <v>1</v>
      </c>
      <c r="AI296" s="6" t="e">
        <f>VLOOKUP(AB296,'ABC расчет'!AC:AC,1,0)</f>
        <v>#N/A</v>
      </c>
      <c r="AJ296" s="6"/>
    </row>
    <row r="297" spans="6:36" x14ac:dyDescent="0.3">
      <c r="F297" s="1"/>
      <c r="G297" s="1"/>
      <c r="I297" s="1"/>
      <c r="J297" s="3" t="s">
        <v>482</v>
      </c>
      <c r="K297" s="1">
        <v>6</v>
      </c>
      <c r="L297" s="1">
        <v>4165</v>
      </c>
      <c r="M297" s="8">
        <v>2.8758742861260798E-5</v>
      </c>
      <c r="N297" s="1">
        <v>-3199.5558726091999</v>
      </c>
      <c r="O297" s="6">
        <f t="shared" si="16"/>
        <v>1</v>
      </c>
      <c r="P297" s="6"/>
      <c r="Q297" s="6"/>
      <c r="R297" s="41"/>
      <c r="S297" s="3" t="s">
        <v>144</v>
      </c>
      <c r="T297" s="1">
        <v>1</v>
      </c>
      <c r="U297" s="1">
        <v>3758.2</v>
      </c>
      <c r="V297" s="8">
        <v>2.2891385491005126E-5</v>
      </c>
      <c r="W297" s="1">
        <v>1162.1600498469836</v>
      </c>
      <c r="X297" s="6">
        <f t="shared" si="17"/>
        <v>-0.81688127219432338</v>
      </c>
      <c r="Y297" s="6"/>
      <c r="Z297" s="41"/>
      <c r="AA297" s="41"/>
      <c r="AB297" s="3" t="s">
        <v>316</v>
      </c>
      <c r="AC297" s="1">
        <v>8</v>
      </c>
      <c r="AD297" s="1">
        <v>4752</v>
      </c>
      <c r="AE297" s="8">
        <v>3.0881809193267647E-5</v>
      </c>
      <c r="AF297" s="1">
        <v>595.23386049252792</v>
      </c>
      <c r="AG297" s="6">
        <f t="shared" si="18"/>
        <v>-0.87167437901635814</v>
      </c>
      <c r="AH297" s="6">
        <f t="shared" si="19"/>
        <v>1</v>
      </c>
      <c r="AI297" s="6" t="str">
        <f>VLOOKUP(AB297,'ABC расчет'!AC:AC,1,0)</f>
        <v>РАМА NX</v>
      </c>
      <c r="AJ297" s="6"/>
    </row>
    <row r="298" spans="6:36" x14ac:dyDescent="0.3">
      <c r="F298" s="1"/>
      <c r="G298" s="1"/>
      <c r="I298" s="1"/>
      <c r="J298" s="3" t="s">
        <v>306</v>
      </c>
      <c r="K298" s="1">
        <v>2</v>
      </c>
      <c r="L298" s="1">
        <v>4103.2</v>
      </c>
      <c r="M298" s="8">
        <v>2.8332022498997673E-5</v>
      </c>
      <c r="N298" s="1">
        <v>1697.5552795911995</v>
      </c>
      <c r="O298" s="6">
        <f t="shared" si="16"/>
        <v>1</v>
      </c>
      <c r="P298" s="6"/>
      <c r="Q298" s="6"/>
      <c r="R298" s="41"/>
      <c r="S298" s="3" t="s">
        <v>35</v>
      </c>
      <c r="T298" s="1">
        <v>1</v>
      </c>
      <c r="U298" s="1">
        <v>3509.8</v>
      </c>
      <c r="V298" s="8">
        <v>2.1378368579726945E-5</v>
      </c>
      <c r="W298" s="1">
        <v>1392.2751379049312</v>
      </c>
      <c r="X298" s="6">
        <f t="shared" si="17"/>
        <v>-0.86803942621297914</v>
      </c>
      <c r="Y298" s="6"/>
      <c r="Z298" s="41"/>
      <c r="AA298" s="41"/>
      <c r="AB298" s="3" t="s">
        <v>309</v>
      </c>
      <c r="AC298" s="1">
        <v>1</v>
      </c>
      <c r="AD298" s="1">
        <v>4251.25</v>
      </c>
      <c r="AE298" s="8">
        <v>2.7627586559949305E-5</v>
      </c>
      <c r="AF298" s="1">
        <v>1468.7100247624696</v>
      </c>
      <c r="AG298" s="6">
        <f t="shared" si="18"/>
        <v>-3.001272489795348E-2</v>
      </c>
      <c r="AH298" s="6">
        <f t="shared" si="19"/>
        <v>1</v>
      </c>
      <c r="AI298" s="6" t="str">
        <f>VLOOKUP(AB298,'ABC расчет'!AC:AC,1,0)</f>
        <v>DISCRETO</v>
      </c>
      <c r="AJ298" s="6"/>
    </row>
    <row r="299" spans="6:36" x14ac:dyDescent="0.3">
      <c r="F299" s="1"/>
      <c r="G299" s="1"/>
      <c r="I299" s="1"/>
      <c r="J299" s="3" t="s">
        <v>225</v>
      </c>
      <c r="K299" s="1">
        <v>4</v>
      </c>
      <c r="L299" s="1">
        <v>3978</v>
      </c>
      <c r="M299" s="8">
        <v>2.7467533998102152E-5</v>
      </c>
      <c r="N299" s="1">
        <v>1578.5183176653313</v>
      </c>
      <c r="O299" s="6">
        <f t="shared" si="16"/>
        <v>-0.96463822286699286</v>
      </c>
      <c r="P299" s="6"/>
      <c r="Q299" s="6"/>
      <c r="R299" s="41"/>
      <c r="S299" s="3" t="s">
        <v>244</v>
      </c>
      <c r="T299" s="1">
        <v>1</v>
      </c>
      <c r="U299" s="1">
        <v>3321.2</v>
      </c>
      <c r="V299" s="8">
        <v>2.0229596480423135E-5</v>
      </c>
      <c r="W299" s="1">
        <v>854.89110027497486</v>
      </c>
      <c r="X299" s="6">
        <f t="shared" si="17"/>
        <v>1</v>
      </c>
      <c r="Y299" s="6"/>
      <c r="Z299" s="41"/>
      <c r="AA299" s="41"/>
      <c r="AB299" s="3" t="s">
        <v>497</v>
      </c>
      <c r="AC299" s="1">
        <v>4</v>
      </c>
      <c r="AD299" s="1">
        <v>4000</v>
      </c>
      <c r="AE299" s="8">
        <v>2.5994788883221926E-5</v>
      </c>
      <c r="AF299" s="1">
        <v>150.04955373649693</v>
      </c>
      <c r="AG299" s="6">
        <f t="shared" si="18"/>
        <v>-1.0259264246491675</v>
      </c>
      <c r="AH299" s="6">
        <f t="shared" si="19"/>
        <v>1</v>
      </c>
      <c r="AI299" s="6" t="e">
        <f>VLOOKUP(AB299,'ABC расчет'!AC:AC,1,0)</f>
        <v>#N/A</v>
      </c>
      <c r="AJ299" s="6"/>
    </row>
    <row r="300" spans="6:36" x14ac:dyDescent="0.3">
      <c r="F300" s="1"/>
      <c r="G300" s="1"/>
      <c r="I300" s="1"/>
      <c r="J300" s="3" t="s">
        <v>190</v>
      </c>
      <c r="K300" s="1">
        <v>1</v>
      </c>
      <c r="L300" s="1">
        <v>3715</v>
      </c>
      <c r="M300" s="8">
        <v>2.5651555757403089E-5</v>
      </c>
      <c r="N300" s="1">
        <v>310.4905500120708</v>
      </c>
      <c r="O300" s="6">
        <f t="shared" si="16"/>
        <v>-0.984953864495001</v>
      </c>
      <c r="P300" s="6"/>
      <c r="Q300" s="6"/>
      <c r="R300" s="41"/>
      <c r="S300" s="3" t="s">
        <v>55</v>
      </c>
      <c r="T300" s="1">
        <v>15</v>
      </c>
      <c r="U300" s="1">
        <v>3250</v>
      </c>
      <c r="V300" s="8">
        <v>1.9795913694259663E-5</v>
      </c>
      <c r="W300" s="1">
        <v>1859.9178823192949</v>
      </c>
      <c r="X300" s="6">
        <f t="shared" si="17"/>
        <v>-0.6437354817672134</v>
      </c>
      <c r="Y300" s="6"/>
      <c r="Z300" s="41"/>
      <c r="AA300" s="41"/>
      <c r="AB300" s="3" t="s">
        <v>111</v>
      </c>
      <c r="AC300" s="1">
        <v>1</v>
      </c>
      <c r="AD300" s="1">
        <v>3737</v>
      </c>
      <c r="AE300" s="8">
        <v>2.4285631514150085E-5</v>
      </c>
      <c r="AF300" s="1">
        <v>2232.7765286120039</v>
      </c>
      <c r="AG300" s="6">
        <f t="shared" si="18"/>
        <v>-0.46817005892044661</v>
      </c>
      <c r="AH300" s="6">
        <f t="shared" si="19"/>
        <v>-0.74058939840842608</v>
      </c>
      <c r="AI300" s="6" t="str">
        <f>VLOOKUP(AB300,'ABC расчет'!AC:AC,1,0)</f>
        <v>TETRA</v>
      </c>
      <c r="AJ300" s="6"/>
    </row>
    <row r="301" spans="6:36" x14ac:dyDescent="0.3">
      <c r="F301" s="1"/>
      <c r="G301" s="1"/>
      <c r="I301" s="1"/>
      <c r="J301" s="3" t="s">
        <v>315</v>
      </c>
      <c r="K301" s="1">
        <v>1</v>
      </c>
      <c r="L301" s="1">
        <v>3402</v>
      </c>
      <c r="M301" s="8">
        <v>2.3490334505164284E-5</v>
      </c>
      <c r="N301" s="1">
        <v>1625.6729227577466</v>
      </c>
      <c r="O301" s="6">
        <f t="shared" si="16"/>
        <v>-0.91471986135177752</v>
      </c>
      <c r="P301" s="6"/>
      <c r="Q301" s="6"/>
      <c r="R301" s="41"/>
      <c r="S301" s="3" t="s">
        <v>297</v>
      </c>
      <c r="T301" s="1">
        <v>2</v>
      </c>
      <c r="U301" s="1">
        <v>2723.2</v>
      </c>
      <c r="V301" s="8">
        <v>1.6587148360679359E-5</v>
      </c>
      <c r="W301" s="1">
        <v>856.56946022919294</v>
      </c>
      <c r="X301" s="6">
        <f t="shared" si="17"/>
        <v>1</v>
      </c>
      <c r="Y301" s="6"/>
      <c r="Z301" s="41"/>
      <c r="AA301" s="41"/>
      <c r="AB301" s="3" t="s">
        <v>142</v>
      </c>
      <c r="AC301" s="1">
        <v>1</v>
      </c>
      <c r="AD301" s="1">
        <v>3645</v>
      </c>
      <c r="AE301" s="8">
        <v>2.3687751369835981E-5</v>
      </c>
      <c r="AF301" s="1">
        <v>1639.0308377812985</v>
      </c>
      <c r="AG301" s="6">
        <f t="shared" si="18"/>
        <v>-0.76238229269884616</v>
      </c>
      <c r="AH301" s="6">
        <f t="shared" si="19"/>
        <v>1</v>
      </c>
      <c r="AI301" s="6" t="str">
        <f>VLOOKUP(AB301,'ABC расчет'!AC:AC,1,0)</f>
        <v>BERN</v>
      </c>
      <c r="AJ301" s="6"/>
    </row>
    <row r="302" spans="6:36" x14ac:dyDescent="0.3">
      <c r="F302" s="1"/>
      <c r="G302" s="1"/>
      <c r="I302" s="1"/>
      <c r="J302" s="3" t="s">
        <v>483</v>
      </c>
      <c r="K302" s="1">
        <v>1</v>
      </c>
      <c r="L302" s="1">
        <v>3332.5</v>
      </c>
      <c r="M302" s="8">
        <v>2.3010446719124035E-5</v>
      </c>
      <c r="N302" s="1">
        <v>645.80055698643025</v>
      </c>
      <c r="O302" s="6">
        <f t="shared" si="16"/>
        <v>1</v>
      </c>
      <c r="P302" s="6"/>
      <c r="Q302" s="6"/>
      <c r="R302" s="41"/>
      <c r="S302" s="3" t="s">
        <v>485</v>
      </c>
      <c r="T302" s="1">
        <v>2</v>
      </c>
      <c r="U302" s="1">
        <v>2707</v>
      </c>
      <c r="V302" s="8">
        <v>1.6488473344726434E-5</v>
      </c>
      <c r="W302" s="1">
        <v>226.256967092346</v>
      </c>
      <c r="X302" s="6">
        <f t="shared" si="17"/>
        <v>-0.6223803188171152</v>
      </c>
      <c r="Y302" s="6"/>
      <c r="Z302" s="41"/>
      <c r="AA302" s="41"/>
      <c r="AB302" s="3" t="s">
        <v>342</v>
      </c>
      <c r="AC302" s="1">
        <v>5</v>
      </c>
      <c r="AD302" s="1">
        <v>2872.5</v>
      </c>
      <c r="AE302" s="8">
        <v>1.8667507766763748E-5</v>
      </c>
      <c r="AF302" s="1">
        <v>1460.4178650984613</v>
      </c>
      <c r="AG302" s="6">
        <f t="shared" si="18"/>
        <v>1</v>
      </c>
      <c r="AH302" s="6">
        <f t="shared" si="19"/>
        <v>1</v>
      </c>
      <c r="AI302" s="6" t="str">
        <f>VLOOKUP(AB302,'ABC расчет'!AC:AC,1,0)</f>
        <v>IRON</v>
      </c>
      <c r="AJ302" s="6"/>
    </row>
    <row r="303" spans="6:36" x14ac:dyDescent="0.3">
      <c r="F303" s="1"/>
      <c r="G303" s="1"/>
      <c r="I303" s="1"/>
      <c r="J303" s="3" t="s">
        <v>484</v>
      </c>
      <c r="K303" s="1">
        <v>1</v>
      </c>
      <c r="L303" s="1">
        <v>1848.5</v>
      </c>
      <c r="M303" s="8">
        <v>1.2763634136624391E-5</v>
      </c>
      <c r="N303" s="1">
        <v>402.49103647524515</v>
      </c>
      <c r="O303" s="6">
        <f t="shared" si="16"/>
        <v>1</v>
      </c>
      <c r="P303" s="6"/>
      <c r="Q303" s="6"/>
      <c r="R303" s="41"/>
      <c r="S303" s="3" t="s">
        <v>496</v>
      </c>
      <c r="T303" s="1">
        <v>4</v>
      </c>
      <c r="U303" s="1">
        <v>2634.6</v>
      </c>
      <c r="V303" s="8">
        <v>1.6047481298122004E-5</v>
      </c>
      <c r="W303" s="1">
        <v>986.77722534849113</v>
      </c>
      <c r="X303" s="6">
        <f t="shared" si="17"/>
        <v>1</v>
      </c>
      <c r="Y303" s="6"/>
      <c r="Z303" s="41"/>
      <c r="AA303" s="41"/>
      <c r="AB303" s="3" t="s">
        <v>485</v>
      </c>
      <c r="AC303" s="1">
        <v>2</v>
      </c>
      <c r="AD303" s="1">
        <v>2850</v>
      </c>
      <c r="AE303" s="8">
        <v>1.8521287079295622E-5</v>
      </c>
      <c r="AF303" s="1">
        <v>517.70153780166129</v>
      </c>
      <c r="AG303" s="6">
        <f t="shared" si="18"/>
        <v>1.2881131328449356</v>
      </c>
      <c r="AH303" s="6">
        <f t="shared" si="19"/>
        <v>1</v>
      </c>
      <c r="AI303" s="6" t="e">
        <f>VLOOKUP(AB303,'ABC расчет'!AC:AC,1,0)</f>
        <v>#N/A</v>
      </c>
      <c r="AJ303" s="6"/>
    </row>
    <row r="304" spans="6:36" x14ac:dyDescent="0.3">
      <c r="F304" s="1"/>
      <c r="G304" s="1"/>
      <c r="I304" s="1"/>
      <c r="J304" s="3" t="s">
        <v>485</v>
      </c>
      <c r="K304" s="1">
        <v>2</v>
      </c>
      <c r="L304" s="1">
        <v>1650</v>
      </c>
      <c r="M304" s="8">
        <v>1.1393019380811601E-5</v>
      </c>
      <c r="N304" s="1">
        <v>599.16624680048812</v>
      </c>
      <c r="O304" s="6">
        <f t="shared" si="16"/>
        <v>1</v>
      </c>
      <c r="P304" s="6"/>
      <c r="Q304" s="6"/>
      <c r="R304" s="41"/>
      <c r="S304" s="3" t="s">
        <v>206</v>
      </c>
      <c r="T304" s="1">
        <v>4</v>
      </c>
      <c r="U304" s="1">
        <v>2466</v>
      </c>
      <c r="V304" s="8">
        <v>1.5020530206167486E-5</v>
      </c>
      <c r="W304" s="1">
        <v>988.73434744134374</v>
      </c>
      <c r="X304" s="6">
        <f t="shared" si="17"/>
        <v>7.2463014133417367</v>
      </c>
      <c r="Y304" s="6"/>
      <c r="Z304" s="41"/>
      <c r="AA304" s="41"/>
      <c r="AB304" s="3" t="s">
        <v>422</v>
      </c>
      <c r="AC304" s="1">
        <v>2</v>
      </c>
      <c r="AD304" s="1">
        <v>2472.6000000000004</v>
      </c>
      <c r="AE304" s="8">
        <v>1.6068678748163637E-5</v>
      </c>
      <c r="AF304" s="1">
        <v>833.77396788501426</v>
      </c>
      <c r="AG304" s="6">
        <f t="shared" si="18"/>
        <v>1</v>
      </c>
      <c r="AH304" s="6">
        <f t="shared" si="19"/>
        <v>1</v>
      </c>
      <c r="AI304" s="6" t="str">
        <f>VLOOKUP(AB304,'ABC расчет'!AC:AC,1,0)</f>
        <v>SENIOR</v>
      </c>
      <c r="AJ304" s="6"/>
    </row>
    <row r="305" spans="6:36" x14ac:dyDescent="0.3">
      <c r="F305" s="1"/>
      <c r="G305" s="1"/>
      <c r="I305" s="1"/>
      <c r="J305" s="3" t="s">
        <v>206</v>
      </c>
      <c r="K305" s="1">
        <v>1</v>
      </c>
      <c r="L305" s="1">
        <v>932.5</v>
      </c>
      <c r="M305" s="8">
        <v>6.4387821652162531E-6</v>
      </c>
      <c r="N305" s="1">
        <v>119.90034051407156</v>
      </c>
      <c r="O305" s="6">
        <f t="shared" si="16"/>
        <v>1</v>
      </c>
      <c r="P305" s="6"/>
      <c r="Q305" s="6"/>
      <c r="R305" s="41"/>
      <c r="S305" s="3" t="s">
        <v>265</v>
      </c>
      <c r="T305" s="1">
        <v>1</v>
      </c>
      <c r="U305" s="1">
        <v>2400</v>
      </c>
      <c r="V305" s="8">
        <v>1.4618520881914828E-5</v>
      </c>
      <c r="W305" s="1">
        <v>2380.0721828557093</v>
      </c>
      <c r="X305" s="6">
        <f t="shared" si="17"/>
        <v>1</v>
      </c>
      <c r="Y305" s="6"/>
      <c r="Z305" s="41"/>
      <c r="AA305" s="41"/>
      <c r="AB305" s="3" t="s">
        <v>110</v>
      </c>
      <c r="AC305" s="1">
        <v>3</v>
      </c>
      <c r="AD305" s="1">
        <v>2460</v>
      </c>
      <c r="AE305" s="8">
        <v>1.5986795163181484E-5</v>
      </c>
      <c r="AF305" s="1">
        <v>1143.7945769726896</v>
      </c>
      <c r="AG305" s="6">
        <f t="shared" si="18"/>
        <v>-0.84358095034615144</v>
      </c>
      <c r="AH305" s="6">
        <f t="shared" si="19"/>
        <v>1</v>
      </c>
      <c r="AI305" s="6" t="str">
        <f>VLOOKUP(AB305,'ABC расчет'!AC:AC,1,0)</f>
        <v>SONIA</v>
      </c>
      <c r="AJ305" s="6"/>
    </row>
    <row r="306" spans="6:36" x14ac:dyDescent="0.3">
      <c r="F306" s="1"/>
      <c r="G306" s="1"/>
      <c r="I306" s="1"/>
      <c r="J306" s="3" t="s">
        <v>486</v>
      </c>
      <c r="K306" s="1">
        <v>1</v>
      </c>
      <c r="L306" s="1">
        <v>892.5</v>
      </c>
      <c r="M306" s="8">
        <v>6.1625877559844571E-6</v>
      </c>
      <c r="N306" s="1">
        <v>-34.287143160496242</v>
      </c>
      <c r="O306" s="6">
        <f t="shared" si="16"/>
        <v>1</v>
      </c>
      <c r="P306" s="6"/>
      <c r="Q306" s="6"/>
      <c r="R306" s="41"/>
      <c r="S306" s="3" t="s">
        <v>179</v>
      </c>
      <c r="T306" s="1">
        <v>1</v>
      </c>
      <c r="U306" s="1">
        <v>2345.3000000000002</v>
      </c>
      <c r="V306" s="8">
        <v>1.4285340426814521E-5</v>
      </c>
      <c r="W306" s="1">
        <v>991.63303700909034</v>
      </c>
      <c r="X306" s="6">
        <f t="shared" si="17"/>
        <v>-0.6633677900958832</v>
      </c>
      <c r="Y306" s="6"/>
      <c r="Z306" s="41"/>
      <c r="AA306" s="41"/>
      <c r="AB306" s="3" t="s">
        <v>53</v>
      </c>
      <c r="AC306" s="1">
        <v>1</v>
      </c>
      <c r="AD306" s="1">
        <v>2180.4</v>
      </c>
      <c r="AE306" s="8">
        <v>1.4169759420244272E-5</v>
      </c>
      <c r="AF306" s="1">
        <v>1291.3603643143447</v>
      </c>
      <c r="AG306" s="6">
        <f t="shared" si="18"/>
        <v>1</v>
      </c>
      <c r="AH306" s="6">
        <f t="shared" si="19"/>
        <v>1</v>
      </c>
      <c r="AI306" s="6" t="str">
        <f>VLOOKUP(AB306,'ABC расчет'!AC:AC,1,0)</f>
        <v>ISO GTS</v>
      </c>
      <c r="AJ306" s="6"/>
    </row>
    <row r="307" spans="6:36" x14ac:dyDescent="0.3">
      <c r="F307" s="1"/>
      <c r="G307" s="1"/>
      <c r="I307" s="1"/>
      <c r="J307" s="3" t="s">
        <v>487</v>
      </c>
      <c r="K307" s="1">
        <v>1</v>
      </c>
      <c r="L307" s="1">
        <v>470</v>
      </c>
      <c r="M307" s="8">
        <v>3.2452843084736074E-6</v>
      </c>
      <c r="N307" s="1">
        <v>-723.01548093249494</v>
      </c>
      <c r="O307" s="6">
        <f t="shared" si="16"/>
        <v>1</v>
      </c>
      <c r="P307" s="6"/>
      <c r="Q307" s="6"/>
      <c r="R307" s="41"/>
      <c r="S307" s="3" t="s">
        <v>484</v>
      </c>
      <c r="T307" s="1">
        <v>1</v>
      </c>
      <c r="U307" s="1">
        <v>1905</v>
      </c>
      <c r="V307" s="8">
        <v>1.1603450950019895E-5</v>
      </c>
      <c r="W307" s="1">
        <v>492.3641049132907</v>
      </c>
      <c r="X307" s="6">
        <f t="shared" si="17"/>
        <v>0.22329209918584891</v>
      </c>
      <c r="Y307" s="6"/>
      <c r="Z307" s="41"/>
      <c r="AA307" s="41"/>
      <c r="AB307" s="3" t="s">
        <v>62</v>
      </c>
      <c r="AC307" s="1">
        <v>2</v>
      </c>
      <c r="AD307" s="1">
        <v>2133</v>
      </c>
      <c r="AE307" s="8">
        <v>1.3861721171978092E-5</v>
      </c>
      <c r="AF307" s="1">
        <v>915.92780211439401</v>
      </c>
      <c r="AG307" s="6">
        <f t="shared" si="18"/>
        <v>-0.94343050388626171</v>
      </c>
      <c r="AH307" s="6">
        <f t="shared" si="19"/>
        <v>1</v>
      </c>
      <c r="AI307" s="6" t="str">
        <f>VLOOKUP(AB307,'ABC расчет'!AC:AC,1,0)</f>
        <v>MARINO</v>
      </c>
      <c r="AJ307" s="6"/>
    </row>
    <row r="308" spans="6:36" x14ac:dyDescent="0.3">
      <c r="F308" s="1"/>
      <c r="G308" s="1"/>
      <c r="I308" s="1"/>
      <c r="J308" s="3" t="s">
        <v>488</v>
      </c>
      <c r="K308" s="1">
        <v>1</v>
      </c>
      <c r="L308" s="1">
        <v>200</v>
      </c>
      <c r="M308" s="8">
        <v>1.380972046158982E-6</v>
      </c>
      <c r="N308" s="1">
        <v>175.33571542613728</v>
      </c>
      <c r="O308" s="6">
        <f t="shared" si="16"/>
        <v>1</v>
      </c>
      <c r="P308" s="6"/>
      <c r="Q308" s="6"/>
      <c r="R308" s="41"/>
      <c r="S308" s="3" t="s">
        <v>58</v>
      </c>
      <c r="T308" s="1">
        <v>1</v>
      </c>
      <c r="U308" s="1">
        <v>1762.25</v>
      </c>
      <c r="V308" s="8">
        <v>1.0733953510064336E-5</v>
      </c>
      <c r="W308" s="1">
        <v>465.24256439985584</v>
      </c>
      <c r="X308" s="6">
        <f t="shared" si="17"/>
        <v>-0.96919891217020537</v>
      </c>
      <c r="Y308" s="6"/>
      <c r="Z308" s="41"/>
      <c r="AA308" s="41"/>
      <c r="AB308" s="3" t="s">
        <v>136</v>
      </c>
      <c r="AC308" s="1">
        <v>1</v>
      </c>
      <c r="AD308" s="1">
        <v>2105</v>
      </c>
      <c r="AE308" s="8">
        <v>1.367975764979554E-5</v>
      </c>
      <c r="AF308" s="1">
        <v>970.50460794112655</v>
      </c>
      <c r="AG308" s="6">
        <f t="shared" si="18"/>
        <v>-0.82760577094462207</v>
      </c>
      <c r="AH308" s="6">
        <f t="shared" si="19"/>
        <v>1</v>
      </c>
      <c r="AI308" s="6" t="str">
        <f>VLOOKUP(AB308,'ABC расчет'!AC:AC,1,0)</f>
        <v>ALI</v>
      </c>
      <c r="AJ308" s="6"/>
    </row>
    <row r="309" spans="6:36" x14ac:dyDescent="0.3">
      <c r="F309" s="1"/>
      <c r="G309" s="1"/>
      <c r="I309" s="1"/>
      <c r="O309" s="6">
        <f t="shared" si="16"/>
        <v>1</v>
      </c>
      <c r="P309" s="6"/>
      <c r="Q309" s="6"/>
      <c r="R309" s="41"/>
      <c r="S309" s="3" t="s">
        <v>296</v>
      </c>
      <c r="T309" s="1">
        <v>1</v>
      </c>
      <c r="U309" s="1">
        <v>1391.75</v>
      </c>
      <c r="V309" s="8">
        <v>8.4772193489187337E-6</v>
      </c>
      <c r="W309" s="1">
        <v>745.69253700909019</v>
      </c>
      <c r="X309" s="6">
        <f t="shared" si="17"/>
        <v>1</v>
      </c>
      <c r="Y309" s="6"/>
      <c r="Z309" s="41"/>
      <c r="AA309" s="41"/>
      <c r="AB309" s="3" t="s">
        <v>230</v>
      </c>
      <c r="AC309" s="1">
        <v>3</v>
      </c>
      <c r="AD309" s="1">
        <v>1912.5</v>
      </c>
      <c r="AE309" s="8">
        <v>1.2428758434790484E-5</v>
      </c>
      <c r="AF309" s="1">
        <v>1122.2488271516872</v>
      </c>
      <c r="AG309" s="6">
        <f t="shared" si="18"/>
        <v>-0.96328901648232901</v>
      </c>
      <c r="AH309" s="6">
        <f t="shared" si="19"/>
        <v>1</v>
      </c>
      <c r="AI309" s="6" t="str">
        <f>VLOOKUP(AB309,'ABC расчет'!AC:AC,1,0)</f>
        <v>N-OFFICE</v>
      </c>
      <c r="AJ309" s="6"/>
    </row>
    <row r="310" spans="6:36" x14ac:dyDescent="0.3">
      <c r="F310" s="1"/>
      <c r="G310" s="1"/>
      <c r="I310" s="1"/>
      <c r="O310" s="6">
        <f t="shared" si="16"/>
        <v>1</v>
      </c>
      <c r="P310" s="6"/>
      <c r="Q310" s="6"/>
      <c r="R310" s="41"/>
      <c r="S310" s="3" t="s">
        <v>497</v>
      </c>
      <c r="T310" s="1">
        <v>1</v>
      </c>
      <c r="U310" s="1">
        <v>1250</v>
      </c>
      <c r="V310" s="8">
        <v>7.6138129593306401E-6</v>
      </c>
      <c r="W310" s="1">
        <v>-5787.5143127887977</v>
      </c>
      <c r="X310" s="6">
        <f t="shared" si="17"/>
        <v>1</v>
      </c>
      <c r="Y310" s="6"/>
      <c r="Z310" s="41"/>
      <c r="AA310" s="41"/>
      <c r="AB310" s="3" t="s">
        <v>210</v>
      </c>
      <c r="AC310" s="1">
        <v>2</v>
      </c>
      <c r="AD310" s="1">
        <v>1832</v>
      </c>
      <c r="AE310" s="8">
        <v>1.1905613308515643E-5</v>
      </c>
      <c r="AF310" s="1">
        <v>680.36383195506448</v>
      </c>
      <c r="AG310" s="6">
        <f t="shared" si="18"/>
        <v>-0.76476948800398292</v>
      </c>
      <c r="AH310" s="6">
        <f t="shared" si="19"/>
        <v>1</v>
      </c>
      <c r="AI310" s="6" t="str">
        <f>VLOOKUP(AB310,'ABC расчет'!AC:AC,1,0)</f>
        <v>РАМА WOOD</v>
      </c>
      <c r="AJ310" s="6"/>
    </row>
    <row r="311" spans="6:36" x14ac:dyDescent="0.3">
      <c r="F311" s="1"/>
      <c r="G311" s="1"/>
      <c r="I311" s="1"/>
      <c r="O311" s="6">
        <f t="shared" si="16"/>
        <v>1</v>
      </c>
      <c r="P311" s="6"/>
      <c r="Q311" s="6"/>
      <c r="R311" s="41"/>
      <c r="S311" s="3" t="s">
        <v>498</v>
      </c>
      <c r="T311" s="1">
        <v>1</v>
      </c>
      <c r="U311" s="1">
        <v>135</v>
      </c>
      <c r="V311" s="8">
        <v>8.2229179960770914E-7</v>
      </c>
      <c r="W311" s="1">
        <v>-725.94608606023178</v>
      </c>
      <c r="X311" s="6">
        <f t="shared" si="17"/>
        <v>1</v>
      </c>
      <c r="Y311" s="6"/>
      <c r="Z311" s="41"/>
      <c r="AA311" s="41"/>
      <c r="AB311" s="3" t="s">
        <v>275</v>
      </c>
      <c r="AC311" s="1">
        <v>1</v>
      </c>
      <c r="AD311" s="1">
        <v>1055</v>
      </c>
      <c r="AE311" s="8">
        <v>6.8561255679497835E-6</v>
      </c>
      <c r="AF311" s="1">
        <v>373.54653519573361</v>
      </c>
      <c r="AG311" s="6">
        <f t="shared" si="18"/>
        <v>1</v>
      </c>
      <c r="AH311" s="6">
        <f t="shared" si="19"/>
        <v>1</v>
      </c>
      <c r="AI311" s="6" t="str">
        <f>VLOOKUP(AB311,'ABC расчет'!AC:AC,1,0)</f>
        <v>СТУЛ УЧЕН. E-279</v>
      </c>
      <c r="AJ311" s="6"/>
    </row>
    <row r="312" spans="6:36" x14ac:dyDescent="0.3">
      <c r="F312" s="1"/>
      <c r="G312" s="1"/>
      <c r="I312" s="1"/>
      <c r="O312" s="6">
        <f t="shared" si="16"/>
        <v>1</v>
      </c>
      <c r="P312" s="6"/>
      <c r="Q312" s="6"/>
      <c r="R312" s="41"/>
      <c r="X312" s="6">
        <f t="shared" si="17"/>
        <v>1</v>
      </c>
      <c r="Y312" s="6"/>
      <c r="Z312" s="41"/>
      <c r="AA312" s="41"/>
      <c r="AB312" s="3" t="s">
        <v>482</v>
      </c>
      <c r="AC312" s="1">
        <v>1</v>
      </c>
      <c r="AD312" s="1">
        <v>897.5</v>
      </c>
      <c r="AE312" s="8">
        <v>5.8325807556729199E-6</v>
      </c>
      <c r="AF312" s="1">
        <v>-326.21318154496078</v>
      </c>
      <c r="AG312" s="6">
        <f t="shared" si="18"/>
        <v>1</v>
      </c>
      <c r="AH312" s="6">
        <f t="shared" si="19"/>
        <v>1</v>
      </c>
      <c r="AI312" s="6" t="e">
        <f>VLOOKUP(AB312,'ABC расчет'!AC:AC,1,0)</f>
        <v>#N/A</v>
      </c>
      <c r="AJ312" s="6"/>
    </row>
    <row r="313" spans="6:36" x14ac:dyDescent="0.3">
      <c r="F313" s="1"/>
      <c r="G313" s="1"/>
      <c r="I313" s="1"/>
      <c r="O313" s="6">
        <f t="shared" si="16"/>
        <v>1</v>
      </c>
      <c r="P313" s="6"/>
      <c r="Q313" s="6"/>
      <c r="R313" s="41"/>
      <c r="X313" s="6">
        <f t="shared" si="17"/>
        <v>1</v>
      </c>
      <c r="Y313" s="6"/>
      <c r="Z313" s="41"/>
      <c r="AA313" s="41"/>
      <c r="AB313" s="3" t="s">
        <v>504</v>
      </c>
      <c r="AC313" s="1">
        <v>1</v>
      </c>
      <c r="AD313" s="1">
        <v>481.67</v>
      </c>
      <c r="AE313" s="8">
        <v>3.1302274903453765E-6</v>
      </c>
      <c r="AF313" s="1">
        <v>-719.52488665795363</v>
      </c>
      <c r="AG313" s="6">
        <f t="shared" si="18"/>
        <v>1</v>
      </c>
      <c r="AH313" s="6">
        <f t="shared" si="19"/>
        <v>1</v>
      </c>
      <c r="AI313" s="6" t="e">
        <f>VLOOKUP(AB313,'ABC расчет'!AC:AC,1,0)</f>
        <v>#N/A</v>
      </c>
      <c r="AJ313" s="6"/>
    </row>
    <row r="314" spans="6:36" x14ac:dyDescent="0.3">
      <c r="F314" s="1"/>
      <c r="G314" s="1"/>
      <c r="I314" s="1"/>
      <c r="O314" s="6">
        <f t="shared" si="16"/>
        <v>1</v>
      </c>
      <c r="P314" s="6"/>
      <c r="Q314" s="6"/>
      <c r="R314" s="41"/>
      <c r="X314" s="6">
        <f t="shared" si="17"/>
        <v>1</v>
      </c>
      <c r="Y314" s="6"/>
      <c r="Z314" s="41"/>
      <c r="AA314" s="41"/>
      <c r="AG314" s="6">
        <f t="shared" si="18"/>
        <v>1</v>
      </c>
      <c r="AH314" s="6">
        <f t="shared" si="19"/>
        <v>1</v>
      </c>
      <c r="AI314" s="6" t="e">
        <f>VLOOKUP(AB314,'ABC расчет'!AC:AC,1,0)</f>
        <v>#N/A</v>
      </c>
      <c r="AJ314" s="6"/>
    </row>
    <row r="315" spans="6:36" x14ac:dyDescent="0.3">
      <c r="F315" s="1"/>
      <c r="G315" s="1"/>
      <c r="I315" s="1"/>
      <c r="O315" s="6">
        <f t="shared" si="16"/>
        <v>1</v>
      </c>
      <c r="P315" s="6"/>
      <c r="Q315" s="6"/>
      <c r="R315" s="41"/>
      <c r="X315" s="6">
        <f t="shared" si="17"/>
        <v>1</v>
      </c>
      <c r="Y315" s="6"/>
      <c r="Z315" s="41"/>
      <c r="AA315" s="41"/>
      <c r="AG315" s="6">
        <f t="shared" si="18"/>
        <v>1</v>
      </c>
      <c r="AH315" s="6">
        <f t="shared" si="19"/>
        <v>1</v>
      </c>
      <c r="AI315" s="6" t="e">
        <f>VLOOKUP(AB315,'ABC расчет'!AC:AC,1,0)</f>
        <v>#N/A</v>
      </c>
      <c r="AJ315" s="6"/>
    </row>
    <row r="316" spans="6:36" x14ac:dyDescent="0.3">
      <c r="F316" s="1"/>
      <c r="G316" s="1"/>
      <c r="I316" s="1"/>
      <c r="O316" s="6">
        <f t="shared" si="16"/>
        <v>1</v>
      </c>
      <c r="P316" s="6"/>
      <c r="Q316" s="6"/>
      <c r="R316" s="41"/>
      <c r="X316" s="6">
        <f t="shared" si="17"/>
        <v>1</v>
      </c>
      <c r="Y316" s="6"/>
      <c r="Z316" s="41"/>
      <c r="AA316" s="41"/>
      <c r="AG316" s="6">
        <f t="shared" si="18"/>
        <v>1</v>
      </c>
      <c r="AH316" s="6">
        <f t="shared" si="19"/>
        <v>1</v>
      </c>
      <c r="AI316" s="6" t="e">
        <f>VLOOKUP(AB316,'ABC расчет'!AC:AC,1,0)</f>
        <v>#N/A</v>
      </c>
      <c r="AJ316" s="6"/>
    </row>
    <row r="317" spans="6:36" x14ac:dyDescent="0.3">
      <c r="F317" s="1"/>
      <c r="G317" s="1"/>
      <c r="I317" s="1"/>
      <c r="O317" s="6">
        <f t="shared" si="16"/>
        <v>1</v>
      </c>
      <c r="P317" s="6"/>
      <c r="Q317" s="6"/>
      <c r="R317" s="41"/>
      <c r="X317" s="6">
        <f t="shared" si="17"/>
        <v>1</v>
      </c>
      <c r="Y317" s="6"/>
      <c r="Z317" s="41"/>
      <c r="AA317" s="41"/>
      <c r="AG317" s="6">
        <f t="shared" si="18"/>
        <v>1</v>
      </c>
      <c r="AH317" s="6">
        <f t="shared" si="19"/>
        <v>1</v>
      </c>
      <c r="AI317" s="6" t="e">
        <f>VLOOKUP(AB317,'ABC расчет'!AC:AC,1,0)</f>
        <v>#N/A</v>
      </c>
      <c r="AJ317" s="6"/>
    </row>
    <row r="318" spans="6:36" x14ac:dyDescent="0.3">
      <c r="F318" s="1"/>
      <c r="G318" s="1"/>
      <c r="I318" s="1"/>
      <c r="O318" s="6">
        <f t="shared" si="16"/>
        <v>1</v>
      </c>
      <c r="P318" s="6"/>
      <c r="Q318" s="6"/>
      <c r="R318" s="41"/>
      <c r="X318" s="6">
        <f t="shared" si="17"/>
        <v>1</v>
      </c>
      <c r="Y318" s="6"/>
      <c r="Z318" s="41"/>
      <c r="AA318" s="41"/>
      <c r="AG318" s="6">
        <f t="shared" si="18"/>
        <v>1</v>
      </c>
      <c r="AH318" s="6">
        <f t="shared" si="19"/>
        <v>1</v>
      </c>
      <c r="AI318" s="6" t="e">
        <f>VLOOKUP(AB318,'ABC расчет'!AC:AC,1,0)</f>
        <v>#N/A</v>
      </c>
      <c r="AJ318" s="6"/>
    </row>
    <row r="319" spans="6:36" x14ac:dyDescent="0.3">
      <c r="F319" s="1"/>
      <c r="G319" s="1"/>
      <c r="I319" s="1"/>
      <c r="O319" s="6">
        <f t="shared" si="16"/>
        <v>1</v>
      </c>
      <c r="P319" s="6"/>
      <c r="Q319" s="6"/>
      <c r="R319" s="41"/>
      <c r="X319" s="6">
        <f t="shared" si="17"/>
        <v>1</v>
      </c>
      <c r="Y319" s="6"/>
      <c r="Z319" s="41"/>
      <c r="AA319" s="41"/>
      <c r="AG319" s="6">
        <f t="shared" si="18"/>
        <v>1</v>
      </c>
      <c r="AH319" s="6">
        <f t="shared" si="19"/>
        <v>1</v>
      </c>
      <c r="AI319" s="6" t="e">
        <f>VLOOKUP(AB319,'ABC расчет'!AC:AC,1,0)</f>
        <v>#N/A</v>
      </c>
      <c r="AJ319" s="6"/>
    </row>
    <row r="320" spans="6:36" x14ac:dyDescent="0.3">
      <c r="F320" s="1"/>
      <c r="G320" s="1"/>
      <c r="I320" s="1"/>
      <c r="O320" s="6">
        <f t="shared" si="16"/>
        <v>1</v>
      </c>
      <c r="P320" s="6"/>
      <c r="Q320" s="6"/>
      <c r="R320" s="41"/>
      <c r="X320" s="6">
        <f t="shared" si="17"/>
        <v>1</v>
      </c>
      <c r="Y320" s="6"/>
      <c r="Z320" s="41"/>
      <c r="AA320" s="41"/>
      <c r="AG320" s="6">
        <f t="shared" si="18"/>
        <v>1</v>
      </c>
      <c r="AH320" s="6">
        <f t="shared" si="19"/>
        <v>1</v>
      </c>
      <c r="AI320" s="6" t="e">
        <f>VLOOKUP(AB320,'ABC расчет'!AC:AC,1,0)</f>
        <v>#N/A</v>
      </c>
      <c r="AJ320" s="6"/>
    </row>
    <row r="321" spans="6:36" x14ac:dyDescent="0.3">
      <c r="F321" s="1"/>
      <c r="G321" s="1"/>
      <c r="I321" s="1"/>
      <c r="O321" s="6">
        <f t="shared" si="16"/>
        <v>1</v>
      </c>
      <c r="P321" s="6"/>
      <c r="Q321" s="6"/>
      <c r="R321" s="41"/>
      <c r="X321" s="6">
        <f t="shared" si="17"/>
        <v>1</v>
      </c>
      <c r="Y321" s="6"/>
      <c r="Z321" s="41"/>
      <c r="AA321" s="41"/>
      <c r="AG321" s="6">
        <f t="shared" si="18"/>
        <v>1</v>
      </c>
      <c r="AH321" s="6">
        <f t="shared" si="19"/>
        <v>1</v>
      </c>
      <c r="AI321" s="6" t="e">
        <f>VLOOKUP(AB321,'ABC расчет'!AC:AC,1,0)</f>
        <v>#N/A</v>
      </c>
      <c r="AJ321" s="6"/>
    </row>
    <row r="322" spans="6:36" x14ac:dyDescent="0.3">
      <c r="F322" s="1"/>
      <c r="G322" s="1"/>
      <c r="I322" s="1"/>
      <c r="O322" s="6">
        <f t="shared" si="16"/>
        <v>1</v>
      </c>
      <c r="P322" s="6"/>
      <c r="Q322" s="6"/>
      <c r="R322" s="41"/>
      <c r="X322" s="6">
        <f t="shared" si="17"/>
        <v>1</v>
      </c>
      <c r="Y322" s="6"/>
      <c r="Z322" s="41"/>
      <c r="AA322" s="41"/>
      <c r="AG322" s="6">
        <f t="shared" si="18"/>
        <v>1</v>
      </c>
      <c r="AH322" s="6">
        <f t="shared" si="19"/>
        <v>1</v>
      </c>
      <c r="AI322" s="6" t="e">
        <f>VLOOKUP(AB322,'ABC расчет'!AC:AC,1,0)</f>
        <v>#N/A</v>
      </c>
      <c r="AJ322" s="6"/>
    </row>
    <row r="323" spans="6:36" x14ac:dyDescent="0.3">
      <c r="F323" s="1"/>
      <c r="G323" s="1"/>
      <c r="I323" s="1"/>
      <c r="O323" s="6">
        <f t="shared" si="16"/>
        <v>1</v>
      </c>
      <c r="P323" s="6"/>
      <c r="Q323" s="6"/>
      <c r="R323" s="41"/>
      <c r="X323" s="6">
        <f t="shared" si="17"/>
        <v>1</v>
      </c>
      <c r="Y323" s="6"/>
      <c r="Z323" s="41"/>
      <c r="AA323" s="41"/>
      <c r="AG323" s="6">
        <f t="shared" si="18"/>
        <v>1</v>
      </c>
      <c r="AH323" s="6">
        <f t="shared" si="19"/>
        <v>1</v>
      </c>
      <c r="AI323" s="6" t="e">
        <f>VLOOKUP(AB323,'ABC расчет'!AC:AC,1,0)</f>
        <v>#N/A</v>
      </c>
      <c r="AJ323" s="6"/>
    </row>
    <row r="324" spans="6:36" x14ac:dyDescent="0.3">
      <c r="F324" s="1"/>
      <c r="G324" s="1"/>
      <c r="I324" s="1"/>
      <c r="O324" s="6">
        <f t="shared" si="16"/>
        <v>1</v>
      </c>
      <c r="P324" s="6"/>
      <c r="Q324" s="6"/>
      <c r="R324" s="41"/>
      <c r="X324" s="6">
        <f t="shared" si="17"/>
        <v>1</v>
      </c>
      <c r="Y324" s="6"/>
      <c r="Z324" s="41"/>
      <c r="AA324" s="41"/>
      <c r="AG324" s="6">
        <f t="shared" si="18"/>
        <v>1</v>
      </c>
      <c r="AH324" s="6">
        <f t="shared" si="19"/>
        <v>1</v>
      </c>
      <c r="AI324" s="6" t="e">
        <f>VLOOKUP(AB324,'ABC расчет'!AC:AC,1,0)</f>
        <v>#N/A</v>
      </c>
      <c r="AJ324" s="6"/>
    </row>
    <row r="325" spans="6:36" x14ac:dyDescent="0.3">
      <c r="F325" s="1"/>
      <c r="G325" s="1"/>
      <c r="I325" s="1"/>
      <c r="O325" s="6">
        <f t="shared" si="16"/>
        <v>1</v>
      </c>
      <c r="P325" s="6"/>
      <c r="Q325" s="6"/>
      <c r="R325" s="41"/>
      <c r="X325" s="6">
        <f t="shared" si="17"/>
        <v>1</v>
      </c>
      <c r="Y325" s="6"/>
      <c r="Z325" s="41"/>
      <c r="AA325" s="41"/>
      <c r="AG325" s="6">
        <f t="shared" si="18"/>
        <v>1</v>
      </c>
      <c r="AH325" s="6">
        <f t="shared" si="19"/>
        <v>1</v>
      </c>
      <c r="AI325" s="6" t="e">
        <f>VLOOKUP(AB325,'ABC расчет'!AC:AC,1,0)</f>
        <v>#N/A</v>
      </c>
      <c r="AJ325" s="6"/>
    </row>
    <row r="326" spans="6:36" x14ac:dyDescent="0.3">
      <c r="F326" s="1"/>
      <c r="G326" s="1"/>
      <c r="I326" s="1"/>
      <c r="O326" s="6">
        <f t="shared" si="16"/>
        <v>1</v>
      </c>
      <c r="P326" s="6"/>
      <c r="Q326" s="6"/>
      <c r="R326" s="41"/>
      <c r="X326" s="6">
        <f t="shared" si="17"/>
        <v>1</v>
      </c>
      <c r="Y326" s="6"/>
      <c r="Z326" s="41"/>
      <c r="AA326" s="41"/>
      <c r="AG326" s="6">
        <f t="shared" si="18"/>
        <v>1</v>
      </c>
      <c r="AH326" s="6">
        <f t="shared" si="19"/>
        <v>1</v>
      </c>
      <c r="AI326" s="6" t="e">
        <f>VLOOKUP(AB326,'ABC расчет'!AC:AC,1,0)</f>
        <v>#N/A</v>
      </c>
      <c r="AJ326" s="6"/>
    </row>
    <row r="327" spans="6:36" x14ac:dyDescent="0.3">
      <c r="F327" s="1"/>
      <c r="G327" s="1"/>
      <c r="I327" s="1"/>
      <c r="O327" s="6">
        <f t="shared" si="16"/>
        <v>1</v>
      </c>
      <c r="P327" s="6"/>
      <c r="Q327" s="6"/>
      <c r="R327" s="41"/>
      <c r="X327" s="6">
        <f t="shared" si="17"/>
        <v>1</v>
      </c>
      <c r="Y327" s="6"/>
      <c r="Z327" s="41"/>
      <c r="AA327" s="41"/>
      <c r="AG327" s="6">
        <f t="shared" si="18"/>
        <v>1</v>
      </c>
      <c r="AH327" s="6">
        <f t="shared" si="19"/>
        <v>1</v>
      </c>
      <c r="AI327" s="6" t="e">
        <f>VLOOKUP(AB327,'ABC расчет'!AC:AC,1,0)</f>
        <v>#N/A</v>
      </c>
      <c r="AJ327" s="6"/>
    </row>
    <row r="328" spans="6:36" x14ac:dyDescent="0.3">
      <c r="F328" s="1"/>
      <c r="G328" s="1"/>
      <c r="I328" s="1"/>
      <c r="O328" s="6">
        <f t="shared" si="16"/>
        <v>1</v>
      </c>
      <c r="P328" s="6"/>
      <c r="Q328" s="6"/>
      <c r="R328" s="41"/>
      <c r="X328" s="6">
        <f t="shared" si="17"/>
        <v>1</v>
      </c>
      <c r="Y328" s="6"/>
      <c r="Z328" s="41"/>
      <c r="AA328" s="41"/>
      <c r="AG328" s="6">
        <f t="shared" si="18"/>
        <v>1</v>
      </c>
      <c r="AH328" s="6">
        <f t="shared" si="19"/>
        <v>1</v>
      </c>
      <c r="AI328" s="6" t="e">
        <f>VLOOKUP(AB328,'ABC расчет'!AC:AC,1,0)</f>
        <v>#N/A</v>
      </c>
      <c r="AJ328" s="6"/>
    </row>
    <row r="329" spans="6:36" x14ac:dyDescent="0.3">
      <c r="F329" s="1"/>
      <c r="G329" s="1"/>
      <c r="I329" s="1"/>
      <c r="O329" s="6">
        <f t="shared" si="16"/>
        <v>1</v>
      </c>
      <c r="P329" s="6"/>
      <c r="Q329" s="6"/>
      <c r="R329" s="41"/>
      <c r="X329" s="6">
        <f t="shared" si="17"/>
        <v>1</v>
      </c>
      <c r="Y329" s="6"/>
      <c r="Z329" s="41"/>
      <c r="AA329" s="41"/>
      <c r="AG329" s="6">
        <f t="shared" si="18"/>
        <v>1</v>
      </c>
      <c r="AH329" s="6">
        <f t="shared" si="19"/>
        <v>1</v>
      </c>
      <c r="AI329" s="6" t="e">
        <f>VLOOKUP(AB329,'ABC расчет'!AC:AC,1,0)</f>
        <v>#N/A</v>
      </c>
      <c r="AJ329" s="6"/>
    </row>
    <row r="330" spans="6:36" x14ac:dyDescent="0.3">
      <c r="F330" s="1"/>
      <c r="G330" s="1"/>
      <c r="I330" s="1"/>
      <c r="O330" s="6">
        <f t="shared" si="16"/>
        <v>1</v>
      </c>
      <c r="P330" s="6"/>
      <c r="Q330" s="6"/>
      <c r="R330" s="41"/>
      <c r="X330" s="6">
        <f t="shared" si="17"/>
        <v>1</v>
      </c>
      <c r="Y330" s="6"/>
      <c r="Z330" s="41"/>
      <c r="AA330" s="41"/>
      <c r="AG330" s="6">
        <f t="shared" si="18"/>
        <v>1</v>
      </c>
      <c r="AH330" s="6">
        <f t="shared" si="19"/>
        <v>1</v>
      </c>
      <c r="AI330" s="6" t="e">
        <f>VLOOKUP(AB330,'ABC расчет'!AC:AC,1,0)</f>
        <v>#N/A</v>
      </c>
      <c r="AJ330" s="6"/>
    </row>
    <row r="331" spans="6:36" x14ac:dyDescent="0.3">
      <c r="F331" s="1"/>
      <c r="G331" s="1"/>
      <c r="I331" s="1"/>
      <c r="O331" s="6">
        <f t="shared" si="16"/>
        <v>1</v>
      </c>
      <c r="P331" s="6"/>
      <c r="Q331" s="6"/>
      <c r="R331" s="41"/>
      <c r="X331" s="6">
        <f t="shared" si="17"/>
        <v>1</v>
      </c>
      <c r="Y331" s="6"/>
      <c r="Z331" s="41"/>
      <c r="AA331" s="41"/>
      <c r="AG331" s="6">
        <f t="shared" si="18"/>
        <v>1</v>
      </c>
      <c r="AH331" s="6">
        <f t="shared" si="19"/>
        <v>1</v>
      </c>
      <c r="AI331" s="6" t="e">
        <f>VLOOKUP(AB331,'ABC расчет'!AC:AC,1,0)</f>
        <v>#N/A</v>
      </c>
      <c r="AJ331" s="6"/>
    </row>
    <row r="332" spans="6:36" x14ac:dyDescent="0.3">
      <c r="F332" s="1"/>
      <c r="G332" s="1"/>
      <c r="I332" s="1"/>
      <c r="O332" s="6">
        <f t="shared" si="16"/>
        <v>1</v>
      </c>
      <c r="P332" s="6"/>
      <c r="Q332" s="6"/>
      <c r="R332" s="41"/>
      <c r="X332" s="6">
        <f t="shared" si="17"/>
        <v>1</v>
      </c>
      <c r="Y332" s="6"/>
      <c r="Z332" s="41"/>
      <c r="AA332" s="41"/>
      <c r="AG332" s="6">
        <f t="shared" si="18"/>
        <v>1</v>
      </c>
      <c r="AH332" s="6">
        <f t="shared" si="19"/>
        <v>1</v>
      </c>
      <c r="AI332" s="6" t="e">
        <f>VLOOKUP(AB332,'ABC расчет'!AC:AC,1,0)</f>
        <v>#N/A</v>
      </c>
      <c r="AJ332" s="6"/>
    </row>
    <row r="333" spans="6:36" x14ac:dyDescent="0.3">
      <c r="F333" s="1"/>
      <c r="G333" s="1"/>
      <c r="I333" s="1"/>
      <c r="O333" s="6">
        <f t="shared" si="16"/>
        <v>1</v>
      </c>
      <c r="P333" s="6"/>
      <c r="Q333" s="6"/>
      <c r="R333" s="41"/>
      <c r="X333" s="6">
        <f t="shared" si="17"/>
        <v>1</v>
      </c>
      <c r="Y333" s="6"/>
      <c r="Z333" s="41"/>
      <c r="AA333" s="41"/>
      <c r="AG333" s="6">
        <f t="shared" si="18"/>
        <v>1</v>
      </c>
      <c r="AH333" s="6">
        <f t="shared" si="19"/>
        <v>1</v>
      </c>
      <c r="AI333" s="6" t="e">
        <f>VLOOKUP(AB333,'ABC расчет'!AC:AC,1,0)</f>
        <v>#N/A</v>
      </c>
      <c r="AJ333" s="6"/>
    </row>
    <row r="334" spans="6:36" x14ac:dyDescent="0.3">
      <c r="F334" s="1"/>
      <c r="G334" s="1"/>
      <c r="O334" s="6">
        <f t="shared" si="16"/>
        <v>1</v>
      </c>
      <c r="P334" s="6"/>
      <c r="Q334" s="6"/>
      <c r="R334" s="41"/>
      <c r="X334" s="6">
        <f t="shared" si="17"/>
        <v>1</v>
      </c>
      <c r="Y334" s="6"/>
      <c r="Z334" s="41"/>
      <c r="AA334" s="41"/>
      <c r="AG334" s="6">
        <f t="shared" si="18"/>
        <v>1</v>
      </c>
      <c r="AH334" s="6">
        <f t="shared" si="19"/>
        <v>1</v>
      </c>
      <c r="AI334" s="6" t="e">
        <f>VLOOKUP(AB334,'ABC расчет'!AC:AC,1,0)</f>
        <v>#N/A</v>
      </c>
      <c r="AJ334" s="6"/>
    </row>
    <row r="335" spans="6:36" x14ac:dyDescent="0.3">
      <c r="F335" s="1"/>
      <c r="G335" s="1"/>
      <c r="O335" s="6">
        <f t="shared" si="16"/>
        <v>1</v>
      </c>
      <c r="P335" s="6"/>
      <c r="Q335" s="6"/>
      <c r="R335" s="41"/>
      <c r="X335" s="6">
        <f t="shared" si="17"/>
        <v>1</v>
      </c>
      <c r="Y335" s="6"/>
      <c r="Z335" s="41"/>
      <c r="AA335" s="41"/>
      <c r="AG335" s="6">
        <f t="shared" si="18"/>
        <v>1</v>
      </c>
      <c r="AH335" s="6">
        <f t="shared" si="19"/>
        <v>1</v>
      </c>
      <c r="AI335" s="6" t="e">
        <f>VLOOKUP(AB335,'ABC расчет'!AC:AC,1,0)</f>
        <v>#N/A</v>
      </c>
      <c r="AJ335" s="6"/>
    </row>
    <row r="336" spans="6:36" x14ac:dyDescent="0.3">
      <c r="F336" s="1"/>
      <c r="G336" s="1"/>
      <c r="O336" s="6">
        <f t="shared" si="16"/>
        <v>1</v>
      </c>
      <c r="P336" s="6"/>
      <c r="Q336" s="6"/>
      <c r="R336" s="41"/>
      <c r="X336" s="6">
        <f t="shared" si="17"/>
        <v>1</v>
      </c>
      <c r="Y336" s="6"/>
      <c r="Z336" s="41"/>
      <c r="AA336" s="41"/>
      <c r="AG336" s="6">
        <f t="shared" si="18"/>
        <v>1</v>
      </c>
      <c r="AH336" s="6">
        <f t="shared" si="19"/>
        <v>1</v>
      </c>
      <c r="AI336" s="6" t="e">
        <f>VLOOKUP(AB336,'ABC расчет'!AC:AC,1,0)</f>
        <v>#N/A</v>
      </c>
      <c r="AJ336" s="6"/>
    </row>
    <row r="337" spans="6:36" x14ac:dyDescent="0.3">
      <c r="F337" s="1"/>
      <c r="G337" s="1"/>
      <c r="O337" s="6">
        <f t="shared" si="16"/>
        <v>1</v>
      </c>
      <c r="P337" s="6"/>
      <c r="Q337" s="6"/>
      <c r="R337" s="41"/>
      <c r="X337" s="6">
        <f t="shared" si="17"/>
        <v>1</v>
      </c>
      <c r="Y337" s="6"/>
      <c r="Z337" s="41"/>
      <c r="AA337" s="41"/>
      <c r="AG337" s="6">
        <f t="shared" si="18"/>
        <v>1</v>
      </c>
      <c r="AH337" s="6">
        <f t="shared" si="19"/>
        <v>1</v>
      </c>
      <c r="AI337" s="6" t="e">
        <f>VLOOKUP(AB337,'ABC расчет'!AC:AC,1,0)</f>
        <v>#N/A</v>
      </c>
      <c r="AJ337" s="6"/>
    </row>
    <row r="338" spans="6:36" x14ac:dyDescent="0.3">
      <c r="F338" s="1"/>
      <c r="G338" s="1"/>
      <c r="O338" s="6">
        <f t="shared" si="16"/>
        <v>1</v>
      </c>
      <c r="P338" s="6"/>
      <c r="Q338" s="6"/>
      <c r="R338" s="41"/>
      <c r="X338" s="6">
        <f t="shared" si="17"/>
        <v>1</v>
      </c>
      <c r="Y338" s="6"/>
      <c r="Z338" s="41"/>
      <c r="AA338" s="41"/>
      <c r="AG338" s="6">
        <f t="shared" si="18"/>
        <v>1</v>
      </c>
      <c r="AH338" s="6">
        <f t="shared" si="19"/>
        <v>1</v>
      </c>
      <c r="AI338" s="6" t="e">
        <f>VLOOKUP(AB338,'ABC расчет'!AC:AC,1,0)</f>
        <v>#N/A</v>
      </c>
      <c r="AJ338" s="6"/>
    </row>
    <row r="339" spans="6:36" x14ac:dyDescent="0.3">
      <c r="F339" s="1"/>
      <c r="G339" s="1"/>
      <c r="O339" s="6">
        <f t="shared" si="16"/>
        <v>1</v>
      </c>
      <c r="P339" s="6"/>
      <c r="Q339" s="6"/>
      <c r="R339" s="41"/>
      <c r="X339" s="6">
        <f t="shared" si="17"/>
        <v>1</v>
      </c>
      <c r="Y339" s="6"/>
      <c r="Z339" s="41"/>
      <c r="AA339" s="41"/>
      <c r="AG339" s="6">
        <f t="shared" si="18"/>
        <v>1</v>
      </c>
      <c r="AH339" s="6">
        <f t="shared" si="19"/>
        <v>1</v>
      </c>
      <c r="AI339" s="6" t="e">
        <f>VLOOKUP(AB339,'ABC расчет'!AC:AC,1,0)</f>
        <v>#N/A</v>
      </c>
      <c r="AJ339" s="6"/>
    </row>
    <row r="340" spans="6:36" x14ac:dyDescent="0.3">
      <c r="F340" s="1"/>
      <c r="G340" s="1"/>
      <c r="O340" s="6">
        <f t="shared" si="16"/>
        <v>1</v>
      </c>
      <c r="P340" s="6"/>
      <c r="Q340" s="6"/>
      <c r="R340" s="41"/>
      <c r="X340" s="6">
        <f t="shared" si="17"/>
        <v>1</v>
      </c>
      <c r="Y340" s="6"/>
      <c r="Z340" s="41"/>
      <c r="AA340" s="41"/>
      <c r="AG340" s="6">
        <f t="shared" si="18"/>
        <v>1</v>
      </c>
      <c r="AH340" s="6">
        <f t="shared" si="19"/>
        <v>1</v>
      </c>
      <c r="AI340" s="6" t="e">
        <f>VLOOKUP(AB340,'ABC расчет'!AC:AC,1,0)</f>
        <v>#N/A</v>
      </c>
      <c r="AJ340" s="6"/>
    </row>
    <row r="341" spans="6:36" x14ac:dyDescent="0.3">
      <c r="F341" s="1"/>
      <c r="G341" s="1"/>
      <c r="O341" s="6">
        <f t="shared" si="16"/>
        <v>1</v>
      </c>
      <c r="P341" s="6"/>
      <c r="Q341" s="6"/>
      <c r="R341" s="41"/>
      <c r="X341" s="6">
        <f t="shared" si="17"/>
        <v>1</v>
      </c>
      <c r="Y341" s="6"/>
      <c r="Z341" s="41"/>
      <c r="AA341" s="41"/>
      <c r="AG341" s="6">
        <f t="shared" si="18"/>
        <v>1</v>
      </c>
      <c r="AH341" s="6">
        <f t="shared" si="19"/>
        <v>1</v>
      </c>
      <c r="AI341" s="6" t="e">
        <f>VLOOKUP(AB341,'ABC расчет'!AC:AC,1,0)</f>
        <v>#N/A</v>
      </c>
      <c r="AJ341" s="6"/>
    </row>
    <row r="342" spans="6:36" x14ac:dyDescent="0.3">
      <c r="F342" s="1"/>
      <c r="G342" s="1"/>
      <c r="O342" s="6">
        <f t="shared" si="16"/>
        <v>1</v>
      </c>
      <c r="P342" s="6"/>
      <c r="Q342" s="6"/>
      <c r="R342" s="41"/>
      <c r="X342" s="6">
        <f t="shared" si="17"/>
        <v>1</v>
      </c>
      <c r="Y342" s="6"/>
      <c r="Z342" s="41"/>
      <c r="AA342" s="41"/>
      <c r="AG342" s="6">
        <f t="shared" si="18"/>
        <v>1</v>
      </c>
      <c r="AH342" s="6">
        <f t="shared" si="19"/>
        <v>1</v>
      </c>
      <c r="AI342" s="6" t="e">
        <f>VLOOKUP(AB342,'ABC расчет'!AC:AC,1,0)</f>
        <v>#N/A</v>
      </c>
      <c r="AJ342" s="6"/>
    </row>
    <row r="343" spans="6:36" x14ac:dyDescent="0.3">
      <c r="F343" s="1"/>
      <c r="G343" s="1"/>
      <c r="O343" s="6">
        <f t="shared" si="16"/>
        <v>1</v>
      </c>
      <c r="P343" s="6"/>
      <c r="Q343" s="6"/>
      <c r="R343" s="41"/>
      <c r="X343" s="6">
        <f t="shared" si="17"/>
        <v>1</v>
      </c>
      <c r="Y343" s="6"/>
      <c r="Z343" s="41"/>
      <c r="AA343" s="41"/>
      <c r="AG343" s="6"/>
      <c r="AH343" s="6"/>
    </row>
    <row r="344" spans="6:36" x14ac:dyDescent="0.3">
      <c r="F344" s="1"/>
      <c r="G344" s="1"/>
      <c r="O344" s="6">
        <f t="shared" si="16"/>
        <v>1</v>
      </c>
      <c r="P344" s="6"/>
      <c r="Q344" s="6"/>
      <c r="R344" s="41"/>
      <c r="X344" s="6">
        <f t="shared" si="17"/>
        <v>1</v>
      </c>
      <c r="Y344" s="6"/>
      <c r="Z344" s="41"/>
      <c r="AA344" s="41"/>
      <c r="AG344" s="6"/>
      <c r="AH344" s="6"/>
    </row>
    <row r="345" spans="6:36" x14ac:dyDescent="0.3">
      <c r="F345" s="1"/>
      <c r="G345" s="1"/>
      <c r="O345" s="6">
        <f t="shared" si="16"/>
        <v>1</v>
      </c>
      <c r="P345" s="6"/>
      <c r="Q345" s="6"/>
      <c r="R345" s="41"/>
      <c r="X345" s="6">
        <f t="shared" si="17"/>
        <v>1</v>
      </c>
      <c r="Y345" s="6"/>
      <c r="Z345" s="41"/>
      <c r="AA345" s="41"/>
      <c r="AG345" s="6"/>
      <c r="AH345" s="6"/>
    </row>
    <row r="346" spans="6:36" x14ac:dyDescent="0.3">
      <c r="F346" s="1"/>
      <c r="G346" s="1"/>
      <c r="O346" s="6">
        <f t="shared" si="16"/>
        <v>1</v>
      </c>
      <c r="P346" s="6"/>
      <c r="Q346" s="6"/>
      <c r="R346" s="41"/>
      <c r="X346" s="6">
        <f t="shared" si="17"/>
        <v>1</v>
      </c>
      <c r="Y346" s="6"/>
      <c r="Z346" s="41"/>
      <c r="AA346" s="41"/>
      <c r="AG346" s="6"/>
      <c r="AH346" s="6"/>
    </row>
    <row r="347" spans="6:36" x14ac:dyDescent="0.3">
      <c r="F347" s="1"/>
      <c r="G347" s="1"/>
      <c r="O347" s="6">
        <f t="shared" ref="O347:O364" si="20">IFERROR((N347/VLOOKUP(J347,A:E,5,0))-1,1)</f>
        <v>1</v>
      </c>
      <c r="P347" s="6"/>
      <c r="Q347" s="6"/>
      <c r="R347" s="41"/>
      <c r="X347" s="6">
        <f t="shared" ref="X347:X354" si="21">IFERROR((W347/VLOOKUP(S347,J:N,5,0))-1,1)</f>
        <v>1</v>
      </c>
      <c r="Y347" s="6"/>
      <c r="Z347" s="41"/>
      <c r="AA347" s="41"/>
      <c r="AG347" s="6"/>
      <c r="AH347" s="6"/>
    </row>
    <row r="348" spans="6:36" x14ac:dyDescent="0.3">
      <c r="F348" s="1"/>
      <c r="G348" s="1"/>
      <c r="O348" s="6">
        <f t="shared" si="20"/>
        <v>1</v>
      </c>
      <c r="P348" s="6"/>
      <c r="Q348" s="6"/>
      <c r="R348" s="41"/>
      <c r="X348" s="6">
        <f t="shared" si="21"/>
        <v>1</v>
      </c>
      <c r="Y348" s="6"/>
      <c r="Z348" s="41"/>
      <c r="AA348" s="41"/>
      <c r="AG348" s="6"/>
      <c r="AH348" s="6"/>
    </row>
    <row r="349" spans="6:36" x14ac:dyDescent="0.3">
      <c r="F349" s="1"/>
      <c r="G349" s="1"/>
      <c r="O349" s="6">
        <f t="shared" si="20"/>
        <v>1</v>
      </c>
      <c r="P349" s="6"/>
      <c r="Q349" s="6"/>
      <c r="R349" s="41"/>
      <c r="X349" s="6">
        <f t="shared" si="21"/>
        <v>1</v>
      </c>
      <c r="Y349" s="6"/>
      <c r="Z349" s="41"/>
      <c r="AA349" s="41"/>
      <c r="AG349" s="6"/>
      <c r="AH349" s="6"/>
    </row>
    <row r="350" spans="6:36" x14ac:dyDescent="0.3">
      <c r="F350" s="1"/>
      <c r="G350" s="1"/>
      <c r="O350" s="6">
        <f t="shared" si="20"/>
        <v>1</v>
      </c>
      <c r="P350" s="6"/>
      <c r="Q350" s="6"/>
      <c r="R350" s="41"/>
      <c r="X350" s="6">
        <f t="shared" si="21"/>
        <v>1</v>
      </c>
      <c r="Y350" s="6"/>
      <c r="Z350" s="41"/>
      <c r="AA350" s="41"/>
      <c r="AG350" s="6"/>
      <c r="AH350" s="6"/>
    </row>
    <row r="351" spans="6:36" x14ac:dyDescent="0.3">
      <c r="F351" s="1"/>
      <c r="G351" s="1"/>
      <c r="O351" s="6">
        <f t="shared" si="20"/>
        <v>1</v>
      </c>
      <c r="P351" s="6"/>
      <c r="Q351" s="6"/>
      <c r="R351" s="41"/>
      <c r="X351" s="6">
        <f t="shared" si="21"/>
        <v>1</v>
      </c>
      <c r="Y351" s="6"/>
      <c r="Z351" s="41"/>
      <c r="AA351" s="41"/>
      <c r="AG351" s="6"/>
      <c r="AH351" s="6"/>
    </row>
    <row r="352" spans="6:36" x14ac:dyDescent="0.3">
      <c r="F352" s="1"/>
      <c r="G352" s="1"/>
      <c r="O352" s="6">
        <f t="shared" si="20"/>
        <v>1</v>
      </c>
      <c r="P352" s="6"/>
      <c r="Q352" s="6"/>
      <c r="R352" s="41"/>
      <c r="X352" s="6">
        <f t="shared" si="21"/>
        <v>1</v>
      </c>
      <c r="Y352" s="6"/>
      <c r="Z352" s="41"/>
      <c r="AA352" s="41"/>
      <c r="AG352" s="6"/>
      <c r="AH352" s="6"/>
    </row>
    <row r="353" spans="6:34" x14ac:dyDescent="0.3">
      <c r="F353" s="1"/>
      <c r="G353" s="1"/>
      <c r="O353" s="6">
        <f t="shared" si="20"/>
        <v>1</v>
      </c>
      <c r="P353" s="6"/>
      <c r="Q353" s="6"/>
      <c r="R353" s="41"/>
      <c r="X353" s="6">
        <f t="shared" si="21"/>
        <v>1</v>
      </c>
      <c r="Y353" s="6"/>
      <c r="Z353" s="41"/>
      <c r="AA353" s="41"/>
      <c r="AG353" s="6"/>
      <c r="AH353" s="6"/>
    </row>
    <row r="354" spans="6:34" x14ac:dyDescent="0.3">
      <c r="F354" s="1"/>
      <c r="G354" s="1"/>
      <c r="O354" s="6">
        <f t="shared" si="20"/>
        <v>1</v>
      </c>
      <c r="P354" s="6"/>
      <c r="Q354" s="6"/>
      <c r="R354" s="41"/>
      <c r="X354" s="6">
        <f t="shared" si="21"/>
        <v>1</v>
      </c>
      <c r="Y354" s="6"/>
      <c r="Z354" s="41"/>
      <c r="AA354" s="41"/>
      <c r="AG354" s="6"/>
      <c r="AH354" s="6"/>
    </row>
    <row r="355" spans="6:34" x14ac:dyDescent="0.3">
      <c r="F355" s="1"/>
      <c r="G355" s="1"/>
      <c r="O355" s="6">
        <f t="shared" si="20"/>
        <v>1</v>
      </c>
      <c r="P355" s="6"/>
      <c r="Q355" s="6"/>
      <c r="R355" s="41"/>
      <c r="X355" s="6"/>
      <c r="Y355" s="6"/>
      <c r="Z355" s="41"/>
      <c r="AA355" s="41"/>
      <c r="AG355" s="6"/>
      <c r="AH355" s="6"/>
    </row>
    <row r="356" spans="6:34" x14ac:dyDescent="0.3">
      <c r="F356" s="1"/>
      <c r="G356" s="1"/>
      <c r="O356" s="6">
        <f t="shared" si="20"/>
        <v>1</v>
      </c>
      <c r="P356" s="6"/>
      <c r="Q356" s="6"/>
      <c r="R356" s="41"/>
      <c r="X356" s="6"/>
      <c r="Y356" s="6"/>
      <c r="Z356" s="41"/>
      <c r="AA356" s="41"/>
      <c r="AG356" s="6"/>
      <c r="AH356" s="6"/>
    </row>
    <row r="357" spans="6:34" x14ac:dyDescent="0.3">
      <c r="F357" s="1"/>
      <c r="G357" s="1"/>
      <c r="O357" s="6">
        <f t="shared" si="20"/>
        <v>1</v>
      </c>
      <c r="P357" s="6"/>
      <c r="Q357" s="6"/>
      <c r="R357" s="41"/>
      <c r="X357" s="6"/>
      <c r="Y357" s="6"/>
      <c r="Z357" s="41"/>
      <c r="AA357" s="41"/>
      <c r="AG357" s="6"/>
      <c r="AH357" s="6"/>
    </row>
    <row r="358" spans="6:34" x14ac:dyDescent="0.3">
      <c r="F358" s="1"/>
      <c r="G358" s="1"/>
      <c r="O358" s="6">
        <f t="shared" si="20"/>
        <v>1</v>
      </c>
      <c r="P358" s="6"/>
      <c r="Q358" s="6"/>
      <c r="R358" s="41"/>
      <c r="X358" s="6"/>
      <c r="Y358" s="6"/>
      <c r="Z358" s="41"/>
      <c r="AA358" s="41"/>
      <c r="AG358" s="6"/>
      <c r="AH358" s="6"/>
    </row>
    <row r="359" spans="6:34" x14ac:dyDescent="0.3">
      <c r="F359" s="1"/>
      <c r="G359" s="1"/>
      <c r="O359" s="6">
        <f t="shared" si="20"/>
        <v>1</v>
      </c>
      <c r="P359" s="6"/>
      <c r="Q359" s="6"/>
      <c r="R359" s="41"/>
      <c r="X359" s="6"/>
      <c r="Y359" s="6"/>
      <c r="Z359" s="41"/>
      <c r="AA359" s="41"/>
      <c r="AG359" s="6"/>
      <c r="AH359" s="6"/>
    </row>
    <row r="360" spans="6:34" x14ac:dyDescent="0.3">
      <c r="F360" s="1"/>
      <c r="G360" s="1"/>
      <c r="O360" s="6">
        <f t="shared" si="20"/>
        <v>1</v>
      </c>
      <c r="P360" s="6"/>
      <c r="Q360" s="6"/>
      <c r="R360" s="41"/>
      <c r="X360" s="6"/>
      <c r="Y360" s="6"/>
      <c r="Z360" s="41"/>
      <c r="AA360" s="41"/>
      <c r="AG360" s="6"/>
      <c r="AH360" s="6"/>
    </row>
    <row r="361" spans="6:34" x14ac:dyDescent="0.3">
      <c r="F361" s="1"/>
      <c r="G361" s="1"/>
      <c r="O361" s="6">
        <f t="shared" si="20"/>
        <v>1</v>
      </c>
      <c r="P361" s="6"/>
      <c r="Q361" s="6"/>
      <c r="R361" s="41"/>
      <c r="X361" s="6"/>
      <c r="Y361" s="6"/>
      <c r="Z361" s="41"/>
      <c r="AA361" s="41"/>
      <c r="AG361" s="6"/>
      <c r="AH361" s="6"/>
    </row>
    <row r="362" spans="6:34" x14ac:dyDescent="0.3">
      <c r="F362" s="1"/>
      <c r="G362" s="1"/>
      <c r="O362" s="6">
        <f t="shared" si="20"/>
        <v>1</v>
      </c>
      <c r="P362" s="6"/>
      <c r="Q362" s="6"/>
      <c r="R362" s="41"/>
      <c r="X362" s="6"/>
      <c r="Y362" s="6"/>
      <c r="Z362" s="41"/>
      <c r="AA362" s="41"/>
      <c r="AG362" s="6"/>
      <c r="AH362" s="6"/>
    </row>
    <row r="363" spans="6:34" x14ac:dyDescent="0.3">
      <c r="F363" s="1"/>
      <c r="G363" s="1"/>
      <c r="O363" s="6">
        <f t="shared" si="20"/>
        <v>1</v>
      </c>
      <c r="P363" s="6"/>
      <c r="Q363" s="6"/>
      <c r="R363" s="41"/>
      <c r="X363" s="6"/>
      <c r="Y363" s="6"/>
      <c r="Z363" s="41"/>
      <c r="AA363" s="41"/>
      <c r="AG363" s="6"/>
      <c r="AH363" s="6"/>
    </row>
    <row r="364" spans="6:34" x14ac:dyDescent="0.3">
      <c r="F364" s="1"/>
      <c r="G364" s="1"/>
      <c r="O364" s="6">
        <f t="shared" si="20"/>
        <v>1</v>
      </c>
      <c r="P364" s="6"/>
      <c r="Q364" s="6"/>
      <c r="R364" s="41"/>
      <c r="X364" s="6"/>
      <c r="Y364" s="6"/>
      <c r="Z364" s="41"/>
      <c r="AA364" s="41"/>
      <c r="AG364" s="6"/>
      <c r="AH364" s="6"/>
    </row>
    <row r="365" spans="6:34" x14ac:dyDescent="0.3">
      <c r="F365" s="1"/>
      <c r="G365" s="1"/>
    </row>
    <row r="366" spans="6:34" x14ac:dyDescent="0.3">
      <c r="F366" s="1"/>
      <c r="G366" s="1"/>
    </row>
    <row r="367" spans="6:34" x14ac:dyDescent="0.3">
      <c r="F367" s="1"/>
      <c r="G367" s="1"/>
    </row>
    <row r="368" spans="6:34" x14ac:dyDescent="0.3">
      <c r="F368" s="1"/>
      <c r="G368" s="1"/>
    </row>
    <row r="369" spans="6:7" x14ac:dyDescent="0.3">
      <c r="F369" s="1"/>
      <c r="G369" s="1"/>
    </row>
    <row r="370" spans="6:7" x14ac:dyDescent="0.3">
      <c r="F370" s="1"/>
      <c r="G370" s="1"/>
    </row>
  </sheetData>
  <autoFilter ref="AB26:AI342"/>
  <pageMargins left="0.7" right="0.7" top="0.75" bottom="0.75" header="0.3" footer="0.3"/>
  <pageSetup paperSize="9" orientation="portrait"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H35"/>
  <sheetViews>
    <sheetView zoomScale="85" zoomScaleNormal="85" workbookViewId="0">
      <selection activeCell="E35" sqref="E35"/>
    </sheetView>
  </sheetViews>
  <sheetFormatPr defaultRowHeight="14.4" x14ac:dyDescent="0.3"/>
  <cols>
    <col min="1" max="1" width="30.88671875" customWidth="1"/>
    <col min="2" max="2" width="17.5546875" customWidth="1"/>
    <col min="3" max="4" width="14.5546875" customWidth="1"/>
    <col min="5" max="5" width="14.44140625" customWidth="1"/>
    <col min="6" max="6" width="12.88671875" customWidth="1"/>
    <col min="7" max="7" width="31.88671875" customWidth="1"/>
    <col min="8" max="8" width="29.33203125" customWidth="1"/>
    <col min="9" max="9" width="31.44140625" bestFit="1" customWidth="1"/>
    <col min="10" max="10" width="12.109375" bestFit="1" customWidth="1"/>
    <col min="11" max="11" width="17.44140625" bestFit="1" customWidth="1"/>
    <col min="12" max="12" width="31.44140625" bestFit="1" customWidth="1"/>
    <col min="13" max="13" width="13.44140625" bestFit="1" customWidth="1"/>
    <col min="14" max="14" width="17.44140625" bestFit="1" customWidth="1"/>
    <col min="15" max="15" width="31.44140625" bestFit="1" customWidth="1"/>
    <col min="16" max="16" width="12.109375" bestFit="1" customWidth="1"/>
    <col min="17" max="17" width="17.44140625" bestFit="1" customWidth="1"/>
    <col min="18" max="18" width="31.44140625" bestFit="1" customWidth="1"/>
    <col min="19" max="19" width="12.109375" bestFit="1" customWidth="1"/>
    <col min="20" max="20" width="17.44140625" bestFit="1" customWidth="1"/>
    <col min="21" max="21" width="31.44140625" bestFit="1" customWidth="1"/>
    <col min="22" max="22" width="13.44140625" bestFit="1" customWidth="1"/>
    <col min="23" max="23" width="17.44140625" bestFit="1" customWidth="1"/>
    <col min="24" max="24" width="31.44140625" bestFit="1" customWidth="1"/>
  </cols>
  <sheetData>
    <row r="4" spans="1:8" x14ac:dyDescent="0.3">
      <c r="G4" s="34" t="s">
        <v>343</v>
      </c>
    </row>
    <row r="5" spans="1:8" x14ac:dyDescent="0.3">
      <c r="A5" s="2" t="s">
        <v>123</v>
      </c>
      <c r="B5" t="s" vm="10">
        <v>0</v>
      </c>
      <c r="G5" s="19" t="s">
        <v>406</v>
      </c>
    </row>
    <row r="6" spans="1:8" x14ac:dyDescent="0.3">
      <c r="A6" s="2" t="s">
        <v>124</v>
      </c>
      <c r="B6" t="s" vm="3">
        <v>125</v>
      </c>
      <c r="G6" s="19" t="s">
        <v>403</v>
      </c>
    </row>
    <row r="7" spans="1:8" x14ac:dyDescent="0.3">
      <c r="A7" s="2" t="s">
        <v>1</v>
      </c>
      <c r="B7" t="s" vm="1">
        <v>0</v>
      </c>
      <c r="G7" s="19" t="s">
        <v>404</v>
      </c>
    </row>
    <row r="8" spans="1:8" x14ac:dyDescent="0.3">
      <c r="A8" s="2" t="s">
        <v>2</v>
      </c>
      <c r="B8" t="s" vm="2">
        <v>0</v>
      </c>
      <c r="D8" s="9"/>
      <c r="G8" s="19" t="s">
        <v>405</v>
      </c>
    </row>
    <row r="10" spans="1:8" x14ac:dyDescent="0.3">
      <c r="A10" s="2" t="s">
        <v>3</v>
      </c>
      <c r="B10" s="4" t="s">
        <v>268</v>
      </c>
      <c r="C10" t="s">
        <v>352</v>
      </c>
      <c r="H10" s="4"/>
    </row>
    <row r="11" spans="1:8" x14ac:dyDescent="0.3">
      <c r="A11" s="3" t="s">
        <v>323</v>
      </c>
      <c r="B11" s="1">
        <v>71907.43789999999</v>
      </c>
      <c r="C11" s="1">
        <v>44876801.335000023</v>
      </c>
      <c r="E11" s="24"/>
      <c r="G11" s="3"/>
      <c r="H11" s="1"/>
    </row>
    <row r="12" spans="1:8" x14ac:dyDescent="0.3">
      <c r="A12" s="3" t="s">
        <v>324</v>
      </c>
      <c r="B12" s="1">
        <v>50362.701399999998</v>
      </c>
      <c r="C12" s="1">
        <v>39175862.908499993</v>
      </c>
      <c r="E12" s="24"/>
      <c r="G12" s="3"/>
      <c r="H12" s="1"/>
    </row>
    <row r="13" spans="1:8" x14ac:dyDescent="0.3">
      <c r="A13" s="3" t="s">
        <v>325</v>
      </c>
      <c r="B13" s="1">
        <v>78142.990552000017</v>
      </c>
      <c r="C13" s="1">
        <v>47645748.689500079</v>
      </c>
      <c r="E13" s="24"/>
      <c r="G13" s="3"/>
      <c r="H13" s="1"/>
    </row>
    <row r="14" spans="1:8" x14ac:dyDescent="0.3">
      <c r="A14" s="3" t="s">
        <v>331</v>
      </c>
      <c r="B14" s="1">
        <v>53669.165000000008</v>
      </c>
      <c r="C14" s="1">
        <v>52820147.605400048</v>
      </c>
      <c r="E14" s="24"/>
      <c r="G14" s="3"/>
      <c r="H14" s="1"/>
    </row>
    <row r="15" spans="1:8" x14ac:dyDescent="0.3">
      <c r="A15" s="3" t="s">
        <v>332</v>
      </c>
      <c r="B15" s="1">
        <v>57125.03790000001</v>
      </c>
      <c r="C15" s="1">
        <v>47819328.150900021</v>
      </c>
      <c r="E15" s="24"/>
      <c r="G15" s="3"/>
      <c r="H15" s="1"/>
    </row>
    <row r="16" spans="1:8" x14ac:dyDescent="0.3">
      <c r="A16" s="3" t="s">
        <v>333</v>
      </c>
      <c r="B16" s="1">
        <v>49906.789000000012</v>
      </c>
      <c r="C16" s="1">
        <v>44186048.088500001</v>
      </c>
      <c r="E16" s="24"/>
      <c r="G16" s="3"/>
      <c r="H16" s="1"/>
    </row>
    <row r="17" spans="1:8" x14ac:dyDescent="0.3">
      <c r="A17" s="3" t="s">
        <v>407</v>
      </c>
      <c r="B17" s="1">
        <v>57233.825418000008</v>
      </c>
      <c r="C17" s="1">
        <v>52055320.00500004</v>
      </c>
      <c r="E17" s="24"/>
      <c r="G17" s="3"/>
      <c r="H17" s="1"/>
    </row>
    <row r="18" spans="1:8" x14ac:dyDescent="0.3">
      <c r="A18" s="3" t="s">
        <v>408</v>
      </c>
      <c r="B18" s="1">
        <v>58113.240708999991</v>
      </c>
      <c r="C18" s="1">
        <v>52412839.736100048</v>
      </c>
      <c r="E18" s="24"/>
      <c r="G18" s="3"/>
      <c r="H18" s="1"/>
    </row>
    <row r="19" spans="1:8" x14ac:dyDescent="0.3">
      <c r="A19" s="3" t="s">
        <v>409</v>
      </c>
      <c r="B19" s="1">
        <v>59459.864521999996</v>
      </c>
      <c r="C19" s="1">
        <v>59707136.746600032</v>
      </c>
      <c r="E19" s="24"/>
      <c r="G19" s="3"/>
      <c r="H19" s="1"/>
    </row>
    <row r="20" spans="1:8" x14ac:dyDescent="0.3">
      <c r="A20" s="3" t="s">
        <v>410</v>
      </c>
      <c r="B20" s="1">
        <v>72240.633999999976</v>
      </c>
      <c r="C20" s="1">
        <v>51290729.319499955</v>
      </c>
      <c r="E20" s="24"/>
      <c r="G20" s="3"/>
      <c r="H20" s="1"/>
    </row>
    <row r="21" spans="1:8" x14ac:dyDescent="0.3">
      <c r="A21" s="3" t="s">
        <v>411</v>
      </c>
      <c r="B21" s="1">
        <v>59412.439000000013</v>
      </c>
      <c r="C21" s="1">
        <v>48279668.40550001</v>
      </c>
      <c r="E21" s="24"/>
    </row>
    <row r="22" spans="1:8" x14ac:dyDescent="0.3">
      <c r="A22" s="3" t="s">
        <v>412</v>
      </c>
      <c r="B22" s="1">
        <v>67210.678</v>
      </c>
      <c r="C22" s="1">
        <v>54306597.313099988</v>
      </c>
      <c r="E22" s="24"/>
    </row>
    <row r="23" spans="1:8" x14ac:dyDescent="0.3">
      <c r="A23" s="3" t="s">
        <v>4</v>
      </c>
      <c r="B23" s="1">
        <v>734784.80340099998</v>
      </c>
      <c r="C23" s="1">
        <v>594576228.30360019</v>
      </c>
      <c r="E23" s="24"/>
    </row>
    <row r="24" spans="1:8" x14ac:dyDescent="0.3">
      <c r="E24" s="24"/>
    </row>
    <row r="25" spans="1:8" x14ac:dyDescent="0.3">
      <c r="E25" s="24"/>
    </row>
    <row r="26" spans="1:8" x14ac:dyDescent="0.3">
      <c r="E26" s="24"/>
    </row>
    <row r="27" spans="1:8" x14ac:dyDescent="0.3">
      <c r="E27" s="24"/>
    </row>
    <row r="28" spans="1:8" x14ac:dyDescent="0.3">
      <c r="E28" s="24"/>
    </row>
    <row r="29" spans="1:8" x14ac:dyDescent="0.3">
      <c r="E29" s="24"/>
    </row>
    <row r="30" spans="1:8" x14ac:dyDescent="0.3">
      <c r="E30" s="24"/>
    </row>
    <row r="31" spans="1:8" x14ac:dyDescent="0.3">
      <c r="E31" s="24"/>
    </row>
    <row r="32" spans="1:8" x14ac:dyDescent="0.3">
      <c r="E32" s="24"/>
    </row>
    <row r="33" spans="5:5" x14ac:dyDescent="0.3">
      <c r="E33" s="24"/>
    </row>
    <row r="34" spans="5:5" x14ac:dyDescent="0.3">
      <c r="E34" s="24"/>
    </row>
    <row r="35" spans="5:5" x14ac:dyDescent="0.3">
      <c r="E35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ItemAdding_Элемент</Name>
    <Type>1</Type>
    <SequenceNumber>10000</SequenceNumber>
    <Assembly>EventContentTypeGlobal, Version=1.0.0.0, Culture=neutral, PublicKeyToken=3db5c003db6086d7</Assembly>
    <Class>EventContentTypeGlobal.Assemly.Events.EventContentTypeGlobal</Class>
    <Data/>
    <Filter/>
  </Receiver>
  <Receiver>
    <Name>ItemUpdating_Элемент</Name>
    <Type>2</Type>
    <SequenceNumber>10000</SequenceNumber>
    <Assembly>EventContentTypeGlobal, Version=1.0.0.0, Culture=neutral, PublicKeyToken=3db5c003db6086d7</Assembly>
    <Class>EventContentTypeGlobal.Assemly.Events.EventContentTypeGlobal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EDD156DA03B9A43B26D2336C9AFD421" ma:contentTypeVersion="11" ma:contentTypeDescription="Создание документа." ma:contentTypeScope="" ma:versionID="da1783143c19d0173675c244c83934b2">
  <xsd:schema xmlns:xsd="http://www.w3.org/2001/XMLSchema" xmlns:xs="http://www.w3.org/2001/XMLSchema" xmlns:p="http://schemas.microsoft.com/office/2006/metadata/properties" xmlns:ns1="http://schemas.microsoft.com/sharepoint/v3" xmlns:ns2="e9190a85-f750-4cf6-a758-baa497795542" targetNamespace="http://schemas.microsoft.com/office/2006/metadata/properties" ma:root="true" ma:fieldsID="3586ee170e65f29db939ae7cd0936e76" ns1:_="" ns2:_="">
    <xsd:import namespace="http://schemas.microsoft.com/sharepoint/v3"/>
    <xsd:import namespace="e9190a85-f750-4cf6-a758-baa497795542"/>
    <xsd:element name="properties">
      <xsd:complexType>
        <xsd:sequence>
          <xsd:element name="documentManagement">
            <xsd:complexType>
              <xsd:all>
                <xsd:element ref="ns2:_x0422__x0438__x043f__x0020__x0430__x043d__x0430__x043b__x0438__x0437__x0430_" minOccurs="0"/>
                <xsd:element ref="ns2:_x0420__x044b__x043d__x043e__x043a__1" minOccurs="0"/>
                <xsd:element ref="ns2:_x041a__x0430__x0442__x0435__x0433__x043e__x0440__x0438__x044f__x0020__x043f__x0440__x043e__x0434__x0443__x043a__x0446__x0438__x0438__1" minOccurs="0"/>
                <xsd:element ref="ns2:_x0420__x0435__x0437__x044e__x043c__x0435__x0020__x043e__x0442__x0447__x0435__x0442__x0430_" minOccurs="0"/>
                <xsd:element ref="ns1:_dlc_ExpireDateSaved" minOccurs="0"/>
                <xsd:element ref="ns1:_dlc_ExpireDate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12" nillable="true" ma:displayName="Исходный срок действия" ma:hidden="true" ma:internalName="_dlc_ExpireDateSaved" ma:readOnly="true">
      <xsd:simpleType>
        <xsd:restriction base="dms:DateTime"/>
      </xsd:simpleType>
    </xsd:element>
    <xsd:element name="_dlc_ExpireDate" ma:index="13" nillable="true" ma:displayName="Срок действия" ma:description="" ma:hidden="true" ma:indexed="true" ma:internalName="_dlc_ExpireDate" ma:readOnly="true">
      <xsd:simpleType>
        <xsd:restriction base="dms:DateTime"/>
      </xsd:simpleType>
    </xsd:element>
    <xsd:element name="_dlc_Exempt" ma:index="14" nillable="true" ma:displayName="Исключение из политики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90a85-f750-4cf6-a758-baa497795542" elementFormDefault="qualified">
    <xsd:import namespace="http://schemas.microsoft.com/office/2006/documentManagement/types"/>
    <xsd:import namespace="http://schemas.microsoft.com/office/infopath/2007/PartnerControls"/>
    <xsd:element name="_x0422__x0438__x043f__x0020__x0430__x043d__x0430__x043b__x0438__x0437__x0430_" ma:index="8" nillable="true" ma:displayName="Тип анализа" ma:description="Характеристика анализа" ma:format="Dropdown" ma:internalName="_x0422__x0438__x043f__x0020__x0430__x043d__x0430__x043b__x0438__x0437__x0430_">
      <xsd:simpleType>
        <xsd:restriction base="dms:Choice">
          <xsd:enumeration value="Анализ конкуренции"/>
          <xsd:enumeration value="Анализ цен"/>
          <xsd:enumeration value="Исследование рынка"/>
          <xsd:enumeration value="Внутренний анализ"/>
        </xsd:restriction>
      </xsd:simpleType>
    </xsd:element>
    <xsd:element name="_x0420__x044b__x043d__x043e__x043a__1" ma:index="9" nillable="true" ma:displayName="Рынок" ma:description="Рынок, который исследуется" ma:list="{03178a3d-f2e5-4ce5-a961-eda042f0c710}" ma:internalName="_x0420__x044b__x043d__x043e__x043a__1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x041a__x0430__x0442__x0435__x0433__x043e__x0440__x0438__x044f__x0020__x043f__x0440__x043e__x0434__x0443__x043a__x0446__x0438__x0438__1" ma:index="10" nillable="true" ma:displayName="Категория продукции" ma:description="Исследуемый продуктовый рынок" ma:list="{cf420899-d6a2-49ec-ace8-06244736899f}" ma:internalName="_x041a__x0430__x0442__x0435__x0433__x043e__x0440__x0438__x044f__x0020__x043f__x0440__x043e__x0434__x0443__x043a__x0446__x0438__x0438__1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x0420__x0435__x0437__x044e__x043c__x0435__x0020__x043e__x0442__x0447__x0435__x0442__x0430_" ma:index="11" nillable="true" ma:displayName="Резюме отчета" ma:description="Краткий результат анализа" ma:internalName="_x0420__x0435__x0437__x044e__x043c__x0435__x0020__x043e__x0442__x0447__x0435__x0442__x0430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ExpireDateSaved xmlns="http://schemas.microsoft.com/sharepoint/v3" xsi:nil="true"/>
    <_dlc_ExpireDate xmlns="http://schemas.microsoft.com/sharepoint/v3">2027-03-02T14:26:17+00:00</_dlc_ExpireDate>
    <_x0422__x0438__x043f__x0020__x0430__x043d__x0430__x043b__x0438__x0437__x0430_ xmlns="e9190a85-f750-4cf6-a758-baa497795542">Внутренний анализ</_x0422__x0438__x043f__x0020__x0430__x043d__x0430__x043b__x0438__x0437__x0430_>
    <_x0420__x044b__x043d__x043e__x043a__1 xmlns="e9190a85-f750-4cf6-a758-baa497795542">
      <Value>3</Value>
    </_x0420__x044b__x043d__x043e__x043a__1>
    <_x041a__x0430__x0442__x0435__x0433__x043e__x0440__x0438__x044f__x0020__x043f__x0440__x043e__x0434__x0443__x043a__x0446__x0438__x0438__1 xmlns="e9190a85-f750-4cf6-a758-baa497795542">
      <Value>2</Value>
    </_x041a__x0430__x0442__x0435__x0433__x043e__x0440__x0438__x044f__x0020__x043f__x0440__x043e__x0434__x0443__x043a__x0446__x0438__x0438__1>
    <_x0420__x0435__x0437__x044e__x043c__x0435__x0020__x043e__x0442__x0447__x0435__x0442__x0430_ xmlns="e9190a85-f750-4cf6-a758-baa497795542" xsi:nil="true"/>
  </documentManagement>
</p:properties>
</file>

<file path=customXml/itemProps1.xml><?xml version="1.0" encoding="utf-8"?>
<ds:datastoreItem xmlns:ds="http://schemas.openxmlformats.org/officeDocument/2006/customXml" ds:itemID="{23833A52-EA29-4C85-B3F0-AC767E92079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84A295A-CDA5-4519-8CA1-4E5B1BFF4D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77A55F-0B04-4A75-ACA0-D56AA6537A5F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C67B4987-C5DF-4F71-9B9F-EAE7C1751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9190a85-f750-4cf6-a758-baa497795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0F0A598-7748-4C34-A3C8-52ACC2168CF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e9190a85-f750-4cf6-a758-baa497795542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Слайд 1 тренды категорий (2)</vt:lpstr>
      <vt:lpstr>Слайд 1 тренды категорий</vt:lpstr>
      <vt:lpstr>Тренды категорий</vt:lpstr>
      <vt:lpstr>BCG</vt:lpstr>
      <vt:lpstr>ABC расчет</vt:lpstr>
      <vt:lpstr>Факт продаж</vt:lpstr>
      <vt:lpstr>План Антонова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Кириенко Александр Анатольевич</dc:creator>
  <cp:lastModifiedBy>Губарев Юрий Александрович</cp:lastModifiedBy>
  <dcterms:created xsi:type="dcterms:W3CDTF">2016-12-28T09:05:25Z</dcterms:created>
  <dcterms:modified xsi:type="dcterms:W3CDTF">2026-03-10T20:54:27Z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0x0101007EDD156DA03B9A43B26D2336C9AFD421</vt:lpwstr>
  </property>
  <property fmtid="{D5CDD505-2E9C-101B-9397-08002B2CF9AE}" pid="3" name="_dlc_policyId">
    <vt:lpwstr>/process/01/01/DocLib1</vt:lpwstr>
  </property>
  <property fmtid="{D5CDD505-2E9C-101B-9397-08002B2CF9AE}" pid="4" name="ItemRetentionFormula">
    <vt:lpwstr>&lt;formula id="Microsoft.Office.RecordsManagement.PolicyFeatures.Expiration.Formula.BuiltIn"&gt;&lt;number&gt;1&lt;/number&gt;&lt;property&gt;Modified&lt;/property&gt;&lt;propertyId&gt;28cf69c5-fa48-462a-b5cd-27b6f9d2bd5f&lt;/propertyId&gt;&lt;period&gt;years&lt;/period&gt;&lt;/formula&gt;</vt:lpwstr>
  </property>
  <property fmtid="{D5CDD505-2E9C-101B-9397-08002B2CF9AE}" pid="5" name="_dlc_LastRun">
    <vt:lpwstr>04/27/2018 22:06:00</vt:lpwstr>
  </property>
</Properties>
</file>